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UAT\Manpower Management\00 Reference Document\Roster\"/>
    </mc:Choice>
  </mc:AlternateContent>
  <xr:revisionPtr revIDLastSave="0" documentId="13_ncr:1_{FC6592AD-728C-4615-9362-77ECC91E5958}" xr6:coauthVersionLast="47" xr6:coauthVersionMax="47" xr10:uidLastSave="{00000000-0000-0000-0000-000000000000}"/>
  <bookViews>
    <workbookView xWindow="37545" yWindow="2430" windowWidth="14400" windowHeight="8175" tabRatio="916" activeTab="1" xr2:uid="{00000000-000D-0000-FFFF-FFFF00000000}"/>
  </bookViews>
  <sheets>
    <sheet name="OHLR DUAT" sheetId="31" r:id="rId1"/>
    <sheet name="Roster Legends" sheetId="106" r:id="rId2"/>
    <sheet name="Jan 2026" sheetId="94" r:id="rId3"/>
    <sheet name="Feb 2026" sheetId="95" r:id="rId4"/>
    <sheet name="Mar 2026" sheetId="96" r:id="rId5"/>
    <sheet name="Apr 2026" sheetId="97" r:id="rId6"/>
    <sheet name="May 2026" sheetId="98" r:id="rId7"/>
    <sheet name="Jun 2026" sheetId="99" r:id="rId8"/>
    <sheet name="July 2026" sheetId="100" r:id="rId9"/>
    <sheet name="August 2026" sheetId="101" r:id="rId10"/>
    <sheet name="September 2026" sheetId="102" r:id="rId11"/>
    <sheet name="October 2026" sheetId="103" r:id="rId12"/>
    <sheet name="November 2026" sheetId="104" r:id="rId13"/>
    <sheet name="December 2026" sheetId="105" r:id="rId14"/>
  </sheets>
  <definedNames>
    <definedName name="_xlnm._FilterDatabase" localSheetId="0" hidden="1">'OHLR DUAT'!$A$2:$I$26</definedName>
    <definedName name="_xlnm.Print_Area" localSheetId="2">'Jan 2026'!$E$1:$AI$39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0" i="100" l="1" a="1"/>
  <c r="AJ30" i="100"/>
  <c r="AK30" i="100" a="1"/>
  <c r="AK30" i="100"/>
  <c r="AL30" i="100" a="1"/>
  <c r="AL30" i="100"/>
  <c r="AM30" i="100" a="1"/>
  <c r="AM30" i="100"/>
  <c r="AN30" i="100" a="1"/>
  <c r="AN30" i="100"/>
  <c r="AO30" i="100" a="1"/>
  <c r="AO30" i="100"/>
  <c r="AJ31" i="100" a="1"/>
  <c r="AJ31" i="100"/>
  <c r="AK31" i="100" a="1"/>
  <c r="AK31" i="100"/>
  <c r="AL31" i="100" a="1"/>
  <c r="AL31" i="100"/>
  <c r="AM31" i="100" a="1"/>
  <c r="AM31" i="100"/>
  <c r="AN31" i="100" a="1"/>
  <c r="AN31" i="100"/>
  <c r="AO31" i="100" a="1"/>
  <c r="AO31" i="100"/>
  <c r="AP29" i="103"/>
  <c r="AP31" i="103"/>
  <c r="AO29" i="103" a="1"/>
  <c r="AO29" i="103"/>
  <c r="AO30" i="103" a="1"/>
  <c r="AO30" i="103"/>
  <c r="AO31" i="103" a="1"/>
  <c r="AO31" i="103"/>
  <c r="AN30" i="103" a="1"/>
  <c r="AN30" i="103"/>
  <c r="AN31" i="103" a="1"/>
  <c r="AN31" i="103"/>
  <c r="AM29" i="103" a="1"/>
  <c r="AM29" i="103"/>
  <c r="AM30" i="103" a="1"/>
  <c r="AM30" i="103"/>
  <c r="AM31" i="103" a="1"/>
  <c r="AM31" i="103"/>
  <c r="AL29" i="103" a="1"/>
  <c r="AL29" i="103"/>
  <c r="AL30" i="103" a="1"/>
  <c r="AL30" i="103"/>
  <c r="AL31" i="103" a="1"/>
  <c r="AL31" i="103"/>
  <c r="AK29" i="103" a="1"/>
  <c r="AK29" i="103"/>
  <c r="AK30" i="103" a="1"/>
  <c r="AK30" i="103"/>
  <c r="AK31" i="103" a="1"/>
  <c r="AK31" i="103"/>
  <c r="AJ29" i="103" a="1"/>
  <c r="AJ29" i="103"/>
  <c r="AJ30" i="103" a="1"/>
  <c r="AJ30" i="103"/>
  <c r="AP30" i="103" s="1"/>
  <c r="AJ31" i="103" a="1"/>
  <c r="AJ31" i="103"/>
  <c r="AK21" i="98" a="1"/>
  <c r="AK21" i="98"/>
  <c r="AK41" i="98" a="1"/>
  <c r="AK41" i="98"/>
  <c r="AO31" i="98" a="1"/>
  <c r="AO31" i="98" s="1"/>
  <c r="AN31" i="98" a="1"/>
  <c r="AN31" i="98" s="1"/>
  <c r="AM31" i="98" a="1"/>
  <c r="AM31" i="98" s="1"/>
  <c r="AL31" i="98" a="1"/>
  <c r="AL31" i="98" s="1"/>
  <c r="AK31" i="98" a="1"/>
  <c r="AK31" i="98" s="1"/>
  <c r="AJ31" i="98" a="1"/>
  <c r="AJ31" i="98" s="1"/>
  <c r="AO30" i="98" a="1"/>
  <c r="AO30" i="98" s="1"/>
  <c r="AN30" i="98" a="1"/>
  <c r="AN30" i="98" s="1"/>
  <c r="AM30" i="98" a="1"/>
  <c r="AM30" i="98" s="1"/>
  <c r="AL30" i="98" a="1"/>
  <c r="AL30" i="98" s="1"/>
  <c r="AK30" i="98" a="1"/>
  <c r="AK30" i="98" s="1"/>
  <c r="AJ30" i="98" a="1"/>
  <c r="AJ30" i="98" s="1"/>
  <c r="AI30" i="97" a="1"/>
  <c r="AI30" i="97"/>
  <c r="AJ30" i="97" a="1"/>
  <c r="AJ30" i="97"/>
  <c r="AK30" i="97" a="1"/>
  <c r="AK30" i="97"/>
  <c r="AL30" i="97" a="1"/>
  <c r="AL30" i="97"/>
  <c r="AM30" i="97" a="1"/>
  <c r="AM30" i="97"/>
  <c r="AN30" i="97" a="1"/>
  <c r="AN30" i="97"/>
  <c r="AI31" i="97" a="1"/>
  <c r="AI31" i="97"/>
  <c r="AJ31" i="97" a="1"/>
  <c r="AJ31" i="97"/>
  <c r="AK31" i="97" a="1"/>
  <c r="AK31" i="97"/>
  <c r="AL31" i="97" a="1"/>
  <c r="AL31" i="97"/>
  <c r="AM31" i="97" a="1"/>
  <c r="AM31" i="97"/>
  <c r="AN31" i="97" a="1"/>
  <c r="AN31" i="97"/>
  <c r="AN32" i="99" a="1"/>
  <c r="AN32" i="99" s="1"/>
  <c r="AM32" i="99" a="1"/>
  <c r="AM32" i="99" s="1"/>
  <c r="AL32" i="99" a="1"/>
  <c r="AL32" i="99" s="1"/>
  <c r="AK32" i="99" a="1"/>
  <c r="AK32" i="99" s="1"/>
  <c r="AJ32" i="99" a="1"/>
  <c r="AJ32" i="99" s="1"/>
  <c r="AI32" i="99" a="1"/>
  <c r="AI32" i="99" s="1"/>
  <c r="AO32" i="99" s="1"/>
  <c r="AN31" i="99" a="1"/>
  <c r="AN31" i="99" s="1"/>
  <c r="AM31" i="99" a="1"/>
  <c r="AM31" i="99" s="1"/>
  <c r="AL31" i="99" a="1"/>
  <c r="AL31" i="99" s="1"/>
  <c r="AK31" i="99" a="1"/>
  <c r="AK31" i="99" s="1"/>
  <c r="AJ31" i="99" a="1"/>
  <c r="AJ31" i="99" s="1"/>
  <c r="AI31" i="99" a="1"/>
  <c r="AI31" i="99" s="1"/>
  <c r="AO31" i="99" s="1"/>
  <c r="F24" i="31"/>
  <c r="F31" i="31"/>
  <c r="F81" i="96"/>
  <c r="G81" i="96"/>
  <c r="H81" i="96"/>
  <c r="I81" i="96"/>
  <c r="J81" i="96"/>
  <c r="K81" i="96"/>
  <c r="L81" i="96"/>
  <c r="M81" i="96"/>
  <c r="N81" i="96"/>
  <c r="O81" i="96"/>
  <c r="P81" i="96"/>
  <c r="Q81" i="96"/>
  <c r="R81" i="96"/>
  <c r="S81" i="96"/>
  <c r="T81" i="96"/>
  <c r="U81" i="96"/>
  <c r="V81" i="96"/>
  <c r="W81" i="96"/>
  <c r="X81" i="96"/>
  <c r="Y81" i="96"/>
  <c r="Z81" i="96"/>
  <c r="AA81" i="96"/>
  <c r="AB81" i="96"/>
  <c r="AC81" i="96"/>
  <c r="AD81" i="96"/>
  <c r="AE81" i="96"/>
  <c r="AF81" i="96"/>
  <c r="AG81" i="96"/>
  <c r="AH81" i="96"/>
  <c r="AI81" i="96"/>
  <c r="F79" i="96"/>
  <c r="G79" i="96"/>
  <c r="H79" i="96"/>
  <c r="I79" i="96"/>
  <c r="J79" i="96"/>
  <c r="K79" i="96"/>
  <c r="L79" i="96"/>
  <c r="M79" i="96"/>
  <c r="N79" i="96"/>
  <c r="O79" i="96"/>
  <c r="P79" i="96"/>
  <c r="Q79" i="96"/>
  <c r="R79" i="96"/>
  <c r="S79" i="96"/>
  <c r="T79" i="96"/>
  <c r="U79" i="96"/>
  <c r="V79" i="96"/>
  <c r="W79" i="96"/>
  <c r="X79" i="96"/>
  <c r="Y79" i="96"/>
  <c r="Z79" i="96"/>
  <c r="AA79" i="96"/>
  <c r="AB79" i="96"/>
  <c r="AC79" i="96"/>
  <c r="AD79" i="96"/>
  <c r="AE79" i="96"/>
  <c r="AF79" i="96"/>
  <c r="AG79" i="96"/>
  <c r="AH79" i="96"/>
  <c r="AI79" i="96"/>
  <c r="F77" i="96"/>
  <c r="G77" i="96"/>
  <c r="H77" i="96"/>
  <c r="I77" i="96"/>
  <c r="J77" i="96"/>
  <c r="K77" i="96"/>
  <c r="L77" i="96"/>
  <c r="M77" i="96"/>
  <c r="N77" i="96"/>
  <c r="O77" i="96"/>
  <c r="P77" i="96"/>
  <c r="Q77" i="96"/>
  <c r="R77" i="96"/>
  <c r="S77" i="96"/>
  <c r="T77" i="96"/>
  <c r="U77" i="96"/>
  <c r="V77" i="96"/>
  <c r="W77" i="96"/>
  <c r="X77" i="96"/>
  <c r="Y77" i="96"/>
  <c r="Z77" i="96"/>
  <c r="AA77" i="96"/>
  <c r="AB77" i="96"/>
  <c r="AC77" i="96"/>
  <c r="AD77" i="96"/>
  <c r="AE77" i="96"/>
  <c r="AF77" i="96"/>
  <c r="AG77" i="96"/>
  <c r="AH77" i="96"/>
  <c r="AI77" i="96"/>
  <c r="F75" i="96"/>
  <c r="G75" i="96"/>
  <c r="H75" i="96"/>
  <c r="I75" i="96"/>
  <c r="J75" i="96"/>
  <c r="K75" i="96"/>
  <c r="L75" i="96"/>
  <c r="M75" i="96"/>
  <c r="N75" i="96"/>
  <c r="O75" i="96"/>
  <c r="P75" i="96"/>
  <c r="Q75" i="96"/>
  <c r="R75" i="96"/>
  <c r="S75" i="96"/>
  <c r="T75" i="96"/>
  <c r="U75" i="96"/>
  <c r="V75" i="96"/>
  <c r="W75" i="96"/>
  <c r="X75" i="96"/>
  <c r="Y75" i="96"/>
  <c r="Z75" i="96"/>
  <c r="AA75" i="96"/>
  <c r="AB75" i="96"/>
  <c r="AC75" i="96"/>
  <c r="AD75" i="96"/>
  <c r="AE75" i="96"/>
  <c r="AF75" i="96"/>
  <c r="AG75" i="96"/>
  <c r="AH75" i="96"/>
  <c r="AI75" i="96"/>
  <c r="E81" i="96"/>
  <c r="E77" i="96"/>
  <c r="F75" i="95"/>
  <c r="G75" i="95"/>
  <c r="H75" i="95"/>
  <c r="I75" i="95"/>
  <c r="J75" i="95"/>
  <c r="K75" i="95"/>
  <c r="L75" i="95"/>
  <c r="M75" i="95"/>
  <c r="N75" i="95"/>
  <c r="O75" i="95"/>
  <c r="P75" i="95"/>
  <c r="Q75" i="95"/>
  <c r="R75" i="95"/>
  <c r="S75" i="95"/>
  <c r="T75" i="95"/>
  <c r="U75" i="95"/>
  <c r="V75" i="95"/>
  <c r="W75" i="95"/>
  <c r="X75" i="95"/>
  <c r="Y75" i="95"/>
  <c r="Z75" i="95"/>
  <c r="AA75" i="95"/>
  <c r="AB75" i="95"/>
  <c r="AC75" i="95"/>
  <c r="AD75" i="95"/>
  <c r="AE75" i="95"/>
  <c r="AF75" i="95"/>
  <c r="E75" i="95"/>
  <c r="L69" i="95"/>
  <c r="AO31" i="96" a="1"/>
  <c r="AO31" i="96" s="1"/>
  <c r="AN31" i="96" a="1"/>
  <c r="AN31" i="96" s="1"/>
  <c r="AM31" i="96" a="1"/>
  <c r="AM31" i="96" s="1"/>
  <c r="AL31" i="96" a="1"/>
  <c r="AL31" i="96" s="1"/>
  <c r="AK31" i="96" a="1"/>
  <c r="AK31" i="96" s="1"/>
  <c r="AJ31" i="96" a="1"/>
  <c r="AJ31" i="96" s="1"/>
  <c r="AP31" i="96" s="1"/>
  <c r="AL31" i="95" a="1"/>
  <c r="AL31" i="95" s="1"/>
  <c r="AK31" i="95" a="1"/>
  <c r="AK31" i="95" s="1"/>
  <c r="AJ31" i="95" a="1"/>
  <c r="AJ31" i="95" s="1"/>
  <c r="AI31" i="95" a="1"/>
  <c r="AI31" i="95" s="1"/>
  <c r="AH31" i="95" a="1"/>
  <c r="AH31" i="95" s="1"/>
  <c r="AG31" i="95" a="1"/>
  <c r="AG31" i="95" s="1"/>
  <c r="AM31" i="95" s="1"/>
  <c r="AL32" i="95" a="1"/>
  <c r="AL32" i="95" s="1"/>
  <c r="AK32" i="95" a="1"/>
  <c r="AK32" i="95" s="1"/>
  <c r="AJ32" i="95" a="1"/>
  <c r="AJ32" i="95" s="1"/>
  <c r="AI32" i="95" a="1"/>
  <c r="AI32" i="95" s="1"/>
  <c r="AH32" i="95" a="1"/>
  <c r="AH32" i="95" s="1"/>
  <c r="AG32" i="95" a="1"/>
  <c r="AG32" i="95" s="1"/>
  <c r="AM32" i="95" s="1"/>
  <c r="AO33" i="94" a="1"/>
  <c r="AO33" i="94" s="1"/>
  <c r="AN33" i="94" a="1"/>
  <c r="AN33" i="94" s="1"/>
  <c r="AM33" i="94" a="1"/>
  <c r="AM33" i="94" s="1"/>
  <c r="AL33" i="94" a="1"/>
  <c r="AL33" i="94" s="1"/>
  <c r="AK33" i="94" a="1"/>
  <c r="AK33" i="94" s="1"/>
  <c r="AJ33" i="94" a="1"/>
  <c r="AJ33" i="94" s="1"/>
  <c r="AP33" i="94" s="1"/>
  <c r="AO32" i="94" a="1"/>
  <c r="AO32" i="94" s="1"/>
  <c r="AN32" i="94" a="1"/>
  <c r="AN32" i="94" s="1"/>
  <c r="AM32" i="94" a="1"/>
  <c r="AM32" i="94" s="1"/>
  <c r="AL32" i="94" a="1"/>
  <c r="AL32" i="94" s="1"/>
  <c r="AK32" i="94" a="1"/>
  <c r="AK32" i="94" s="1"/>
  <c r="AJ32" i="94" a="1"/>
  <c r="AJ32" i="94" s="1"/>
  <c r="AP32" i="94" s="1"/>
  <c r="F71" i="95"/>
  <c r="G71" i="95"/>
  <c r="H71" i="95"/>
  <c r="I71" i="95"/>
  <c r="J71" i="95"/>
  <c r="K71" i="95"/>
  <c r="L71" i="95"/>
  <c r="M71" i="95"/>
  <c r="N71" i="95"/>
  <c r="O71" i="95"/>
  <c r="P71" i="95"/>
  <c r="Q71" i="95"/>
  <c r="R71" i="95"/>
  <c r="S71" i="95"/>
  <c r="T71" i="95"/>
  <c r="U71" i="95"/>
  <c r="V71" i="95"/>
  <c r="W71" i="95"/>
  <c r="X71" i="95"/>
  <c r="Y71" i="95"/>
  <c r="Z71" i="95"/>
  <c r="AA71" i="95"/>
  <c r="AB71" i="95"/>
  <c r="AC71" i="95"/>
  <c r="AD71" i="95"/>
  <c r="AE71" i="95"/>
  <c r="AF71" i="95"/>
  <c r="E71" i="95"/>
  <c r="AI73" i="94"/>
  <c r="M73" i="94"/>
  <c r="N73" i="94"/>
  <c r="O73" i="94"/>
  <c r="P73" i="94"/>
  <c r="Q73" i="94"/>
  <c r="R73" i="94"/>
  <c r="S73" i="94"/>
  <c r="T73" i="94"/>
  <c r="U73" i="94"/>
  <c r="V73" i="94"/>
  <c r="W73" i="94"/>
  <c r="X73" i="94"/>
  <c r="Y73" i="94"/>
  <c r="Z73" i="94"/>
  <c r="AA73" i="94"/>
  <c r="AB73" i="94"/>
  <c r="AC73" i="94"/>
  <c r="AD73" i="94"/>
  <c r="AE73" i="94"/>
  <c r="AF73" i="94"/>
  <c r="AG73" i="94"/>
  <c r="AH73" i="94"/>
  <c r="L73" i="94"/>
  <c r="AG73" i="105"/>
  <c r="AF73" i="105"/>
  <c r="AE73" i="105"/>
  <c r="AD73" i="105"/>
  <c r="AC73" i="105"/>
  <c r="AB73" i="105"/>
  <c r="AA73" i="105"/>
  <c r="Z73" i="105"/>
  <c r="Y73" i="105"/>
  <c r="X73" i="105"/>
  <c r="W73" i="105"/>
  <c r="V73" i="105"/>
  <c r="U73" i="105"/>
  <c r="T73" i="105"/>
  <c r="S73" i="105"/>
  <c r="R73" i="105"/>
  <c r="Q73" i="105"/>
  <c r="P73" i="105"/>
  <c r="O73" i="105"/>
  <c r="N73" i="105"/>
  <c r="M73" i="105"/>
  <c r="L73" i="105"/>
  <c r="K73" i="105"/>
  <c r="J73" i="105"/>
  <c r="I73" i="105"/>
  <c r="H73" i="105"/>
  <c r="G73" i="105"/>
  <c r="F73" i="105"/>
  <c r="E73" i="105"/>
  <c r="AG71" i="105"/>
  <c r="AF71" i="105"/>
  <c r="AE71" i="105"/>
  <c r="AD71" i="105"/>
  <c r="AC71" i="105"/>
  <c r="AB71" i="105"/>
  <c r="AA71" i="105"/>
  <c r="Z71" i="105"/>
  <c r="Y71" i="105"/>
  <c r="X71" i="105"/>
  <c r="W71" i="105"/>
  <c r="V71" i="105"/>
  <c r="U71" i="105"/>
  <c r="T71" i="105"/>
  <c r="S71" i="105"/>
  <c r="R71" i="105"/>
  <c r="Q71" i="105"/>
  <c r="P71" i="105"/>
  <c r="O71" i="105"/>
  <c r="N71" i="105"/>
  <c r="M71" i="105"/>
  <c r="L71" i="105"/>
  <c r="K71" i="105"/>
  <c r="J71" i="105"/>
  <c r="I71" i="105"/>
  <c r="H71" i="105"/>
  <c r="G71" i="105"/>
  <c r="F71" i="105"/>
  <c r="E71" i="105"/>
  <c r="AG69" i="105"/>
  <c r="AF69" i="105"/>
  <c r="AE69" i="105"/>
  <c r="AD69" i="105"/>
  <c r="AC69" i="105"/>
  <c r="AB69" i="105"/>
  <c r="AA69" i="105"/>
  <c r="Z69" i="105"/>
  <c r="Y69" i="105"/>
  <c r="X69" i="105"/>
  <c r="W69" i="105"/>
  <c r="V69" i="105"/>
  <c r="U69" i="105"/>
  <c r="T69" i="105"/>
  <c r="S69" i="105"/>
  <c r="R69" i="105"/>
  <c r="Q69" i="105"/>
  <c r="P69" i="105"/>
  <c r="O69" i="105"/>
  <c r="N69" i="105"/>
  <c r="M69" i="105"/>
  <c r="L69" i="105"/>
  <c r="K69" i="105"/>
  <c r="J69" i="105"/>
  <c r="I69" i="105"/>
  <c r="H69" i="105"/>
  <c r="G69" i="105"/>
  <c r="F69" i="105"/>
  <c r="E69" i="105"/>
  <c r="AG67" i="105"/>
  <c r="AF67" i="105"/>
  <c r="AE67" i="105"/>
  <c r="AD67" i="105"/>
  <c r="AC67" i="105"/>
  <c r="AB67" i="105"/>
  <c r="AA67" i="105"/>
  <c r="Z67" i="105"/>
  <c r="Y67" i="105"/>
  <c r="X67" i="105"/>
  <c r="W67" i="105"/>
  <c r="V67" i="105"/>
  <c r="U67" i="105"/>
  <c r="T67" i="105"/>
  <c r="S67" i="105"/>
  <c r="R67" i="105"/>
  <c r="Q67" i="105"/>
  <c r="P67" i="105"/>
  <c r="O67" i="105"/>
  <c r="N67" i="105"/>
  <c r="M67" i="105"/>
  <c r="L67" i="105"/>
  <c r="K67" i="105"/>
  <c r="J67" i="105"/>
  <c r="I67" i="105"/>
  <c r="H67" i="105"/>
  <c r="G67" i="105"/>
  <c r="F67" i="105"/>
  <c r="E67" i="105"/>
  <c r="AP47" i="105" a="1"/>
  <c r="AP47" i="105" s="1"/>
  <c r="AO47" i="105" a="1"/>
  <c r="AO47" i="105" s="1"/>
  <c r="AN47" i="105" a="1"/>
  <c r="AN47" i="105" s="1"/>
  <c r="AM47" i="105" a="1"/>
  <c r="AM47" i="105" s="1"/>
  <c r="AL47" i="105" a="1"/>
  <c r="AL47" i="105" s="1"/>
  <c r="AJ47" i="105" a="1"/>
  <c r="AJ47" i="105" s="1"/>
  <c r="AP46" i="105" a="1"/>
  <c r="AP46" i="105" s="1"/>
  <c r="AO46" i="105" a="1"/>
  <c r="AO46" i="105" s="1"/>
  <c r="AN46" i="105" a="1"/>
  <c r="AN46" i="105" s="1"/>
  <c r="AM46" i="105" a="1"/>
  <c r="AM46" i="105" s="1"/>
  <c r="AL46" i="105" a="1"/>
  <c r="AL46" i="105" s="1"/>
  <c r="AJ46" i="105" a="1"/>
  <c r="AJ46" i="105" s="1"/>
  <c r="AP45" i="105" a="1"/>
  <c r="AP45" i="105" s="1"/>
  <c r="AO45" i="105" a="1"/>
  <c r="AO45" i="105" s="1"/>
  <c r="AN45" i="105" a="1"/>
  <c r="AN45" i="105" s="1"/>
  <c r="AM45" i="105" a="1"/>
  <c r="AM45" i="105" s="1"/>
  <c r="AL45" i="105" a="1"/>
  <c r="AL45" i="105" s="1"/>
  <c r="AJ45" i="105" a="1"/>
  <c r="AJ45" i="105" s="1"/>
  <c r="AP44" i="105" a="1"/>
  <c r="AP44" i="105" s="1"/>
  <c r="AO44" i="105" a="1"/>
  <c r="AO44" i="105" s="1"/>
  <c r="AN44" i="105" a="1"/>
  <c r="AN44" i="105" s="1"/>
  <c r="AM44" i="105" a="1"/>
  <c r="AM44" i="105" s="1"/>
  <c r="AL44" i="105" a="1"/>
  <c r="AL44" i="105" s="1"/>
  <c r="AJ44" i="105" a="1"/>
  <c r="AJ44" i="105" s="1"/>
  <c r="AP43" i="105" a="1"/>
  <c r="AP43" i="105" s="1"/>
  <c r="AO43" i="105" a="1"/>
  <c r="AO43" i="105" s="1"/>
  <c r="AN43" i="105" a="1"/>
  <c r="AN43" i="105" s="1"/>
  <c r="AM43" i="105" a="1"/>
  <c r="AM43" i="105" s="1"/>
  <c r="AL43" i="105" a="1"/>
  <c r="AL43" i="105" s="1"/>
  <c r="AJ43" i="105" a="1"/>
  <c r="AJ43" i="105" s="1"/>
  <c r="AP42" i="105" a="1"/>
  <c r="AP42" i="105" s="1"/>
  <c r="AO42" i="105" a="1"/>
  <c r="AO42" i="105" s="1"/>
  <c r="AN42" i="105" a="1"/>
  <c r="AN42" i="105" s="1"/>
  <c r="AM42" i="105" a="1"/>
  <c r="AM42" i="105" s="1"/>
  <c r="AL42" i="105" a="1"/>
  <c r="AL42" i="105" s="1"/>
  <c r="AJ42" i="105" a="1"/>
  <c r="AJ42" i="105" s="1"/>
  <c r="AQ42" i="105" s="1"/>
  <c r="AP41" i="105" a="1"/>
  <c r="AP41" i="105" s="1"/>
  <c r="AO41" i="105" a="1"/>
  <c r="AO41" i="105" s="1"/>
  <c r="AN41" i="105" a="1"/>
  <c r="AN41" i="105" s="1"/>
  <c r="AM41" i="105" a="1"/>
  <c r="AM41" i="105" s="1"/>
  <c r="AL41" i="105" a="1"/>
  <c r="AL41" i="105" s="1"/>
  <c r="AJ41" i="105" a="1"/>
  <c r="AJ41" i="105" s="1"/>
  <c r="AP39" i="105" a="1"/>
  <c r="AP39" i="105" s="1"/>
  <c r="AO39" i="105" a="1"/>
  <c r="AO39" i="105" s="1"/>
  <c r="AN39" i="105" a="1"/>
  <c r="AN39" i="105" s="1"/>
  <c r="AM39" i="105" a="1"/>
  <c r="AM39" i="105" s="1"/>
  <c r="AL39" i="105" a="1"/>
  <c r="AL39" i="105" s="1"/>
  <c r="AJ39" i="105" a="1"/>
  <c r="AJ39" i="105" s="1"/>
  <c r="AP38" i="105" a="1"/>
  <c r="AP38" i="105" s="1"/>
  <c r="AO38" i="105" a="1"/>
  <c r="AO38" i="105" s="1"/>
  <c r="AN38" i="105" a="1"/>
  <c r="AN38" i="105" s="1"/>
  <c r="AM38" i="105" a="1"/>
  <c r="AM38" i="105" s="1"/>
  <c r="AL38" i="105" a="1"/>
  <c r="AL38" i="105" s="1"/>
  <c r="AJ38" i="105" a="1"/>
  <c r="AJ38" i="105" s="1"/>
  <c r="AP37" i="105" a="1"/>
  <c r="AP37" i="105" s="1"/>
  <c r="AO37" i="105" a="1"/>
  <c r="AO37" i="105" s="1"/>
  <c r="AN37" i="105" a="1"/>
  <c r="AN37" i="105" s="1"/>
  <c r="AM37" i="105" a="1"/>
  <c r="AM37" i="105" s="1"/>
  <c r="AL37" i="105" a="1"/>
  <c r="AL37" i="105" s="1"/>
  <c r="AJ37" i="105" a="1"/>
  <c r="AJ37" i="105" s="1"/>
  <c r="AP36" i="105" a="1"/>
  <c r="AP36" i="105" s="1"/>
  <c r="AO36" i="105" a="1"/>
  <c r="AO36" i="105" s="1"/>
  <c r="AN36" i="105" a="1"/>
  <c r="AN36" i="105" s="1"/>
  <c r="AM36" i="105" a="1"/>
  <c r="AM36" i="105" s="1"/>
  <c r="AL36" i="105" a="1"/>
  <c r="AL36" i="105" s="1"/>
  <c r="AJ36" i="105" a="1"/>
  <c r="AJ36" i="105" s="1"/>
  <c r="AP35" i="105" a="1"/>
  <c r="AP35" i="105" s="1"/>
  <c r="AO35" i="105" a="1"/>
  <c r="AO35" i="105" s="1"/>
  <c r="AN35" i="105" a="1"/>
  <c r="AN35" i="105" s="1"/>
  <c r="AM35" i="105" a="1"/>
  <c r="AM35" i="105" s="1"/>
  <c r="AL35" i="105" a="1"/>
  <c r="AL35" i="105" s="1"/>
  <c r="AJ35" i="105" a="1"/>
  <c r="AJ35" i="105" s="1"/>
  <c r="AP34" i="105" a="1"/>
  <c r="AP34" i="105" s="1"/>
  <c r="AO34" i="105" a="1"/>
  <c r="AO34" i="105" s="1"/>
  <c r="AN34" i="105" a="1"/>
  <c r="AN34" i="105" s="1"/>
  <c r="AM34" i="105" a="1"/>
  <c r="AM34" i="105" s="1"/>
  <c r="AL34" i="105" a="1"/>
  <c r="AL34" i="105" s="1"/>
  <c r="AJ34" i="105" a="1"/>
  <c r="AJ34" i="105" s="1"/>
  <c r="AQ34" i="105" s="1"/>
  <c r="AP32" i="105" a="1"/>
  <c r="AP32" i="105" s="1"/>
  <c r="AO32" i="105" a="1"/>
  <c r="AO32" i="105" s="1"/>
  <c r="AN32" i="105" a="1"/>
  <c r="AN32" i="105" s="1"/>
  <c r="AM32" i="105" a="1"/>
  <c r="AM32" i="105" s="1"/>
  <c r="AL32" i="105" a="1"/>
  <c r="AL32" i="105" s="1"/>
  <c r="AJ32" i="105" a="1"/>
  <c r="AJ32" i="105" s="1"/>
  <c r="AP29" i="105" a="1"/>
  <c r="AP29" i="105" s="1"/>
  <c r="AO29" i="105" a="1"/>
  <c r="AO29" i="105" s="1"/>
  <c r="AN29" i="105" a="1"/>
  <c r="AN29" i="105" s="1"/>
  <c r="AM29" i="105" a="1"/>
  <c r="AM29" i="105" s="1"/>
  <c r="AL29" i="105" a="1"/>
  <c r="AL29" i="105" s="1"/>
  <c r="AJ29" i="105" a="1"/>
  <c r="AJ29" i="105" s="1"/>
  <c r="AP28" i="105" a="1"/>
  <c r="AP28" i="105" s="1"/>
  <c r="AO28" i="105" a="1"/>
  <c r="AO28" i="105" s="1"/>
  <c r="AN28" i="105" a="1"/>
  <c r="AN28" i="105" s="1"/>
  <c r="AM28" i="105" a="1"/>
  <c r="AM28" i="105" s="1"/>
  <c r="AL28" i="105" a="1"/>
  <c r="AL28" i="105" s="1"/>
  <c r="AJ28" i="105" a="1"/>
  <c r="AJ28" i="105" s="1"/>
  <c r="AP27" i="105" a="1"/>
  <c r="AP27" i="105" s="1"/>
  <c r="AO27" i="105" a="1"/>
  <c r="AO27" i="105" s="1"/>
  <c r="AN27" i="105" a="1"/>
  <c r="AN27" i="105" s="1"/>
  <c r="AM27" i="105" a="1"/>
  <c r="AM27" i="105" s="1"/>
  <c r="AL27" i="105" a="1"/>
  <c r="AL27" i="105" s="1"/>
  <c r="AJ27" i="105" a="1"/>
  <c r="AJ27" i="105" s="1"/>
  <c r="AP26" i="105" a="1"/>
  <c r="AP26" i="105" s="1"/>
  <c r="AO26" i="105" a="1"/>
  <c r="AO26" i="105" s="1"/>
  <c r="AN26" i="105" a="1"/>
  <c r="AN26" i="105" s="1"/>
  <c r="AM26" i="105" a="1"/>
  <c r="AM26" i="105" s="1"/>
  <c r="AL26" i="105" a="1"/>
  <c r="AL26" i="105" s="1"/>
  <c r="AJ26" i="105" a="1"/>
  <c r="AJ26" i="105" s="1"/>
  <c r="AP24" i="105" a="1"/>
  <c r="AP24" i="105" s="1"/>
  <c r="AO24" i="105" a="1"/>
  <c r="AO24" i="105" s="1"/>
  <c r="AN24" i="105" a="1"/>
  <c r="AN24" i="105" s="1"/>
  <c r="AM24" i="105" a="1"/>
  <c r="AM24" i="105" s="1"/>
  <c r="AL24" i="105" a="1"/>
  <c r="AL24" i="105" s="1"/>
  <c r="AJ24" i="105" a="1"/>
  <c r="AJ24" i="105" s="1"/>
  <c r="AP23" i="105" a="1"/>
  <c r="AP23" i="105" s="1"/>
  <c r="AO23" i="105" a="1"/>
  <c r="AO23" i="105" s="1"/>
  <c r="AN23" i="105" a="1"/>
  <c r="AN23" i="105" s="1"/>
  <c r="AM23" i="105" a="1"/>
  <c r="AM23" i="105" s="1"/>
  <c r="AL23" i="105" a="1"/>
  <c r="AL23" i="105" s="1"/>
  <c r="AJ23" i="105" a="1"/>
  <c r="AJ23" i="105" s="1"/>
  <c r="AP22" i="105" a="1"/>
  <c r="AP22" i="105" s="1"/>
  <c r="AO22" i="105" a="1"/>
  <c r="AO22" i="105" s="1"/>
  <c r="AN22" i="105" a="1"/>
  <c r="AN22" i="105" s="1"/>
  <c r="AM22" i="105" a="1"/>
  <c r="AM22" i="105" s="1"/>
  <c r="AL22" i="105" a="1"/>
  <c r="AL22" i="105" s="1"/>
  <c r="AJ22" i="105" a="1"/>
  <c r="AJ22" i="105" s="1"/>
  <c r="AQ22" i="105" s="1"/>
  <c r="AP21" i="105" a="1"/>
  <c r="AP21" i="105" s="1"/>
  <c r="AO21" i="105" a="1"/>
  <c r="AO21" i="105" s="1"/>
  <c r="AN21" i="105" a="1"/>
  <c r="AN21" i="105" s="1"/>
  <c r="AM21" i="105" a="1"/>
  <c r="AM21" i="105" s="1"/>
  <c r="AL21" i="105" a="1"/>
  <c r="AL21" i="105" s="1"/>
  <c r="AJ21" i="105" a="1"/>
  <c r="AJ21" i="105" s="1"/>
  <c r="AP20" i="105" a="1"/>
  <c r="AP20" i="105" s="1"/>
  <c r="AO20" i="105" a="1"/>
  <c r="AO20" i="105" s="1"/>
  <c r="AN20" i="105" a="1"/>
  <c r="AN20" i="105" s="1"/>
  <c r="AM20" i="105" a="1"/>
  <c r="AM20" i="105" s="1"/>
  <c r="AL20" i="105" a="1"/>
  <c r="AL20" i="105" s="1"/>
  <c r="AJ20" i="105" a="1"/>
  <c r="AJ20" i="105" s="1"/>
  <c r="AP19" i="105" a="1"/>
  <c r="AP19" i="105" s="1"/>
  <c r="AO19" i="105" a="1"/>
  <c r="AO19" i="105" s="1"/>
  <c r="AN19" i="105" a="1"/>
  <c r="AN19" i="105" s="1"/>
  <c r="AM19" i="105" a="1"/>
  <c r="AM19" i="105" s="1"/>
  <c r="AL19" i="105" a="1"/>
  <c r="AL19" i="105" s="1"/>
  <c r="AJ19" i="105" a="1"/>
  <c r="AJ19" i="105" s="1"/>
  <c r="AQ19" i="105" s="1"/>
  <c r="AP17" i="105" a="1"/>
  <c r="AP17" i="105" s="1"/>
  <c r="AO17" i="105" a="1"/>
  <c r="AO17" i="105" s="1"/>
  <c r="AN17" i="105" a="1"/>
  <c r="AN17" i="105" s="1"/>
  <c r="AM17" i="105" a="1"/>
  <c r="AM17" i="105" s="1"/>
  <c r="AL17" i="105" a="1"/>
  <c r="AL17" i="105" s="1"/>
  <c r="AJ17" i="105" a="1"/>
  <c r="AJ17" i="105" s="1"/>
  <c r="AP15" i="105" a="1"/>
  <c r="AP15" i="105" s="1"/>
  <c r="AO15" i="105" a="1"/>
  <c r="AO15" i="105" s="1"/>
  <c r="AN15" i="105" a="1"/>
  <c r="AN15" i="105" s="1"/>
  <c r="AM15" i="105" a="1"/>
  <c r="AM15" i="105" s="1"/>
  <c r="AL15" i="105" a="1"/>
  <c r="AL15" i="105" s="1"/>
  <c r="AJ15" i="105" a="1"/>
  <c r="AJ15" i="105" s="1"/>
  <c r="AP13" i="105" a="1"/>
  <c r="AP13" i="105" s="1"/>
  <c r="AO13" i="105" a="1"/>
  <c r="AO13" i="105" s="1"/>
  <c r="AN13" i="105" a="1"/>
  <c r="AN13" i="105" s="1"/>
  <c r="AM13" i="105" a="1"/>
  <c r="AM13" i="105" s="1"/>
  <c r="AL13" i="105" a="1"/>
  <c r="AL13" i="105" s="1"/>
  <c r="AJ13" i="105" a="1"/>
  <c r="AJ13" i="105" s="1"/>
  <c r="AQ13" i="105" s="1"/>
  <c r="AG73" i="104"/>
  <c r="AF73" i="104"/>
  <c r="AE73" i="104"/>
  <c r="AD73" i="104"/>
  <c r="AC73" i="104"/>
  <c r="AB73" i="104"/>
  <c r="AA73" i="104"/>
  <c r="Z73" i="104"/>
  <c r="Y73" i="104"/>
  <c r="X73" i="104"/>
  <c r="W73" i="104"/>
  <c r="V73" i="104"/>
  <c r="U73" i="104"/>
  <c r="T73" i="104"/>
  <c r="S73" i="104"/>
  <c r="R73" i="104"/>
  <c r="Q73" i="104"/>
  <c r="P73" i="104"/>
  <c r="O73" i="104"/>
  <c r="N73" i="104"/>
  <c r="M73" i="104"/>
  <c r="L73" i="104"/>
  <c r="K73" i="104"/>
  <c r="J73" i="104"/>
  <c r="I73" i="104"/>
  <c r="H73" i="104"/>
  <c r="G73" i="104"/>
  <c r="F73" i="104"/>
  <c r="E73" i="104"/>
  <c r="AG71" i="104"/>
  <c r="AF71" i="104"/>
  <c r="AE71" i="104"/>
  <c r="AD71" i="104"/>
  <c r="AC71" i="104"/>
  <c r="AB71" i="104"/>
  <c r="AA71" i="104"/>
  <c r="Z71" i="104"/>
  <c r="Y71" i="104"/>
  <c r="X71" i="104"/>
  <c r="W71" i="104"/>
  <c r="V71" i="104"/>
  <c r="U71" i="104"/>
  <c r="T71" i="104"/>
  <c r="S71" i="104"/>
  <c r="R71" i="104"/>
  <c r="Q71" i="104"/>
  <c r="P71" i="104"/>
  <c r="O71" i="104"/>
  <c r="N71" i="104"/>
  <c r="M71" i="104"/>
  <c r="L71" i="104"/>
  <c r="K71" i="104"/>
  <c r="J71" i="104"/>
  <c r="I71" i="104"/>
  <c r="H71" i="104"/>
  <c r="G71" i="104"/>
  <c r="F71" i="104"/>
  <c r="E71" i="104"/>
  <c r="AG69" i="104"/>
  <c r="AF69" i="104"/>
  <c r="AE69" i="104"/>
  <c r="AD69" i="104"/>
  <c r="AC69" i="104"/>
  <c r="AB69" i="104"/>
  <c r="AA69" i="104"/>
  <c r="Z69" i="104"/>
  <c r="Y69" i="104"/>
  <c r="X69" i="104"/>
  <c r="W69" i="104"/>
  <c r="V69" i="104"/>
  <c r="U69" i="104"/>
  <c r="T69" i="104"/>
  <c r="S69" i="104"/>
  <c r="R69" i="104"/>
  <c r="Q69" i="104"/>
  <c r="P69" i="104"/>
  <c r="O69" i="104"/>
  <c r="N69" i="104"/>
  <c r="M69" i="104"/>
  <c r="L69" i="104"/>
  <c r="K69" i="104"/>
  <c r="J69" i="104"/>
  <c r="I69" i="104"/>
  <c r="H69" i="104"/>
  <c r="G69" i="104"/>
  <c r="F69" i="104"/>
  <c r="E69" i="104"/>
  <c r="AG67" i="104"/>
  <c r="AF67" i="104"/>
  <c r="AE67" i="104"/>
  <c r="AD67" i="104"/>
  <c r="AC67" i="104"/>
  <c r="AB67" i="104"/>
  <c r="AA67" i="104"/>
  <c r="Z67" i="104"/>
  <c r="Y67" i="104"/>
  <c r="X67" i="104"/>
  <c r="W67" i="104"/>
  <c r="V67" i="104"/>
  <c r="U67" i="104"/>
  <c r="T67" i="104"/>
  <c r="S67" i="104"/>
  <c r="R67" i="104"/>
  <c r="Q67" i="104"/>
  <c r="P67" i="104"/>
  <c r="O67" i="104"/>
  <c r="N67" i="104"/>
  <c r="M67" i="104"/>
  <c r="L67" i="104"/>
  <c r="K67" i="104"/>
  <c r="J67" i="104"/>
  <c r="I67" i="104"/>
  <c r="H67" i="104"/>
  <c r="G67" i="104"/>
  <c r="F67" i="104"/>
  <c r="E67" i="104"/>
  <c r="AN47" i="104" a="1"/>
  <c r="AN47" i="104" s="1"/>
  <c r="AM47" i="104" a="1"/>
  <c r="AM47" i="104" s="1"/>
  <c r="AL47" i="104" a="1"/>
  <c r="AL47" i="104" s="1"/>
  <c r="AK47" i="104" a="1"/>
  <c r="AK47" i="104" s="1"/>
  <c r="AJ47" i="104" a="1"/>
  <c r="AJ47" i="104" s="1"/>
  <c r="AI47" i="104" a="1"/>
  <c r="AI47" i="104" s="1"/>
  <c r="AN46" i="104" a="1"/>
  <c r="AN46" i="104" s="1"/>
  <c r="AM46" i="104" a="1"/>
  <c r="AM46" i="104" s="1"/>
  <c r="AL46" i="104" a="1"/>
  <c r="AL46" i="104" s="1"/>
  <c r="AK46" i="104" a="1"/>
  <c r="AK46" i="104" s="1"/>
  <c r="AJ46" i="104" a="1"/>
  <c r="AJ46" i="104" s="1"/>
  <c r="AI46" i="104" a="1"/>
  <c r="AI46" i="104" s="1"/>
  <c r="AN45" i="104" a="1"/>
  <c r="AN45" i="104" s="1"/>
  <c r="AM45" i="104" a="1"/>
  <c r="AM45" i="104" s="1"/>
  <c r="AL45" i="104" a="1"/>
  <c r="AL45" i="104" s="1"/>
  <c r="AK45" i="104" a="1"/>
  <c r="AK45" i="104" s="1"/>
  <c r="AJ45" i="104" a="1"/>
  <c r="AJ45" i="104" s="1"/>
  <c r="AI45" i="104" a="1"/>
  <c r="AI45" i="104" s="1"/>
  <c r="AN44" i="104" a="1"/>
  <c r="AN44" i="104" s="1"/>
  <c r="AM44" i="104" a="1"/>
  <c r="AM44" i="104" s="1"/>
  <c r="AL44" i="104" a="1"/>
  <c r="AL44" i="104" s="1"/>
  <c r="AK44" i="104" a="1"/>
  <c r="AK44" i="104" s="1"/>
  <c r="AJ44" i="104" a="1"/>
  <c r="AJ44" i="104" s="1"/>
  <c r="AI44" i="104" a="1"/>
  <c r="AI44" i="104" s="1"/>
  <c r="AN43" i="104" a="1"/>
  <c r="AN43" i="104" s="1"/>
  <c r="AM43" i="104" a="1"/>
  <c r="AM43" i="104" s="1"/>
  <c r="AL43" i="104" a="1"/>
  <c r="AL43" i="104" s="1"/>
  <c r="AK43" i="104" a="1"/>
  <c r="AK43" i="104" s="1"/>
  <c r="AJ43" i="104" a="1"/>
  <c r="AJ43" i="104" s="1"/>
  <c r="AI43" i="104" a="1"/>
  <c r="AI43" i="104" s="1"/>
  <c r="AN42" i="104" a="1"/>
  <c r="AN42" i="104" s="1"/>
  <c r="AM42" i="104" a="1"/>
  <c r="AM42" i="104" s="1"/>
  <c r="AL42" i="104" a="1"/>
  <c r="AL42" i="104" s="1"/>
  <c r="AK42" i="104" a="1"/>
  <c r="AK42" i="104" s="1"/>
  <c r="AJ42" i="104" a="1"/>
  <c r="AJ42" i="104" s="1"/>
  <c r="AI42" i="104" a="1"/>
  <c r="AI42" i="104" s="1"/>
  <c r="AN41" i="104" a="1"/>
  <c r="AN41" i="104" s="1"/>
  <c r="AM41" i="104" a="1"/>
  <c r="AM41" i="104" s="1"/>
  <c r="AL41" i="104" a="1"/>
  <c r="AL41" i="104" s="1"/>
  <c r="AK41" i="104" a="1"/>
  <c r="AK41" i="104" s="1"/>
  <c r="AJ41" i="104" a="1"/>
  <c r="AJ41" i="104" s="1"/>
  <c r="AI41" i="104" a="1"/>
  <c r="AI41" i="104" s="1"/>
  <c r="AN39" i="104" a="1"/>
  <c r="AN39" i="104" s="1"/>
  <c r="AM39" i="104" a="1"/>
  <c r="AM39" i="104" s="1"/>
  <c r="AL39" i="104" a="1"/>
  <c r="AL39" i="104" s="1"/>
  <c r="AK39" i="104" a="1"/>
  <c r="AK39" i="104" s="1"/>
  <c r="AJ39" i="104" a="1"/>
  <c r="AJ39" i="104" s="1"/>
  <c r="AI39" i="104" a="1"/>
  <c r="AI39" i="104" s="1"/>
  <c r="AN38" i="104" a="1"/>
  <c r="AN38" i="104" s="1"/>
  <c r="AM38" i="104" a="1"/>
  <c r="AM38" i="104" s="1"/>
  <c r="AL38" i="104" a="1"/>
  <c r="AL38" i="104" s="1"/>
  <c r="AK38" i="104" a="1"/>
  <c r="AK38" i="104" s="1"/>
  <c r="AJ38" i="104" a="1"/>
  <c r="AJ38" i="104" s="1"/>
  <c r="AI38" i="104" a="1"/>
  <c r="AI38" i="104" s="1"/>
  <c r="AN37" i="104" a="1"/>
  <c r="AN37" i="104" s="1"/>
  <c r="AM37" i="104" a="1"/>
  <c r="AM37" i="104" s="1"/>
  <c r="AL37" i="104" a="1"/>
  <c r="AL37" i="104" s="1"/>
  <c r="AK37" i="104" a="1"/>
  <c r="AK37" i="104" s="1"/>
  <c r="AJ37" i="104" a="1"/>
  <c r="AJ37" i="104" s="1"/>
  <c r="AI37" i="104" a="1"/>
  <c r="AI37" i="104" s="1"/>
  <c r="AN36" i="104" a="1"/>
  <c r="AN36" i="104" s="1"/>
  <c r="AM36" i="104" a="1"/>
  <c r="AM36" i="104" s="1"/>
  <c r="AL36" i="104" a="1"/>
  <c r="AL36" i="104" s="1"/>
  <c r="AK36" i="104" a="1"/>
  <c r="AK36" i="104" s="1"/>
  <c r="AJ36" i="104" a="1"/>
  <c r="AJ36" i="104" s="1"/>
  <c r="AI36" i="104" a="1"/>
  <c r="AI36" i="104" s="1"/>
  <c r="AN35" i="104" a="1"/>
  <c r="AN35" i="104" s="1"/>
  <c r="AM35" i="104" a="1"/>
  <c r="AM35" i="104" s="1"/>
  <c r="AL35" i="104" a="1"/>
  <c r="AL35" i="104" s="1"/>
  <c r="AK35" i="104" a="1"/>
  <c r="AK35" i="104" s="1"/>
  <c r="AJ35" i="104" a="1"/>
  <c r="AJ35" i="104" s="1"/>
  <c r="AI35" i="104" a="1"/>
  <c r="AI35" i="104" s="1"/>
  <c r="AN34" i="104" a="1"/>
  <c r="AN34" i="104" s="1"/>
  <c r="AM34" i="104" a="1"/>
  <c r="AM34" i="104" s="1"/>
  <c r="AL34" i="104" a="1"/>
  <c r="AL34" i="104" s="1"/>
  <c r="AK34" i="104" a="1"/>
  <c r="AK34" i="104" s="1"/>
  <c r="AJ34" i="104" a="1"/>
  <c r="AJ34" i="104" s="1"/>
  <c r="AI34" i="104" a="1"/>
  <c r="AI34" i="104" s="1"/>
  <c r="AN32" i="104" a="1"/>
  <c r="AN32" i="104" s="1"/>
  <c r="AM32" i="104" a="1"/>
  <c r="AM32" i="104" s="1"/>
  <c r="AL32" i="104" a="1"/>
  <c r="AL32" i="104" s="1"/>
  <c r="AK32" i="104" a="1"/>
  <c r="AK32" i="104" s="1"/>
  <c r="AJ32" i="104" a="1"/>
  <c r="AJ32" i="104" s="1"/>
  <c r="AI32" i="104" a="1"/>
  <c r="AI32" i="104" s="1"/>
  <c r="AN29" i="104" a="1"/>
  <c r="AN29" i="104" s="1"/>
  <c r="AM29" i="104" a="1"/>
  <c r="AM29" i="104" s="1"/>
  <c r="AL29" i="104" a="1"/>
  <c r="AL29" i="104" s="1"/>
  <c r="AK29" i="104" a="1"/>
  <c r="AK29" i="104" s="1"/>
  <c r="AJ29" i="104" a="1"/>
  <c r="AJ29" i="104" s="1"/>
  <c r="AI29" i="104" a="1"/>
  <c r="AI29" i="104" s="1"/>
  <c r="AN28" i="104" a="1"/>
  <c r="AN28" i="104" s="1"/>
  <c r="AM28" i="104" a="1"/>
  <c r="AM28" i="104" s="1"/>
  <c r="AL28" i="104" a="1"/>
  <c r="AL28" i="104" s="1"/>
  <c r="AK28" i="104" a="1"/>
  <c r="AK28" i="104" s="1"/>
  <c r="AJ28" i="104" a="1"/>
  <c r="AJ28" i="104" s="1"/>
  <c r="AI28" i="104" a="1"/>
  <c r="AI28" i="104" s="1"/>
  <c r="AN27" i="104" a="1"/>
  <c r="AN27" i="104" s="1"/>
  <c r="AM27" i="104" a="1"/>
  <c r="AM27" i="104" s="1"/>
  <c r="AL27" i="104" a="1"/>
  <c r="AL27" i="104" s="1"/>
  <c r="AK27" i="104" a="1"/>
  <c r="AK27" i="104" s="1"/>
  <c r="AJ27" i="104" a="1"/>
  <c r="AJ27" i="104" s="1"/>
  <c r="AI27" i="104" a="1"/>
  <c r="AI27" i="104" s="1"/>
  <c r="AN26" i="104" a="1"/>
  <c r="AN26" i="104" s="1"/>
  <c r="AM26" i="104" a="1"/>
  <c r="AM26" i="104" s="1"/>
  <c r="AL26" i="104" a="1"/>
  <c r="AL26" i="104" s="1"/>
  <c r="AK26" i="104" a="1"/>
  <c r="AK26" i="104" s="1"/>
  <c r="AJ26" i="104" a="1"/>
  <c r="AJ26" i="104" s="1"/>
  <c r="AI26" i="104" a="1"/>
  <c r="AI26" i="104" s="1"/>
  <c r="AN24" i="104" a="1"/>
  <c r="AN24" i="104" s="1"/>
  <c r="AM24" i="104" a="1"/>
  <c r="AM24" i="104" s="1"/>
  <c r="AL24" i="104" a="1"/>
  <c r="AL24" i="104" s="1"/>
  <c r="AK24" i="104" a="1"/>
  <c r="AK24" i="104" s="1"/>
  <c r="AJ24" i="104" a="1"/>
  <c r="AJ24" i="104" s="1"/>
  <c r="AI24" i="104" a="1"/>
  <c r="AI24" i="104" s="1"/>
  <c r="AN23" i="104" a="1"/>
  <c r="AN23" i="104" s="1"/>
  <c r="AM23" i="104" a="1"/>
  <c r="AM23" i="104" s="1"/>
  <c r="AL23" i="104" a="1"/>
  <c r="AL23" i="104" s="1"/>
  <c r="AK23" i="104" a="1"/>
  <c r="AK23" i="104" s="1"/>
  <c r="AJ23" i="104" a="1"/>
  <c r="AJ23" i="104" s="1"/>
  <c r="AI23" i="104" a="1"/>
  <c r="AI23" i="104" s="1"/>
  <c r="AO23" i="104" s="1"/>
  <c r="AN22" i="104" a="1"/>
  <c r="AN22" i="104" s="1"/>
  <c r="AM22" i="104" a="1"/>
  <c r="AM22" i="104" s="1"/>
  <c r="AL22" i="104" a="1"/>
  <c r="AL22" i="104" s="1"/>
  <c r="AK22" i="104" a="1"/>
  <c r="AK22" i="104" s="1"/>
  <c r="AJ22" i="104" a="1"/>
  <c r="AJ22" i="104" s="1"/>
  <c r="AI22" i="104" a="1"/>
  <c r="AI22" i="104" s="1"/>
  <c r="AN21" i="104" a="1"/>
  <c r="AN21" i="104" s="1"/>
  <c r="AM21" i="104" a="1"/>
  <c r="AM21" i="104" s="1"/>
  <c r="AL21" i="104" a="1"/>
  <c r="AL21" i="104" s="1"/>
  <c r="AK21" i="104" a="1"/>
  <c r="AK21" i="104" s="1"/>
  <c r="AJ21" i="104" a="1"/>
  <c r="AJ21" i="104" s="1"/>
  <c r="AI21" i="104" a="1"/>
  <c r="AI21" i="104" s="1"/>
  <c r="AN20" i="104" a="1"/>
  <c r="AN20" i="104" s="1"/>
  <c r="AM20" i="104" a="1"/>
  <c r="AM20" i="104" s="1"/>
  <c r="AL20" i="104" a="1"/>
  <c r="AL20" i="104" s="1"/>
  <c r="AK20" i="104" a="1"/>
  <c r="AK20" i="104" s="1"/>
  <c r="AJ20" i="104" a="1"/>
  <c r="AJ20" i="104" s="1"/>
  <c r="AI20" i="104" a="1"/>
  <c r="AI20" i="104" s="1"/>
  <c r="AN19" i="104" a="1"/>
  <c r="AN19" i="104" s="1"/>
  <c r="AM19" i="104" a="1"/>
  <c r="AM19" i="104" s="1"/>
  <c r="AL19" i="104" a="1"/>
  <c r="AL19" i="104" s="1"/>
  <c r="AK19" i="104" a="1"/>
  <c r="AK19" i="104" s="1"/>
  <c r="AJ19" i="104" a="1"/>
  <c r="AJ19" i="104" s="1"/>
  <c r="AI19" i="104" a="1"/>
  <c r="AI19" i="104" s="1"/>
  <c r="AN17" i="104" a="1"/>
  <c r="AN17" i="104" s="1"/>
  <c r="AM17" i="104" a="1"/>
  <c r="AM17" i="104" s="1"/>
  <c r="AL17" i="104" a="1"/>
  <c r="AL17" i="104" s="1"/>
  <c r="AK17" i="104" a="1"/>
  <c r="AK17" i="104" s="1"/>
  <c r="AJ17" i="104" a="1"/>
  <c r="AJ17" i="104" s="1"/>
  <c r="AI17" i="104" a="1"/>
  <c r="AI17" i="104" s="1"/>
  <c r="AN15" i="104" a="1"/>
  <c r="AN15" i="104" s="1"/>
  <c r="AM15" i="104" a="1"/>
  <c r="AM15" i="104" s="1"/>
  <c r="AL15" i="104" a="1"/>
  <c r="AL15" i="104" s="1"/>
  <c r="AK15" i="104" a="1"/>
  <c r="AK15" i="104" s="1"/>
  <c r="AJ15" i="104" a="1"/>
  <c r="AJ15" i="104" s="1"/>
  <c r="AI15" i="104" a="1"/>
  <c r="AI15" i="104" s="1"/>
  <c r="AN13" i="104" a="1"/>
  <c r="AN13" i="104" s="1"/>
  <c r="AM13" i="104" a="1"/>
  <c r="AM13" i="104" s="1"/>
  <c r="AL13" i="104" a="1"/>
  <c r="AL13" i="104" s="1"/>
  <c r="AK13" i="104" a="1"/>
  <c r="AK13" i="104" s="1"/>
  <c r="AJ13" i="104" a="1"/>
  <c r="AJ13" i="104" s="1"/>
  <c r="AI13" i="104" a="1"/>
  <c r="AI13" i="104" s="1"/>
  <c r="AG73" i="103"/>
  <c r="AF73" i="103"/>
  <c r="AE73" i="103"/>
  <c r="AD73" i="103"/>
  <c r="AC73" i="103"/>
  <c r="AB73" i="103"/>
  <c r="AA73" i="103"/>
  <c r="Z73" i="103"/>
  <c r="Y73" i="103"/>
  <c r="X73" i="103"/>
  <c r="W73" i="103"/>
  <c r="V73" i="103"/>
  <c r="U73" i="103"/>
  <c r="T73" i="103"/>
  <c r="S73" i="103"/>
  <c r="R73" i="103"/>
  <c r="Q73" i="103"/>
  <c r="P73" i="103"/>
  <c r="O73" i="103"/>
  <c r="N73" i="103"/>
  <c r="M73" i="103"/>
  <c r="L73" i="103"/>
  <c r="K73" i="103"/>
  <c r="J73" i="103"/>
  <c r="I73" i="103"/>
  <c r="H73" i="103"/>
  <c r="G73" i="103"/>
  <c r="F73" i="103"/>
  <c r="E73" i="103"/>
  <c r="AG71" i="103"/>
  <c r="AF71" i="103"/>
  <c r="AE71" i="103"/>
  <c r="AD71" i="103"/>
  <c r="AC71" i="103"/>
  <c r="AB71" i="103"/>
  <c r="AA71" i="103"/>
  <c r="Z71" i="103"/>
  <c r="Y71" i="103"/>
  <c r="X71" i="103"/>
  <c r="W71" i="103"/>
  <c r="V71" i="103"/>
  <c r="U71" i="103"/>
  <c r="T71" i="103"/>
  <c r="S71" i="103"/>
  <c r="R71" i="103"/>
  <c r="Q71" i="103"/>
  <c r="P71" i="103"/>
  <c r="O71" i="103"/>
  <c r="N71" i="103"/>
  <c r="M71" i="103"/>
  <c r="L71" i="103"/>
  <c r="K71" i="103"/>
  <c r="J71" i="103"/>
  <c r="I71" i="103"/>
  <c r="H71" i="103"/>
  <c r="G71" i="103"/>
  <c r="F71" i="103"/>
  <c r="E71" i="103"/>
  <c r="AG69" i="103"/>
  <c r="AF69" i="103"/>
  <c r="AE69" i="103"/>
  <c r="AD69" i="103"/>
  <c r="AC69" i="103"/>
  <c r="AB69" i="103"/>
  <c r="AA69" i="103"/>
  <c r="Z69" i="103"/>
  <c r="Y69" i="103"/>
  <c r="X69" i="103"/>
  <c r="W69" i="103"/>
  <c r="V69" i="103"/>
  <c r="U69" i="103"/>
  <c r="T69" i="103"/>
  <c r="S69" i="103"/>
  <c r="R69" i="103"/>
  <c r="Q69" i="103"/>
  <c r="P69" i="103"/>
  <c r="O69" i="103"/>
  <c r="N69" i="103"/>
  <c r="M69" i="103"/>
  <c r="L69" i="103"/>
  <c r="K69" i="103"/>
  <c r="J69" i="103"/>
  <c r="I69" i="103"/>
  <c r="H69" i="103"/>
  <c r="G69" i="103"/>
  <c r="F69" i="103"/>
  <c r="E69" i="103"/>
  <c r="AG67" i="103"/>
  <c r="AF67" i="103"/>
  <c r="AE67" i="103"/>
  <c r="AD67" i="103"/>
  <c r="AC67" i="103"/>
  <c r="AB67" i="103"/>
  <c r="AA67" i="103"/>
  <c r="Z67" i="103"/>
  <c r="Y67" i="103"/>
  <c r="X67" i="103"/>
  <c r="W67" i="103"/>
  <c r="V67" i="103"/>
  <c r="U67" i="103"/>
  <c r="T67" i="103"/>
  <c r="S67" i="103"/>
  <c r="R67" i="103"/>
  <c r="Q67" i="103"/>
  <c r="P67" i="103"/>
  <c r="O67" i="103"/>
  <c r="N67" i="103"/>
  <c r="M67" i="103"/>
  <c r="L67" i="103"/>
  <c r="K67" i="103"/>
  <c r="J67" i="103"/>
  <c r="I67" i="103"/>
  <c r="H67" i="103"/>
  <c r="G67" i="103"/>
  <c r="F67" i="103"/>
  <c r="E67" i="103"/>
  <c r="AO47" i="103" a="1"/>
  <c r="AO47" i="103" s="1"/>
  <c r="AN47" i="103" a="1"/>
  <c r="AN47" i="103" s="1"/>
  <c r="AM47" i="103" a="1"/>
  <c r="AM47" i="103" s="1"/>
  <c r="AL47" i="103" a="1"/>
  <c r="AL47" i="103" s="1"/>
  <c r="AK47" i="103" a="1"/>
  <c r="AK47" i="103" s="1"/>
  <c r="AJ47" i="103" a="1"/>
  <c r="AJ47" i="103" s="1"/>
  <c r="AO46" i="103" a="1"/>
  <c r="AO46" i="103" s="1"/>
  <c r="AN46" i="103" a="1"/>
  <c r="AN46" i="103" s="1"/>
  <c r="AM46" i="103" a="1"/>
  <c r="AM46" i="103" s="1"/>
  <c r="AL46" i="103" a="1"/>
  <c r="AL46" i="103" s="1"/>
  <c r="AK46" i="103" a="1"/>
  <c r="AK46" i="103" s="1"/>
  <c r="AJ46" i="103" a="1"/>
  <c r="AJ46" i="103" s="1"/>
  <c r="AO45" i="103" a="1"/>
  <c r="AO45" i="103" s="1"/>
  <c r="AN45" i="103" a="1"/>
  <c r="AN45" i="103" s="1"/>
  <c r="AM45" i="103" a="1"/>
  <c r="AM45" i="103" s="1"/>
  <c r="AL45" i="103" a="1"/>
  <c r="AL45" i="103" s="1"/>
  <c r="AK45" i="103" a="1"/>
  <c r="AK45" i="103" s="1"/>
  <c r="AJ45" i="103" a="1"/>
  <c r="AJ45" i="103" s="1"/>
  <c r="AO44" i="103" a="1"/>
  <c r="AO44" i="103" s="1"/>
  <c r="AN44" i="103" a="1"/>
  <c r="AN44" i="103" s="1"/>
  <c r="AM44" i="103" a="1"/>
  <c r="AM44" i="103" s="1"/>
  <c r="AL44" i="103" a="1"/>
  <c r="AL44" i="103" s="1"/>
  <c r="AK44" i="103" a="1"/>
  <c r="AK44" i="103" s="1"/>
  <c r="AJ44" i="103" a="1"/>
  <c r="AJ44" i="103" s="1"/>
  <c r="AO43" i="103" a="1"/>
  <c r="AO43" i="103" s="1"/>
  <c r="AN43" i="103" a="1"/>
  <c r="AN43" i="103" s="1"/>
  <c r="AM43" i="103" a="1"/>
  <c r="AM43" i="103" s="1"/>
  <c r="AL43" i="103" a="1"/>
  <c r="AL43" i="103" s="1"/>
  <c r="AK43" i="103" a="1"/>
  <c r="AK43" i="103" s="1"/>
  <c r="AJ43" i="103" a="1"/>
  <c r="AJ43" i="103" s="1"/>
  <c r="AO42" i="103" a="1"/>
  <c r="AO42" i="103" s="1"/>
  <c r="AN42" i="103" a="1"/>
  <c r="AN42" i="103" s="1"/>
  <c r="AM42" i="103" a="1"/>
  <c r="AM42" i="103" s="1"/>
  <c r="AL42" i="103" a="1"/>
  <c r="AL42" i="103" s="1"/>
  <c r="AK42" i="103" a="1"/>
  <c r="AK42" i="103" s="1"/>
  <c r="AJ42" i="103" a="1"/>
  <c r="AJ42" i="103" s="1"/>
  <c r="AO41" i="103" a="1"/>
  <c r="AO41" i="103" s="1"/>
  <c r="AN41" i="103" a="1"/>
  <c r="AN41" i="103" s="1"/>
  <c r="AM41" i="103" a="1"/>
  <c r="AM41" i="103" s="1"/>
  <c r="AL41" i="103" a="1"/>
  <c r="AL41" i="103" s="1"/>
  <c r="AK41" i="103" a="1"/>
  <c r="AK41" i="103" s="1"/>
  <c r="AJ41" i="103" a="1"/>
  <c r="AJ41" i="103" s="1"/>
  <c r="AO39" i="103" a="1"/>
  <c r="AO39" i="103" s="1"/>
  <c r="AN39" i="103" a="1"/>
  <c r="AN39" i="103" s="1"/>
  <c r="AM39" i="103" a="1"/>
  <c r="AM39" i="103" s="1"/>
  <c r="AL39" i="103" a="1"/>
  <c r="AL39" i="103" s="1"/>
  <c r="AK39" i="103" a="1"/>
  <c r="AK39" i="103" s="1"/>
  <c r="AJ39" i="103" a="1"/>
  <c r="AJ39" i="103" s="1"/>
  <c r="AO38" i="103" a="1"/>
  <c r="AO38" i="103" s="1"/>
  <c r="AN38" i="103" a="1"/>
  <c r="AN38" i="103" s="1"/>
  <c r="AM38" i="103" a="1"/>
  <c r="AM38" i="103" s="1"/>
  <c r="AL38" i="103" a="1"/>
  <c r="AL38" i="103" s="1"/>
  <c r="AK38" i="103" a="1"/>
  <c r="AK38" i="103" s="1"/>
  <c r="AJ38" i="103" a="1"/>
  <c r="AJ38" i="103" s="1"/>
  <c r="AO37" i="103" a="1"/>
  <c r="AO37" i="103" s="1"/>
  <c r="AN37" i="103" a="1"/>
  <c r="AN37" i="103" s="1"/>
  <c r="AM37" i="103" a="1"/>
  <c r="AM37" i="103" s="1"/>
  <c r="AL37" i="103" a="1"/>
  <c r="AL37" i="103" s="1"/>
  <c r="AK37" i="103" a="1"/>
  <c r="AK37" i="103" s="1"/>
  <c r="AJ37" i="103" a="1"/>
  <c r="AJ37" i="103" s="1"/>
  <c r="AO36" i="103" a="1"/>
  <c r="AO36" i="103" s="1"/>
  <c r="AN36" i="103" a="1"/>
  <c r="AN36" i="103" s="1"/>
  <c r="AM36" i="103" a="1"/>
  <c r="AM36" i="103" s="1"/>
  <c r="AL36" i="103" a="1"/>
  <c r="AL36" i="103" s="1"/>
  <c r="AK36" i="103" a="1"/>
  <c r="AK36" i="103" s="1"/>
  <c r="AJ36" i="103" a="1"/>
  <c r="AJ36" i="103" s="1"/>
  <c r="AO35" i="103" a="1"/>
  <c r="AO35" i="103" s="1"/>
  <c r="AN35" i="103" a="1"/>
  <c r="AN35" i="103" s="1"/>
  <c r="AM35" i="103" a="1"/>
  <c r="AM35" i="103" s="1"/>
  <c r="AL35" i="103" a="1"/>
  <c r="AL35" i="103" s="1"/>
  <c r="AK35" i="103" a="1"/>
  <c r="AK35" i="103" s="1"/>
  <c r="AJ35" i="103" a="1"/>
  <c r="AJ35" i="103" s="1"/>
  <c r="AO34" i="103" a="1"/>
  <c r="AO34" i="103" s="1"/>
  <c r="AN34" i="103" a="1"/>
  <c r="AN34" i="103" s="1"/>
  <c r="AM34" i="103" a="1"/>
  <c r="AM34" i="103" s="1"/>
  <c r="AL34" i="103" a="1"/>
  <c r="AL34" i="103" s="1"/>
  <c r="AK34" i="103" a="1"/>
  <c r="AK34" i="103" s="1"/>
  <c r="AJ34" i="103" a="1"/>
  <c r="AJ34" i="103" s="1"/>
  <c r="AO32" i="103" a="1"/>
  <c r="AO32" i="103" s="1"/>
  <c r="AN32" i="103" a="1"/>
  <c r="AN32" i="103" s="1"/>
  <c r="AM32" i="103" a="1"/>
  <c r="AM32" i="103" s="1"/>
  <c r="AL32" i="103" a="1"/>
  <c r="AL32" i="103" s="1"/>
  <c r="AK32" i="103" a="1"/>
  <c r="AK32" i="103" s="1"/>
  <c r="AJ32" i="103" a="1"/>
  <c r="AJ32" i="103" s="1"/>
  <c r="AN29" i="103" a="1"/>
  <c r="AN29" i="103" s="1"/>
  <c r="AO28" i="103" a="1"/>
  <c r="AO28" i="103" s="1"/>
  <c r="AN28" i="103" a="1"/>
  <c r="AN28" i="103" s="1"/>
  <c r="AM28" i="103" a="1"/>
  <c r="AM28" i="103" s="1"/>
  <c r="AL28" i="103" a="1"/>
  <c r="AL28" i="103" s="1"/>
  <c r="AK28" i="103" a="1"/>
  <c r="AK28" i="103" s="1"/>
  <c r="AJ28" i="103" a="1"/>
  <c r="AJ28" i="103" s="1"/>
  <c r="AO27" i="103" a="1"/>
  <c r="AO27" i="103" s="1"/>
  <c r="AN27" i="103" a="1"/>
  <c r="AN27" i="103" s="1"/>
  <c r="AM27" i="103" a="1"/>
  <c r="AM27" i="103" s="1"/>
  <c r="AL27" i="103" a="1"/>
  <c r="AL27" i="103" s="1"/>
  <c r="AK27" i="103" a="1"/>
  <c r="AK27" i="103" s="1"/>
  <c r="AJ27" i="103" a="1"/>
  <c r="AJ27" i="103" s="1"/>
  <c r="AO26" i="103" a="1"/>
  <c r="AO26" i="103" s="1"/>
  <c r="AN26" i="103" a="1"/>
  <c r="AN26" i="103" s="1"/>
  <c r="AM26" i="103" a="1"/>
  <c r="AM26" i="103" s="1"/>
  <c r="AL26" i="103" a="1"/>
  <c r="AL26" i="103" s="1"/>
  <c r="AK26" i="103" a="1"/>
  <c r="AK26" i="103" s="1"/>
  <c r="AJ26" i="103" a="1"/>
  <c r="AJ26" i="103" s="1"/>
  <c r="AO24" i="103" a="1"/>
  <c r="AO24" i="103" s="1"/>
  <c r="AN24" i="103" a="1"/>
  <c r="AN24" i="103" s="1"/>
  <c r="AM24" i="103" a="1"/>
  <c r="AM24" i="103" s="1"/>
  <c r="AL24" i="103" a="1"/>
  <c r="AL24" i="103" s="1"/>
  <c r="AK24" i="103" a="1"/>
  <c r="AK24" i="103" s="1"/>
  <c r="AJ24" i="103" a="1"/>
  <c r="AJ24" i="103" s="1"/>
  <c r="AO23" i="103" a="1"/>
  <c r="AO23" i="103" s="1"/>
  <c r="AN23" i="103" a="1"/>
  <c r="AN23" i="103" s="1"/>
  <c r="AM23" i="103" a="1"/>
  <c r="AM23" i="103" s="1"/>
  <c r="AL23" i="103" a="1"/>
  <c r="AL23" i="103" s="1"/>
  <c r="AK23" i="103" a="1"/>
  <c r="AK23" i="103" s="1"/>
  <c r="AJ23" i="103" a="1"/>
  <c r="AJ23" i="103" s="1"/>
  <c r="AO22" i="103" a="1"/>
  <c r="AO22" i="103" s="1"/>
  <c r="AN22" i="103" a="1"/>
  <c r="AN22" i="103" s="1"/>
  <c r="AM22" i="103" a="1"/>
  <c r="AM22" i="103" s="1"/>
  <c r="AL22" i="103" a="1"/>
  <c r="AL22" i="103" s="1"/>
  <c r="AK22" i="103" a="1"/>
  <c r="AK22" i="103" s="1"/>
  <c r="AJ22" i="103" a="1"/>
  <c r="AJ22" i="103" s="1"/>
  <c r="AO21" i="103" a="1"/>
  <c r="AO21" i="103" s="1"/>
  <c r="AN21" i="103" a="1"/>
  <c r="AN21" i="103" s="1"/>
  <c r="AM21" i="103" a="1"/>
  <c r="AM21" i="103" s="1"/>
  <c r="AL21" i="103" a="1"/>
  <c r="AL21" i="103" s="1"/>
  <c r="AK21" i="103" a="1"/>
  <c r="AK21" i="103" s="1"/>
  <c r="AJ21" i="103" a="1"/>
  <c r="AJ21" i="103" s="1"/>
  <c r="AO20" i="103" a="1"/>
  <c r="AO20" i="103" s="1"/>
  <c r="AN20" i="103" a="1"/>
  <c r="AN20" i="103" s="1"/>
  <c r="AM20" i="103" a="1"/>
  <c r="AM20" i="103" s="1"/>
  <c r="AL20" i="103" a="1"/>
  <c r="AL20" i="103" s="1"/>
  <c r="AK20" i="103" a="1"/>
  <c r="AK20" i="103" s="1"/>
  <c r="AJ20" i="103" a="1"/>
  <c r="AJ20" i="103" s="1"/>
  <c r="AO19" i="103" a="1"/>
  <c r="AO19" i="103" s="1"/>
  <c r="AN19" i="103" a="1"/>
  <c r="AN19" i="103" s="1"/>
  <c r="AM19" i="103" a="1"/>
  <c r="AM19" i="103" s="1"/>
  <c r="AL19" i="103" a="1"/>
  <c r="AL19" i="103" s="1"/>
  <c r="AK19" i="103" a="1"/>
  <c r="AK19" i="103" s="1"/>
  <c r="AJ19" i="103" a="1"/>
  <c r="AJ19" i="103" s="1"/>
  <c r="AO17" i="103" a="1"/>
  <c r="AO17" i="103" s="1"/>
  <c r="AN17" i="103" a="1"/>
  <c r="AN17" i="103" s="1"/>
  <c r="AM17" i="103" a="1"/>
  <c r="AM17" i="103" s="1"/>
  <c r="AL17" i="103" a="1"/>
  <c r="AL17" i="103" s="1"/>
  <c r="AK17" i="103" a="1"/>
  <c r="AK17" i="103" s="1"/>
  <c r="AJ17" i="103" a="1"/>
  <c r="AJ17" i="103" s="1"/>
  <c r="AO15" i="103" a="1"/>
  <c r="AO15" i="103" s="1"/>
  <c r="AN15" i="103" a="1"/>
  <c r="AN15" i="103" s="1"/>
  <c r="AM15" i="103" a="1"/>
  <c r="AM15" i="103" s="1"/>
  <c r="AL15" i="103" a="1"/>
  <c r="AL15" i="103" s="1"/>
  <c r="AK15" i="103" a="1"/>
  <c r="AK15" i="103" s="1"/>
  <c r="AJ15" i="103" a="1"/>
  <c r="AJ15" i="103" s="1"/>
  <c r="AO13" i="103" a="1"/>
  <c r="AO13" i="103" s="1"/>
  <c r="AN13" i="103" a="1"/>
  <c r="AN13" i="103" s="1"/>
  <c r="AM13" i="103" a="1"/>
  <c r="AM13" i="103" s="1"/>
  <c r="AL13" i="103" a="1"/>
  <c r="AL13" i="103" s="1"/>
  <c r="AK13" i="103" a="1"/>
  <c r="AK13" i="103" s="1"/>
  <c r="AJ13" i="103" a="1"/>
  <c r="AJ13" i="103" s="1"/>
  <c r="AH74" i="102"/>
  <c r="AF74" i="102"/>
  <c r="AE74" i="102"/>
  <c r="AD74" i="102"/>
  <c r="AC74" i="102"/>
  <c r="AB74" i="102"/>
  <c r="AA74" i="102"/>
  <c r="Z74" i="102"/>
  <c r="Y74" i="102"/>
  <c r="X74" i="102"/>
  <c r="W74" i="102"/>
  <c r="V74" i="102"/>
  <c r="U74" i="102"/>
  <c r="T74" i="102"/>
  <c r="S74" i="102"/>
  <c r="R74" i="102"/>
  <c r="Q74" i="102"/>
  <c r="P74" i="102"/>
  <c r="O74" i="102"/>
  <c r="N74" i="102"/>
  <c r="M74" i="102"/>
  <c r="L74" i="102"/>
  <c r="K74" i="102"/>
  <c r="J74" i="102"/>
  <c r="I74" i="102"/>
  <c r="H74" i="102"/>
  <c r="G74" i="102"/>
  <c r="F74" i="102"/>
  <c r="E74" i="102"/>
  <c r="AH72" i="102"/>
  <c r="AF72" i="102"/>
  <c r="AE72" i="102"/>
  <c r="AD72" i="102"/>
  <c r="AC72" i="102"/>
  <c r="AB72" i="102"/>
  <c r="AA72" i="102"/>
  <c r="Z72" i="102"/>
  <c r="Y72" i="102"/>
  <c r="X72" i="102"/>
  <c r="W72" i="102"/>
  <c r="V72" i="102"/>
  <c r="U72" i="102"/>
  <c r="T72" i="102"/>
  <c r="S72" i="102"/>
  <c r="R72" i="102"/>
  <c r="Q72" i="102"/>
  <c r="P72" i="102"/>
  <c r="O72" i="102"/>
  <c r="N72" i="102"/>
  <c r="M72" i="102"/>
  <c r="L72" i="102"/>
  <c r="K72" i="102"/>
  <c r="J72" i="102"/>
  <c r="I72" i="102"/>
  <c r="H72" i="102"/>
  <c r="G72" i="102"/>
  <c r="F72" i="102"/>
  <c r="E72" i="102"/>
  <c r="AH70" i="102"/>
  <c r="AF70" i="102"/>
  <c r="AE70" i="102"/>
  <c r="AD70" i="102"/>
  <c r="AC70" i="102"/>
  <c r="AB70" i="102"/>
  <c r="AA70" i="102"/>
  <c r="Z70" i="102"/>
  <c r="Y70" i="102"/>
  <c r="X70" i="102"/>
  <c r="W70" i="102"/>
  <c r="V70" i="102"/>
  <c r="U70" i="102"/>
  <c r="T70" i="102"/>
  <c r="S70" i="102"/>
  <c r="R70" i="102"/>
  <c r="Q70" i="102"/>
  <c r="P70" i="102"/>
  <c r="O70" i="102"/>
  <c r="N70" i="102"/>
  <c r="M70" i="102"/>
  <c r="L70" i="102"/>
  <c r="K70" i="102"/>
  <c r="J70" i="102"/>
  <c r="I70" i="102"/>
  <c r="H70" i="102"/>
  <c r="G70" i="102"/>
  <c r="F70" i="102"/>
  <c r="E70" i="102"/>
  <c r="AH68" i="102"/>
  <c r="AF68" i="102"/>
  <c r="AE68" i="102"/>
  <c r="AD68" i="102"/>
  <c r="AC68" i="102"/>
  <c r="AB68" i="102"/>
  <c r="AA68" i="102"/>
  <c r="Z68" i="102"/>
  <c r="Y68" i="102"/>
  <c r="X68" i="102"/>
  <c r="W68" i="102"/>
  <c r="V68" i="102"/>
  <c r="U68" i="102"/>
  <c r="T68" i="102"/>
  <c r="S68" i="102"/>
  <c r="R68" i="102"/>
  <c r="Q68" i="102"/>
  <c r="P68" i="102"/>
  <c r="O68" i="102"/>
  <c r="N68" i="102"/>
  <c r="M68" i="102"/>
  <c r="L68" i="102"/>
  <c r="K68" i="102"/>
  <c r="J68" i="102"/>
  <c r="I68" i="102"/>
  <c r="H68" i="102"/>
  <c r="G68" i="102"/>
  <c r="F68" i="102"/>
  <c r="E68" i="102"/>
  <c r="AN47" i="102" a="1"/>
  <c r="AN47" i="102" s="1"/>
  <c r="AM47" i="102" a="1"/>
  <c r="AM47" i="102" s="1"/>
  <c r="AL47" i="102" a="1"/>
  <c r="AL47" i="102" s="1"/>
  <c r="AK47" i="102" a="1"/>
  <c r="AK47" i="102" s="1"/>
  <c r="AJ47" i="102" a="1"/>
  <c r="AJ47" i="102" s="1"/>
  <c r="AI47" i="102" a="1"/>
  <c r="AI47" i="102" s="1"/>
  <c r="AN46" i="102" a="1"/>
  <c r="AN46" i="102" s="1"/>
  <c r="AM46" i="102" a="1"/>
  <c r="AM46" i="102" s="1"/>
  <c r="AL46" i="102" a="1"/>
  <c r="AL46" i="102" s="1"/>
  <c r="AK46" i="102" a="1"/>
  <c r="AK46" i="102" s="1"/>
  <c r="AJ46" i="102" a="1"/>
  <c r="AJ46" i="102" s="1"/>
  <c r="AI46" i="102" a="1"/>
  <c r="AI46" i="102" s="1"/>
  <c r="AN45" i="102" a="1"/>
  <c r="AN45" i="102" s="1"/>
  <c r="AM45" i="102" a="1"/>
  <c r="AM45" i="102" s="1"/>
  <c r="AL45" i="102" a="1"/>
  <c r="AL45" i="102" s="1"/>
  <c r="AK45" i="102" a="1"/>
  <c r="AK45" i="102" s="1"/>
  <c r="AJ45" i="102" a="1"/>
  <c r="AJ45" i="102" s="1"/>
  <c r="AI45" i="102" a="1"/>
  <c r="AI45" i="102" s="1"/>
  <c r="AN44" i="102" a="1"/>
  <c r="AN44" i="102" s="1"/>
  <c r="AM44" i="102" a="1"/>
  <c r="AM44" i="102" s="1"/>
  <c r="AL44" i="102" a="1"/>
  <c r="AL44" i="102" s="1"/>
  <c r="AK44" i="102" a="1"/>
  <c r="AK44" i="102" s="1"/>
  <c r="AJ44" i="102" a="1"/>
  <c r="AJ44" i="102" s="1"/>
  <c r="AI44" i="102" a="1"/>
  <c r="AI44" i="102" s="1"/>
  <c r="AN43" i="102" a="1"/>
  <c r="AN43" i="102" s="1"/>
  <c r="AM43" i="102" a="1"/>
  <c r="AM43" i="102" s="1"/>
  <c r="AL43" i="102" a="1"/>
  <c r="AL43" i="102" s="1"/>
  <c r="AK43" i="102" a="1"/>
  <c r="AK43" i="102" s="1"/>
  <c r="AJ43" i="102" a="1"/>
  <c r="AJ43" i="102" s="1"/>
  <c r="AI43" i="102" a="1"/>
  <c r="AI43" i="102" s="1"/>
  <c r="AN42" i="102" a="1"/>
  <c r="AN42" i="102" s="1"/>
  <c r="AM42" i="102" a="1"/>
  <c r="AM42" i="102" s="1"/>
  <c r="AL42" i="102" a="1"/>
  <c r="AL42" i="102" s="1"/>
  <c r="AK42" i="102" a="1"/>
  <c r="AK42" i="102" s="1"/>
  <c r="AJ42" i="102" a="1"/>
  <c r="AJ42" i="102" s="1"/>
  <c r="AI42" i="102" a="1"/>
  <c r="AI42" i="102" s="1"/>
  <c r="AN41" i="102" a="1"/>
  <c r="AN41" i="102" s="1"/>
  <c r="AM41" i="102" a="1"/>
  <c r="AM41" i="102" s="1"/>
  <c r="AL41" i="102" a="1"/>
  <c r="AL41" i="102" s="1"/>
  <c r="AK41" i="102" a="1"/>
  <c r="AK41" i="102" s="1"/>
  <c r="AJ41" i="102" a="1"/>
  <c r="AJ41" i="102" s="1"/>
  <c r="AI41" i="102" a="1"/>
  <c r="AI41" i="102" s="1"/>
  <c r="AN39" i="102" a="1"/>
  <c r="AN39" i="102" s="1"/>
  <c r="AM39" i="102" a="1"/>
  <c r="AM39" i="102" s="1"/>
  <c r="AL39" i="102" a="1"/>
  <c r="AL39" i="102" s="1"/>
  <c r="AK39" i="102" a="1"/>
  <c r="AK39" i="102" s="1"/>
  <c r="AJ39" i="102" a="1"/>
  <c r="AJ39" i="102" s="1"/>
  <c r="AI39" i="102" a="1"/>
  <c r="AI39" i="102" s="1"/>
  <c r="AO39" i="102" s="1"/>
  <c r="AN38" i="102" a="1"/>
  <c r="AN38" i="102" s="1"/>
  <c r="AM38" i="102" a="1"/>
  <c r="AM38" i="102" s="1"/>
  <c r="AL38" i="102" a="1"/>
  <c r="AL38" i="102" s="1"/>
  <c r="AK38" i="102" a="1"/>
  <c r="AK38" i="102" s="1"/>
  <c r="AJ38" i="102" a="1"/>
  <c r="AJ38" i="102" s="1"/>
  <c r="AI38" i="102" a="1"/>
  <c r="AI38" i="102" s="1"/>
  <c r="AN37" i="102" a="1"/>
  <c r="AN37" i="102" s="1"/>
  <c r="AM37" i="102" a="1"/>
  <c r="AM37" i="102" s="1"/>
  <c r="AL37" i="102" a="1"/>
  <c r="AL37" i="102" s="1"/>
  <c r="AK37" i="102" a="1"/>
  <c r="AK37" i="102" s="1"/>
  <c r="AJ37" i="102" a="1"/>
  <c r="AJ37" i="102" s="1"/>
  <c r="AI37" i="102" a="1"/>
  <c r="AI37" i="102" s="1"/>
  <c r="AN36" i="102" a="1"/>
  <c r="AN36" i="102" s="1"/>
  <c r="AM36" i="102" a="1"/>
  <c r="AM36" i="102" s="1"/>
  <c r="AL36" i="102" a="1"/>
  <c r="AL36" i="102" s="1"/>
  <c r="AK36" i="102" a="1"/>
  <c r="AK36" i="102" s="1"/>
  <c r="AJ36" i="102" a="1"/>
  <c r="AJ36" i="102" s="1"/>
  <c r="AI36" i="102" a="1"/>
  <c r="AI36" i="102" s="1"/>
  <c r="AN35" i="102" a="1"/>
  <c r="AN35" i="102" s="1"/>
  <c r="AM35" i="102" a="1"/>
  <c r="AM35" i="102" s="1"/>
  <c r="AL35" i="102" a="1"/>
  <c r="AL35" i="102" s="1"/>
  <c r="AK35" i="102" a="1"/>
  <c r="AK35" i="102" s="1"/>
  <c r="AJ35" i="102" a="1"/>
  <c r="AJ35" i="102" s="1"/>
  <c r="AI35" i="102" a="1"/>
  <c r="AI35" i="102" s="1"/>
  <c r="AN34" i="102" a="1"/>
  <c r="AN34" i="102" s="1"/>
  <c r="AM34" i="102" a="1"/>
  <c r="AM34" i="102" s="1"/>
  <c r="AL34" i="102" a="1"/>
  <c r="AL34" i="102" s="1"/>
  <c r="AK34" i="102" a="1"/>
  <c r="AK34" i="102" s="1"/>
  <c r="AJ34" i="102" a="1"/>
  <c r="AJ34" i="102" s="1"/>
  <c r="AI34" i="102" a="1"/>
  <c r="AI34" i="102" s="1"/>
  <c r="AN32" i="102" a="1"/>
  <c r="AN32" i="102" s="1"/>
  <c r="AM32" i="102" a="1"/>
  <c r="AM32" i="102" s="1"/>
  <c r="AL32" i="102" a="1"/>
  <c r="AL32" i="102" s="1"/>
  <c r="AK32" i="102" a="1"/>
  <c r="AK32" i="102" s="1"/>
  <c r="AJ32" i="102" a="1"/>
  <c r="AJ32" i="102" s="1"/>
  <c r="AI32" i="102" a="1"/>
  <c r="AI32" i="102" s="1"/>
  <c r="AN29" i="102" a="1"/>
  <c r="AN29" i="102" s="1"/>
  <c r="AM29" i="102" a="1"/>
  <c r="AM29" i="102" s="1"/>
  <c r="AL29" i="102" a="1"/>
  <c r="AL29" i="102" s="1"/>
  <c r="AK29" i="102" a="1"/>
  <c r="AK29" i="102" s="1"/>
  <c r="AJ29" i="102" a="1"/>
  <c r="AJ29" i="102" s="1"/>
  <c r="AI29" i="102" a="1"/>
  <c r="AI29" i="102" s="1"/>
  <c r="AN28" i="102" a="1"/>
  <c r="AN28" i="102" s="1"/>
  <c r="AM28" i="102" a="1"/>
  <c r="AM28" i="102" s="1"/>
  <c r="AL28" i="102" a="1"/>
  <c r="AL28" i="102" s="1"/>
  <c r="AK28" i="102" a="1"/>
  <c r="AK28" i="102" s="1"/>
  <c r="AJ28" i="102" a="1"/>
  <c r="AJ28" i="102" s="1"/>
  <c r="AI28" i="102" a="1"/>
  <c r="AI28" i="102" s="1"/>
  <c r="AN27" i="102" a="1"/>
  <c r="AN27" i="102" s="1"/>
  <c r="AM27" i="102" a="1"/>
  <c r="AM27" i="102" s="1"/>
  <c r="AL27" i="102" a="1"/>
  <c r="AL27" i="102" s="1"/>
  <c r="AK27" i="102" a="1"/>
  <c r="AK27" i="102" s="1"/>
  <c r="AJ27" i="102" a="1"/>
  <c r="AJ27" i="102" s="1"/>
  <c r="AI27" i="102" a="1"/>
  <c r="AI27" i="102" s="1"/>
  <c r="AN26" i="102" a="1"/>
  <c r="AN26" i="102" s="1"/>
  <c r="AM26" i="102" a="1"/>
  <c r="AM26" i="102" s="1"/>
  <c r="AL26" i="102" a="1"/>
  <c r="AL26" i="102" s="1"/>
  <c r="AK26" i="102" a="1"/>
  <c r="AK26" i="102" s="1"/>
  <c r="AJ26" i="102" a="1"/>
  <c r="AJ26" i="102" s="1"/>
  <c r="AI26" i="102" a="1"/>
  <c r="AI26" i="102" s="1"/>
  <c r="AO26" i="102" s="1"/>
  <c r="AN24" i="102" a="1"/>
  <c r="AN24" i="102" s="1"/>
  <c r="AM24" i="102" a="1"/>
  <c r="AM24" i="102" s="1"/>
  <c r="AL24" i="102" a="1"/>
  <c r="AL24" i="102" s="1"/>
  <c r="AK24" i="102" a="1"/>
  <c r="AK24" i="102" s="1"/>
  <c r="AJ24" i="102" a="1"/>
  <c r="AJ24" i="102" s="1"/>
  <c r="AI24" i="102" a="1"/>
  <c r="AI24" i="102" s="1"/>
  <c r="AN23" i="102" a="1"/>
  <c r="AN23" i="102" s="1"/>
  <c r="AM23" i="102" a="1"/>
  <c r="AM23" i="102" s="1"/>
  <c r="AL23" i="102" a="1"/>
  <c r="AL23" i="102" s="1"/>
  <c r="AK23" i="102" a="1"/>
  <c r="AK23" i="102" s="1"/>
  <c r="AJ23" i="102" a="1"/>
  <c r="AJ23" i="102" s="1"/>
  <c r="AI23" i="102" a="1"/>
  <c r="AI23" i="102" s="1"/>
  <c r="AN22" i="102" a="1"/>
  <c r="AN22" i="102" s="1"/>
  <c r="AM22" i="102" a="1"/>
  <c r="AM22" i="102" s="1"/>
  <c r="AL22" i="102" a="1"/>
  <c r="AL22" i="102" s="1"/>
  <c r="AK22" i="102" a="1"/>
  <c r="AK22" i="102" s="1"/>
  <c r="AJ22" i="102" a="1"/>
  <c r="AJ22" i="102" s="1"/>
  <c r="AI22" i="102" a="1"/>
  <c r="AI22" i="102" s="1"/>
  <c r="AN21" i="102" a="1"/>
  <c r="AN21" i="102" s="1"/>
  <c r="AM21" i="102" a="1"/>
  <c r="AM21" i="102" s="1"/>
  <c r="AL21" i="102" a="1"/>
  <c r="AL21" i="102" s="1"/>
  <c r="AK21" i="102" a="1"/>
  <c r="AK21" i="102" s="1"/>
  <c r="AJ21" i="102" a="1"/>
  <c r="AJ21" i="102" s="1"/>
  <c r="AI21" i="102" a="1"/>
  <c r="AI21" i="102" s="1"/>
  <c r="AO21" i="102" s="1"/>
  <c r="AN20" i="102" a="1"/>
  <c r="AN20" i="102" s="1"/>
  <c r="AM20" i="102" a="1"/>
  <c r="AM20" i="102" s="1"/>
  <c r="AL20" i="102" a="1"/>
  <c r="AL20" i="102" s="1"/>
  <c r="AK20" i="102" a="1"/>
  <c r="AK20" i="102" s="1"/>
  <c r="AJ20" i="102" a="1"/>
  <c r="AJ20" i="102" s="1"/>
  <c r="AI20" i="102" a="1"/>
  <c r="AI20" i="102" s="1"/>
  <c r="AN19" i="102" a="1"/>
  <c r="AN19" i="102" s="1"/>
  <c r="AM19" i="102" a="1"/>
  <c r="AM19" i="102" s="1"/>
  <c r="AL19" i="102" a="1"/>
  <c r="AL19" i="102" s="1"/>
  <c r="AK19" i="102" a="1"/>
  <c r="AK19" i="102" s="1"/>
  <c r="AJ19" i="102" a="1"/>
  <c r="AJ19" i="102" s="1"/>
  <c r="AI19" i="102" a="1"/>
  <c r="AI19" i="102" s="1"/>
  <c r="AN17" i="102" a="1"/>
  <c r="AN17" i="102" s="1"/>
  <c r="AM17" i="102" a="1"/>
  <c r="AM17" i="102" s="1"/>
  <c r="AL17" i="102" a="1"/>
  <c r="AL17" i="102" s="1"/>
  <c r="AK17" i="102" a="1"/>
  <c r="AK17" i="102" s="1"/>
  <c r="AJ17" i="102" a="1"/>
  <c r="AJ17" i="102" s="1"/>
  <c r="AI17" i="102" a="1"/>
  <c r="AI17" i="102" s="1"/>
  <c r="AN15" i="102" a="1"/>
  <c r="AN15" i="102" s="1"/>
  <c r="AM15" i="102" a="1"/>
  <c r="AM15" i="102" s="1"/>
  <c r="AL15" i="102" a="1"/>
  <c r="AL15" i="102" s="1"/>
  <c r="AK15" i="102" a="1"/>
  <c r="AK15" i="102" s="1"/>
  <c r="AJ15" i="102" a="1"/>
  <c r="AJ15" i="102" s="1"/>
  <c r="AI15" i="102" a="1"/>
  <c r="AI15" i="102" s="1"/>
  <c r="AN13" i="102" a="1"/>
  <c r="AN13" i="102" s="1"/>
  <c r="AM13" i="102" a="1"/>
  <c r="AM13" i="102" s="1"/>
  <c r="AL13" i="102" a="1"/>
  <c r="AL13" i="102" s="1"/>
  <c r="AK13" i="102" a="1"/>
  <c r="AK13" i="102" s="1"/>
  <c r="AJ13" i="102" a="1"/>
  <c r="AJ13" i="102" s="1"/>
  <c r="AI13" i="102" a="1"/>
  <c r="AI13" i="102" s="1"/>
  <c r="AG86" i="101"/>
  <c r="AF86" i="101"/>
  <c r="AE86" i="101"/>
  <c r="AD86" i="101"/>
  <c r="AC86" i="101"/>
  <c r="AB86" i="101"/>
  <c r="AA86" i="101"/>
  <c r="Z86" i="101"/>
  <c r="Y86" i="101"/>
  <c r="X86" i="101"/>
  <c r="W86" i="101"/>
  <c r="V86" i="101"/>
  <c r="U86" i="101"/>
  <c r="T86" i="101"/>
  <c r="S86" i="101"/>
  <c r="R86" i="101"/>
  <c r="Q86" i="101"/>
  <c r="P86" i="101"/>
  <c r="O86" i="101"/>
  <c r="N86" i="101"/>
  <c r="M86" i="101"/>
  <c r="L86" i="101"/>
  <c r="K86" i="101"/>
  <c r="J86" i="101"/>
  <c r="I86" i="101"/>
  <c r="H86" i="101"/>
  <c r="G86" i="101"/>
  <c r="F86" i="101"/>
  <c r="E86" i="101"/>
  <c r="AG84" i="101"/>
  <c r="AF84" i="101"/>
  <c r="AE84" i="101"/>
  <c r="AD84" i="101"/>
  <c r="AC84" i="101"/>
  <c r="AB84" i="101"/>
  <c r="AA84" i="101"/>
  <c r="Z84" i="101"/>
  <c r="Y84" i="101"/>
  <c r="X84" i="101"/>
  <c r="W84" i="101"/>
  <c r="V84" i="101"/>
  <c r="U84" i="101"/>
  <c r="T84" i="101"/>
  <c r="S84" i="101"/>
  <c r="R84" i="101"/>
  <c r="Q84" i="101"/>
  <c r="P84" i="101"/>
  <c r="O84" i="101"/>
  <c r="N84" i="101"/>
  <c r="M84" i="101"/>
  <c r="L84" i="101"/>
  <c r="K84" i="101"/>
  <c r="J84" i="101"/>
  <c r="I84" i="101"/>
  <c r="H84" i="101"/>
  <c r="G84" i="101"/>
  <c r="F84" i="101"/>
  <c r="E84" i="101"/>
  <c r="AG82" i="101"/>
  <c r="AF82" i="101"/>
  <c r="AE82" i="101"/>
  <c r="AD82" i="101"/>
  <c r="AC82" i="101"/>
  <c r="AB82" i="101"/>
  <c r="AA82" i="101"/>
  <c r="Z82" i="101"/>
  <c r="Y82" i="101"/>
  <c r="X82" i="101"/>
  <c r="W82" i="101"/>
  <c r="V82" i="101"/>
  <c r="U82" i="101"/>
  <c r="T82" i="101"/>
  <c r="S82" i="101"/>
  <c r="R82" i="101"/>
  <c r="Q82" i="101"/>
  <c r="P82" i="101"/>
  <c r="O82" i="101"/>
  <c r="N82" i="101"/>
  <c r="M82" i="101"/>
  <c r="L82" i="101"/>
  <c r="K82" i="101"/>
  <c r="J82" i="101"/>
  <c r="I82" i="101"/>
  <c r="H82" i="101"/>
  <c r="G82" i="101"/>
  <c r="F82" i="101"/>
  <c r="E82" i="101"/>
  <c r="AG80" i="101"/>
  <c r="AF80" i="101"/>
  <c r="AE80" i="101"/>
  <c r="AD80" i="101"/>
  <c r="AC80" i="101"/>
  <c r="AB80" i="101"/>
  <c r="AA80" i="101"/>
  <c r="Z80" i="101"/>
  <c r="Y80" i="101"/>
  <c r="X80" i="101"/>
  <c r="W80" i="101"/>
  <c r="V80" i="101"/>
  <c r="U80" i="101"/>
  <c r="T80" i="101"/>
  <c r="S80" i="101"/>
  <c r="R80" i="101"/>
  <c r="Q80" i="101"/>
  <c r="P80" i="101"/>
  <c r="O80" i="101"/>
  <c r="N80" i="101"/>
  <c r="M80" i="101"/>
  <c r="L80" i="101"/>
  <c r="K80" i="101"/>
  <c r="J80" i="101"/>
  <c r="I80" i="101"/>
  <c r="H80" i="101"/>
  <c r="G80" i="101"/>
  <c r="F80" i="101"/>
  <c r="E80" i="101"/>
  <c r="AO47" i="101" a="1"/>
  <c r="AO47" i="101" s="1"/>
  <c r="AN47" i="101" a="1"/>
  <c r="AN47" i="101" s="1"/>
  <c r="AM47" i="101" a="1"/>
  <c r="AM47" i="101" s="1"/>
  <c r="AL47" i="101" a="1"/>
  <c r="AL47" i="101" s="1"/>
  <c r="AK47" i="101" a="1"/>
  <c r="AK47" i="101" s="1"/>
  <c r="AJ47" i="101" a="1"/>
  <c r="AJ47" i="101" s="1"/>
  <c r="AO46" i="101" a="1"/>
  <c r="AO46" i="101" s="1"/>
  <c r="AN46" i="101" a="1"/>
  <c r="AN46" i="101" s="1"/>
  <c r="AM46" i="101" a="1"/>
  <c r="AM46" i="101" s="1"/>
  <c r="AL46" i="101" a="1"/>
  <c r="AL46" i="101" s="1"/>
  <c r="AK46" i="101" a="1"/>
  <c r="AK46" i="101" s="1"/>
  <c r="AJ46" i="101" a="1"/>
  <c r="AJ46" i="101" s="1"/>
  <c r="AP46" i="101" s="1"/>
  <c r="AO45" i="101" a="1"/>
  <c r="AO45" i="101" s="1"/>
  <c r="AN45" i="101" a="1"/>
  <c r="AN45" i="101" s="1"/>
  <c r="AM45" i="101" a="1"/>
  <c r="AM45" i="101" s="1"/>
  <c r="AL45" i="101" a="1"/>
  <c r="AL45" i="101" s="1"/>
  <c r="AK45" i="101" a="1"/>
  <c r="AK45" i="101" s="1"/>
  <c r="AJ45" i="101" a="1"/>
  <c r="AJ45" i="101" s="1"/>
  <c r="AP45" i="101" s="1"/>
  <c r="AO44" i="101" a="1"/>
  <c r="AO44" i="101" s="1"/>
  <c r="AN44" i="101" a="1"/>
  <c r="AN44" i="101" s="1"/>
  <c r="AM44" i="101" a="1"/>
  <c r="AM44" i="101" s="1"/>
  <c r="AL44" i="101" a="1"/>
  <c r="AL44" i="101" s="1"/>
  <c r="AK44" i="101" a="1"/>
  <c r="AK44" i="101" s="1"/>
  <c r="AJ44" i="101" a="1"/>
  <c r="AJ44" i="101" s="1"/>
  <c r="AO43" i="101" a="1"/>
  <c r="AO43" i="101" s="1"/>
  <c r="AN43" i="101" a="1"/>
  <c r="AN43" i="101" s="1"/>
  <c r="AM43" i="101" a="1"/>
  <c r="AM43" i="101" s="1"/>
  <c r="AL43" i="101" a="1"/>
  <c r="AL43" i="101" s="1"/>
  <c r="AK43" i="101" a="1"/>
  <c r="AK43" i="101" s="1"/>
  <c r="AJ43" i="101" a="1"/>
  <c r="AJ43" i="101" s="1"/>
  <c r="AO42" i="101" a="1"/>
  <c r="AO42" i="101" s="1"/>
  <c r="AN42" i="101" a="1"/>
  <c r="AN42" i="101" s="1"/>
  <c r="AM42" i="101" a="1"/>
  <c r="AM42" i="101" s="1"/>
  <c r="AL42" i="101" a="1"/>
  <c r="AL42" i="101" s="1"/>
  <c r="AK42" i="101" a="1"/>
  <c r="AK42" i="101" s="1"/>
  <c r="AJ42" i="101" a="1"/>
  <c r="AJ42" i="101" s="1"/>
  <c r="AP42" i="101" s="1"/>
  <c r="AO41" i="101" a="1"/>
  <c r="AO41" i="101" s="1"/>
  <c r="AN41" i="101" a="1"/>
  <c r="AN41" i="101" s="1"/>
  <c r="AM41" i="101" a="1"/>
  <c r="AM41" i="101" s="1"/>
  <c r="AL41" i="101" a="1"/>
  <c r="AL41" i="101" s="1"/>
  <c r="AK41" i="101" a="1"/>
  <c r="AK41" i="101" s="1"/>
  <c r="AJ41" i="101" a="1"/>
  <c r="AJ41" i="101" s="1"/>
  <c r="AO39" i="101" a="1"/>
  <c r="AO39" i="101" s="1"/>
  <c r="AN39" i="101" a="1"/>
  <c r="AN39" i="101" s="1"/>
  <c r="AM39" i="101" a="1"/>
  <c r="AM39" i="101" s="1"/>
  <c r="AL39" i="101" a="1"/>
  <c r="AL39" i="101" s="1"/>
  <c r="AK39" i="101" a="1"/>
  <c r="AK39" i="101" s="1"/>
  <c r="AJ39" i="101" a="1"/>
  <c r="AJ39" i="101" s="1"/>
  <c r="AO38" i="101" a="1"/>
  <c r="AO38" i="101" s="1"/>
  <c r="AN38" i="101" a="1"/>
  <c r="AN38" i="101" s="1"/>
  <c r="AM38" i="101" a="1"/>
  <c r="AM38" i="101" s="1"/>
  <c r="AL38" i="101" a="1"/>
  <c r="AL38" i="101" s="1"/>
  <c r="AK38" i="101" a="1"/>
  <c r="AK38" i="101" s="1"/>
  <c r="AJ38" i="101" a="1"/>
  <c r="AJ38" i="101" s="1"/>
  <c r="AO37" i="101" a="1"/>
  <c r="AO37" i="101" s="1"/>
  <c r="AN37" i="101" a="1"/>
  <c r="AN37" i="101" s="1"/>
  <c r="AM37" i="101" a="1"/>
  <c r="AM37" i="101" s="1"/>
  <c r="AL37" i="101" a="1"/>
  <c r="AL37" i="101" s="1"/>
  <c r="AK37" i="101" a="1"/>
  <c r="AK37" i="101" s="1"/>
  <c r="AJ37" i="101" a="1"/>
  <c r="AJ37" i="101" s="1"/>
  <c r="AO36" i="101" a="1"/>
  <c r="AO36" i="101" s="1"/>
  <c r="AN36" i="101" a="1"/>
  <c r="AN36" i="101" s="1"/>
  <c r="AM36" i="101" a="1"/>
  <c r="AM36" i="101" s="1"/>
  <c r="AL36" i="101" a="1"/>
  <c r="AL36" i="101" s="1"/>
  <c r="AK36" i="101" a="1"/>
  <c r="AK36" i="101" s="1"/>
  <c r="AJ36" i="101" a="1"/>
  <c r="AJ36" i="101" s="1"/>
  <c r="AO35" i="101" a="1"/>
  <c r="AO35" i="101" s="1"/>
  <c r="AN35" i="101" a="1"/>
  <c r="AN35" i="101" s="1"/>
  <c r="AM35" i="101" a="1"/>
  <c r="AM35" i="101" s="1"/>
  <c r="AL35" i="101" a="1"/>
  <c r="AL35" i="101" s="1"/>
  <c r="AK35" i="101" a="1"/>
  <c r="AK35" i="101" s="1"/>
  <c r="AJ35" i="101" a="1"/>
  <c r="AJ35" i="101" s="1"/>
  <c r="AO34" i="101" a="1"/>
  <c r="AO34" i="101" s="1"/>
  <c r="AN34" i="101" a="1"/>
  <c r="AN34" i="101" s="1"/>
  <c r="AM34" i="101" a="1"/>
  <c r="AM34" i="101" s="1"/>
  <c r="AL34" i="101" a="1"/>
  <c r="AL34" i="101" s="1"/>
  <c r="AK34" i="101" a="1"/>
  <c r="AK34" i="101" s="1"/>
  <c r="AJ34" i="101" a="1"/>
  <c r="AJ34" i="101" s="1"/>
  <c r="AO32" i="101" a="1"/>
  <c r="AO32" i="101" s="1"/>
  <c r="AN32" i="101" a="1"/>
  <c r="AN32" i="101" s="1"/>
  <c r="AM32" i="101" a="1"/>
  <c r="AM32" i="101" s="1"/>
  <c r="AL32" i="101" a="1"/>
  <c r="AL32" i="101" s="1"/>
  <c r="AK32" i="101" a="1"/>
  <c r="AK32" i="101" s="1"/>
  <c r="AJ32" i="101" a="1"/>
  <c r="AJ32" i="101" s="1"/>
  <c r="AO29" i="101" a="1"/>
  <c r="AO29" i="101" s="1"/>
  <c r="AN29" i="101" a="1"/>
  <c r="AN29" i="101" s="1"/>
  <c r="AM29" i="101" a="1"/>
  <c r="AM29" i="101" s="1"/>
  <c r="AL29" i="101" a="1"/>
  <c r="AL29" i="101" s="1"/>
  <c r="AK29" i="101" a="1"/>
  <c r="AK29" i="101" s="1"/>
  <c r="AJ29" i="101" a="1"/>
  <c r="AJ29" i="101" s="1"/>
  <c r="AO28" i="101" a="1"/>
  <c r="AO28" i="101" s="1"/>
  <c r="AN28" i="101" a="1"/>
  <c r="AN28" i="101" s="1"/>
  <c r="AM28" i="101" a="1"/>
  <c r="AM28" i="101" s="1"/>
  <c r="AL28" i="101" a="1"/>
  <c r="AL28" i="101" s="1"/>
  <c r="AK28" i="101" a="1"/>
  <c r="AK28" i="101" s="1"/>
  <c r="AJ28" i="101" a="1"/>
  <c r="AJ28" i="101" s="1"/>
  <c r="AO27" i="101" a="1"/>
  <c r="AO27" i="101" s="1"/>
  <c r="AN27" i="101" a="1"/>
  <c r="AN27" i="101" s="1"/>
  <c r="AM27" i="101" a="1"/>
  <c r="AM27" i="101" s="1"/>
  <c r="AL27" i="101" a="1"/>
  <c r="AL27" i="101" s="1"/>
  <c r="AK27" i="101" a="1"/>
  <c r="AK27" i="101" s="1"/>
  <c r="AJ27" i="101" a="1"/>
  <c r="AJ27" i="101" s="1"/>
  <c r="AP27" i="101" s="1"/>
  <c r="AO26" i="101" a="1"/>
  <c r="AO26" i="101" s="1"/>
  <c r="AN26" i="101" a="1"/>
  <c r="AN26" i="101" s="1"/>
  <c r="AM26" i="101" a="1"/>
  <c r="AM26" i="101" s="1"/>
  <c r="AL26" i="101" a="1"/>
  <c r="AL26" i="101" s="1"/>
  <c r="AK26" i="101" a="1"/>
  <c r="AK26" i="101" s="1"/>
  <c r="AJ26" i="101" a="1"/>
  <c r="AJ26" i="101" s="1"/>
  <c r="AO24" i="101" a="1"/>
  <c r="AO24" i="101" s="1"/>
  <c r="AN24" i="101" a="1"/>
  <c r="AN24" i="101" s="1"/>
  <c r="AM24" i="101" a="1"/>
  <c r="AM24" i="101" s="1"/>
  <c r="AL24" i="101" a="1"/>
  <c r="AL24" i="101" s="1"/>
  <c r="AK24" i="101" a="1"/>
  <c r="AK24" i="101" s="1"/>
  <c r="AJ24" i="101" a="1"/>
  <c r="AJ24" i="101" s="1"/>
  <c r="AP24" i="101" s="1"/>
  <c r="AO23" i="101" a="1"/>
  <c r="AO23" i="101" s="1"/>
  <c r="AN23" i="101" a="1"/>
  <c r="AN23" i="101" s="1"/>
  <c r="AM23" i="101" a="1"/>
  <c r="AM23" i="101" s="1"/>
  <c r="AL23" i="101" a="1"/>
  <c r="AL23" i="101" s="1"/>
  <c r="AK23" i="101" a="1"/>
  <c r="AK23" i="101" s="1"/>
  <c r="AJ23" i="101" a="1"/>
  <c r="AJ23" i="101" s="1"/>
  <c r="AO22" i="101" a="1"/>
  <c r="AO22" i="101" s="1"/>
  <c r="AN22" i="101" a="1"/>
  <c r="AN22" i="101" s="1"/>
  <c r="AM22" i="101" a="1"/>
  <c r="AM22" i="101" s="1"/>
  <c r="AL22" i="101" a="1"/>
  <c r="AL22" i="101" s="1"/>
  <c r="AK22" i="101" a="1"/>
  <c r="AK22" i="101" s="1"/>
  <c r="AJ22" i="101" a="1"/>
  <c r="AJ22" i="101" s="1"/>
  <c r="AO21" i="101" a="1"/>
  <c r="AO21" i="101" s="1"/>
  <c r="AN21" i="101" a="1"/>
  <c r="AN21" i="101" s="1"/>
  <c r="AM21" i="101" a="1"/>
  <c r="AM21" i="101" s="1"/>
  <c r="AL21" i="101" a="1"/>
  <c r="AL21" i="101" s="1"/>
  <c r="AK21" i="101" a="1"/>
  <c r="AK21" i="101" s="1"/>
  <c r="AJ21" i="101" a="1"/>
  <c r="AJ21" i="101" s="1"/>
  <c r="AO20" i="101" a="1"/>
  <c r="AO20" i="101" s="1"/>
  <c r="AN20" i="101" a="1"/>
  <c r="AN20" i="101" s="1"/>
  <c r="AM20" i="101" a="1"/>
  <c r="AM20" i="101" s="1"/>
  <c r="AL20" i="101" a="1"/>
  <c r="AL20" i="101" s="1"/>
  <c r="AK20" i="101" a="1"/>
  <c r="AK20" i="101" s="1"/>
  <c r="AJ20" i="101" a="1"/>
  <c r="AJ20" i="101" s="1"/>
  <c r="AP20" i="101" s="1"/>
  <c r="AO19" i="101" a="1"/>
  <c r="AO19" i="101" s="1"/>
  <c r="AN19" i="101" a="1"/>
  <c r="AN19" i="101" s="1"/>
  <c r="AM19" i="101" a="1"/>
  <c r="AM19" i="101" s="1"/>
  <c r="AL19" i="101" a="1"/>
  <c r="AL19" i="101" s="1"/>
  <c r="AK19" i="101" a="1"/>
  <c r="AK19" i="101" s="1"/>
  <c r="AJ19" i="101" a="1"/>
  <c r="AJ19" i="101" s="1"/>
  <c r="AO17" i="101" a="1"/>
  <c r="AO17" i="101" s="1"/>
  <c r="AN17" i="101" a="1"/>
  <c r="AN17" i="101" s="1"/>
  <c r="AM17" i="101" a="1"/>
  <c r="AM17" i="101" s="1"/>
  <c r="AL17" i="101" a="1"/>
  <c r="AL17" i="101" s="1"/>
  <c r="AK17" i="101" a="1"/>
  <c r="AK17" i="101" s="1"/>
  <c r="AJ17" i="101" a="1"/>
  <c r="AJ17" i="101" s="1"/>
  <c r="AO15" i="101" a="1"/>
  <c r="AO15" i="101" s="1"/>
  <c r="AN15" i="101" a="1"/>
  <c r="AN15" i="101" s="1"/>
  <c r="AM15" i="101" a="1"/>
  <c r="AM15" i="101" s="1"/>
  <c r="AL15" i="101" a="1"/>
  <c r="AL15" i="101" s="1"/>
  <c r="AK15" i="101" a="1"/>
  <c r="AK15" i="101" s="1"/>
  <c r="AJ15" i="101" a="1"/>
  <c r="AJ15" i="101" s="1"/>
  <c r="AP15" i="101" s="1"/>
  <c r="AO13" i="101" a="1"/>
  <c r="AO13" i="101" s="1"/>
  <c r="AN13" i="101" a="1"/>
  <c r="AN13" i="101" s="1"/>
  <c r="AM13" i="101" a="1"/>
  <c r="AM13" i="101" s="1"/>
  <c r="AL13" i="101" a="1"/>
  <c r="AL13" i="101" s="1"/>
  <c r="AK13" i="101" a="1"/>
  <c r="AK13" i="101" s="1"/>
  <c r="AJ13" i="101" a="1"/>
  <c r="AJ13" i="101" s="1"/>
  <c r="AI96" i="100"/>
  <c r="AG96" i="100"/>
  <c r="AF96" i="100"/>
  <c r="AE96" i="100"/>
  <c r="AD96" i="100"/>
  <c r="AC96" i="100"/>
  <c r="AB96" i="100"/>
  <c r="AA96" i="100"/>
  <c r="Z96" i="100"/>
  <c r="Y96" i="100"/>
  <c r="X96" i="100"/>
  <c r="W96" i="100"/>
  <c r="V96" i="100"/>
  <c r="U96" i="100"/>
  <c r="T96" i="100"/>
  <c r="S96" i="100"/>
  <c r="R96" i="100"/>
  <c r="Q96" i="100"/>
  <c r="P96" i="100"/>
  <c r="O96" i="100"/>
  <c r="N96" i="100"/>
  <c r="M96" i="100"/>
  <c r="L96" i="100"/>
  <c r="K96" i="100"/>
  <c r="J96" i="100"/>
  <c r="I96" i="100"/>
  <c r="H96" i="100"/>
  <c r="G96" i="100"/>
  <c r="F96" i="100"/>
  <c r="E96" i="100"/>
  <c r="AI94" i="100"/>
  <c r="AG94" i="100"/>
  <c r="AF94" i="100"/>
  <c r="AE94" i="100"/>
  <c r="AD94" i="100"/>
  <c r="AC94" i="100"/>
  <c r="AB94" i="100"/>
  <c r="AA94" i="100"/>
  <c r="Z94" i="100"/>
  <c r="Y94" i="100"/>
  <c r="X94" i="100"/>
  <c r="W94" i="100"/>
  <c r="V94" i="100"/>
  <c r="U94" i="100"/>
  <c r="T94" i="100"/>
  <c r="S94" i="100"/>
  <c r="R94" i="100"/>
  <c r="Q94" i="100"/>
  <c r="P94" i="100"/>
  <c r="O94" i="100"/>
  <c r="N94" i="100"/>
  <c r="M94" i="100"/>
  <c r="L94" i="100"/>
  <c r="K94" i="100"/>
  <c r="J94" i="100"/>
  <c r="I94" i="100"/>
  <c r="H94" i="100"/>
  <c r="G94" i="100"/>
  <c r="F94" i="100"/>
  <c r="E94" i="100"/>
  <c r="AI92" i="100"/>
  <c r="AG92" i="100"/>
  <c r="AF92" i="100"/>
  <c r="AE92" i="100"/>
  <c r="AD92" i="100"/>
  <c r="AC92" i="100"/>
  <c r="AB92" i="100"/>
  <c r="AA92" i="100"/>
  <c r="Z92" i="100"/>
  <c r="Y92" i="100"/>
  <c r="X92" i="100"/>
  <c r="W92" i="100"/>
  <c r="V92" i="100"/>
  <c r="U92" i="100"/>
  <c r="T92" i="100"/>
  <c r="S92" i="100"/>
  <c r="R92" i="100"/>
  <c r="Q92" i="100"/>
  <c r="P92" i="100"/>
  <c r="O92" i="100"/>
  <c r="N92" i="100"/>
  <c r="M92" i="100"/>
  <c r="L92" i="100"/>
  <c r="K92" i="100"/>
  <c r="J92" i="100"/>
  <c r="I92" i="100"/>
  <c r="H92" i="100"/>
  <c r="G92" i="100"/>
  <c r="F92" i="100"/>
  <c r="E92" i="100"/>
  <c r="AI90" i="100"/>
  <c r="AG90" i="100"/>
  <c r="AF90" i="100"/>
  <c r="AE90" i="100"/>
  <c r="AD90" i="100"/>
  <c r="AC90" i="100"/>
  <c r="AB90" i="100"/>
  <c r="AA90" i="100"/>
  <c r="Z90" i="100"/>
  <c r="Y90" i="100"/>
  <c r="X90" i="100"/>
  <c r="W90" i="100"/>
  <c r="V90" i="100"/>
  <c r="U90" i="100"/>
  <c r="T90" i="100"/>
  <c r="S90" i="100"/>
  <c r="R90" i="100"/>
  <c r="Q90" i="100"/>
  <c r="P90" i="100"/>
  <c r="O90" i="100"/>
  <c r="N90" i="100"/>
  <c r="M90" i="100"/>
  <c r="L90" i="100"/>
  <c r="K90" i="100"/>
  <c r="J90" i="100"/>
  <c r="I90" i="100"/>
  <c r="H90" i="100"/>
  <c r="G90" i="100"/>
  <c r="F90" i="100"/>
  <c r="E90" i="100"/>
  <c r="AO47" i="100" a="1"/>
  <c r="AO47" i="100" s="1"/>
  <c r="AN47" i="100" a="1"/>
  <c r="AN47" i="100" s="1"/>
  <c r="AM47" i="100" a="1"/>
  <c r="AM47" i="100" s="1"/>
  <c r="AL47" i="100" a="1"/>
  <c r="AL47" i="100" s="1"/>
  <c r="AK47" i="100" a="1"/>
  <c r="AK47" i="100" s="1"/>
  <c r="AJ47" i="100" a="1"/>
  <c r="AJ47" i="100" s="1"/>
  <c r="AO46" i="100" a="1"/>
  <c r="AO46" i="100" s="1"/>
  <c r="AN46" i="100" a="1"/>
  <c r="AN46" i="100" s="1"/>
  <c r="AM46" i="100" a="1"/>
  <c r="AM46" i="100" s="1"/>
  <c r="AL46" i="100" a="1"/>
  <c r="AL46" i="100" s="1"/>
  <c r="AK46" i="100" a="1"/>
  <c r="AK46" i="100" s="1"/>
  <c r="AJ46" i="100" a="1"/>
  <c r="AJ46" i="100" s="1"/>
  <c r="AP46" i="100" s="1"/>
  <c r="AO45" i="100" a="1"/>
  <c r="AO45" i="100" s="1"/>
  <c r="AN45" i="100" a="1"/>
  <c r="AN45" i="100" s="1"/>
  <c r="AM45" i="100" a="1"/>
  <c r="AM45" i="100" s="1"/>
  <c r="AL45" i="100" a="1"/>
  <c r="AL45" i="100" s="1"/>
  <c r="AK45" i="100" a="1"/>
  <c r="AK45" i="100" s="1"/>
  <c r="AJ45" i="100" a="1"/>
  <c r="AJ45" i="100" s="1"/>
  <c r="AO44" i="100" a="1"/>
  <c r="AO44" i="100" s="1"/>
  <c r="AN44" i="100" a="1"/>
  <c r="AN44" i="100" s="1"/>
  <c r="AM44" i="100" a="1"/>
  <c r="AM44" i="100" s="1"/>
  <c r="AL44" i="100" a="1"/>
  <c r="AL44" i="100" s="1"/>
  <c r="AK44" i="100" a="1"/>
  <c r="AK44" i="100" s="1"/>
  <c r="AJ44" i="100" a="1"/>
  <c r="AJ44" i="100" s="1"/>
  <c r="AP44" i="100" s="1"/>
  <c r="AO43" i="100" a="1"/>
  <c r="AO43" i="100" s="1"/>
  <c r="AN43" i="100" a="1"/>
  <c r="AN43" i="100" s="1"/>
  <c r="AM43" i="100" a="1"/>
  <c r="AM43" i="100" s="1"/>
  <c r="AL43" i="100" a="1"/>
  <c r="AL43" i="100" s="1"/>
  <c r="AK43" i="100" a="1"/>
  <c r="AK43" i="100" s="1"/>
  <c r="AJ43" i="100" a="1"/>
  <c r="AJ43" i="100" s="1"/>
  <c r="AO42" i="100" a="1"/>
  <c r="AO42" i="100" s="1"/>
  <c r="AN42" i="100" a="1"/>
  <c r="AN42" i="100" s="1"/>
  <c r="AM42" i="100" a="1"/>
  <c r="AM42" i="100" s="1"/>
  <c r="AL42" i="100" a="1"/>
  <c r="AL42" i="100" s="1"/>
  <c r="AK42" i="100" a="1"/>
  <c r="AK42" i="100" s="1"/>
  <c r="AJ42" i="100" a="1"/>
  <c r="AJ42" i="100" s="1"/>
  <c r="AO41" i="100" a="1"/>
  <c r="AO41" i="100" s="1"/>
  <c r="AN41" i="100" a="1"/>
  <c r="AN41" i="100" s="1"/>
  <c r="AM41" i="100" a="1"/>
  <c r="AM41" i="100" s="1"/>
  <c r="AL41" i="100" a="1"/>
  <c r="AL41" i="100" s="1"/>
  <c r="AK41" i="100" a="1"/>
  <c r="AK41" i="100" s="1"/>
  <c r="AJ41" i="100" a="1"/>
  <c r="AJ41" i="100" s="1"/>
  <c r="AO39" i="100" a="1"/>
  <c r="AO39" i="100" s="1"/>
  <c r="AN39" i="100" a="1"/>
  <c r="AN39" i="100" s="1"/>
  <c r="AM39" i="100" a="1"/>
  <c r="AM39" i="100" s="1"/>
  <c r="AL39" i="100" a="1"/>
  <c r="AL39" i="100" s="1"/>
  <c r="AK39" i="100" a="1"/>
  <c r="AK39" i="100" s="1"/>
  <c r="AJ39" i="100" a="1"/>
  <c r="AJ39" i="100" s="1"/>
  <c r="AO38" i="100" a="1"/>
  <c r="AO38" i="100" s="1"/>
  <c r="AN38" i="100" a="1"/>
  <c r="AN38" i="100" s="1"/>
  <c r="AM38" i="100" a="1"/>
  <c r="AM38" i="100" s="1"/>
  <c r="AL38" i="100" a="1"/>
  <c r="AL38" i="100" s="1"/>
  <c r="AK38" i="100" a="1"/>
  <c r="AK38" i="100" s="1"/>
  <c r="AJ38" i="100" a="1"/>
  <c r="AJ38" i="100" s="1"/>
  <c r="AP38" i="100" s="1"/>
  <c r="AO37" i="100" a="1"/>
  <c r="AO37" i="100" s="1"/>
  <c r="AN37" i="100" a="1"/>
  <c r="AN37" i="100" s="1"/>
  <c r="AM37" i="100" a="1"/>
  <c r="AM37" i="100" s="1"/>
  <c r="AL37" i="100" a="1"/>
  <c r="AL37" i="100" s="1"/>
  <c r="AK37" i="100" a="1"/>
  <c r="AK37" i="100" s="1"/>
  <c r="AJ37" i="100" a="1"/>
  <c r="AJ37" i="100" s="1"/>
  <c r="AO36" i="100" a="1"/>
  <c r="AO36" i="100" s="1"/>
  <c r="AN36" i="100" a="1"/>
  <c r="AN36" i="100" s="1"/>
  <c r="AM36" i="100" a="1"/>
  <c r="AM36" i="100" s="1"/>
  <c r="AL36" i="100" a="1"/>
  <c r="AL36" i="100" s="1"/>
  <c r="AK36" i="100" a="1"/>
  <c r="AK36" i="100" s="1"/>
  <c r="AJ36" i="100" a="1"/>
  <c r="AJ36" i="100" s="1"/>
  <c r="AO35" i="100" a="1"/>
  <c r="AO35" i="100" s="1"/>
  <c r="AN35" i="100" a="1"/>
  <c r="AN35" i="100" s="1"/>
  <c r="AM35" i="100" a="1"/>
  <c r="AM35" i="100" s="1"/>
  <c r="AL35" i="100" a="1"/>
  <c r="AL35" i="100" s="1"/>
  <c r="AK35" i="100" a="1"/>
  <c r="AK35" i="100" s="1"/>
  <c r="AJ35" i="100" a="1"/>
  <c r="AJ35" i="100" s="1"/>
  <c r="AO34" i="100" a="1"/>
  <c r="AO34" i="100" s="1"/>
  <c r="AN34" i="100" a="1"/>
  <c r="AN34" i="100" s="1"/>
  <c r="AM34" i="100" a="1"/>
  <c r="AM34" i="100" s="1"/>
  <c r="AL34" i="100" a="1"/>
  <c r="AL34" i="100" s="1"/>
  <c r="AK34" i="100" a="1"/>
  <c r="AK34" i="100" s="1"/>
  <c r="AJ34" i="100" a="1"/>
  <c r="AJ34" i="100" s="1"/>
  <c r="AP34" i="100" s="1"/>
  <c r="AO32" i="100" a="1"/>
  <c r="AO32" i="100" s="1"/>
  <c r="AN32" i="100" a="1"/>
  <c r="AN32" i="100" s="1"/>
  <c r="AM32" i="100" a="1"/>
  <c r="AM32" i="100" s="1"/>
  <c r="AL32" i="100" a="1"/>
  <c r="AL32" i="100" s="1"/>
  <c r="AK32" i="100" a="1"/>
  <c r="AK32" i="100" s="1"/>
  <c r="AJ32" i="100" a="1"/>
  <c r="AJ32" i="100" s="1"/>
  <c r="AO29" i="100" a="1"/>
  <c r="AO29" i="100" s="1"/>
  <c r="AN29" i="100" a="1"/>
  <c r="AN29" i="100" s="1"/>
  <c r="AM29" i="100" a="1"/>
  <c r="AM29" i="100" s="1"/>
  <c r="AL29" i="100" a="1"/>
  <c r="AL29" i="100" s="1"/>
  <c r="AK29" i="100" a="1"/>
  <c r="AK29" i="100" s="1"/>
  <c r="AJ29" i="100" a="1"/>
  <c r="AJ29" i="100" s="1"/>
  <c r="AP29" i="100" s="1"/>
  <c r="AO28" i="100" a="1"/>
  <c r="AO28" i="100" s="1"/>
  <c r="AN28" i="100" a="1"/>
  <c r="AN28" i="100" s="1"/>
  <c r="AM28" i="100" a="1"/>
  <c r="AM28" i="100" s="1"/>
  <c r="AL28" i="100" a="1"/>
  <c r="AL28" i="100" s="1"/>
  <c r="AK28" i="100" a="1"/>
  <c r="AK28" i="100" s="1"/>
  <c r="AJ28" i="100" a="1"/>
  <c r="AJ28" i="100" s="1"/>
  <c r="AO27" i="100" a="1"/>
  <c r="AO27" i="100" s="1"/>
  <c r="AN27" i="100" a="1"/>
  <c r="AN27" i="100" s="1"/>
  <c r="AM27" i="100" a="1"/>
  <c r="AM27" i="100" s="1"/>
  <c r="AL27" i="100" a="1"/>
  <c r="AL27" i="100" s="1"/>
  <c r="AK27" i="100" a="1"/>
  <c r="AK27" i="100" s="1"/>
  <c r="AJ27" i="100" a="1"/>
  <c r="AJ27" i="100" s="1"/>
  <c r="AO26" i="100" a="1"/>
  <c r="AO26" i="100" s="1"/>
  <c r="AN26" i="100" a="1"/>
  <c r="AN26" i="100" s="1"/>
  <c r="AM26" i="100" a="1"/>
  <c r="AM26" i="100" s="1"/>
  <c r="AL26" i="100" a="1"/>
  <c r="AL26" i="100" s="1"/>
  <c r="AK26" i="100" a="1"/>
  <c r="AK26" i="100" s="1"/>
  <c r="AJ26" i="100" a="1"/>
  <c r="AJ26" i="100" s="1"/>
  <c r="AO24" i="100" a="1"/>
  <c r="AO24" i="100" s="1"/>
  <c r="AN24" i="100" a="1"/>
  <c r="AN24" i="100" s="1"/>
  <c r="AM24" i="100" a="1"/>
  <c r="AM24" i="100" s="1"/>
  <c r="AL24" i="100" a="1"/>
  <c r="AL24" i="100" s="1"/>
  <c r="AK24" i="100" a="1"/>
  <c r="AK24" i="100" s="1"/>
  <c r="AJ24" i="100" a="1"/>
  <c r="AJ24" i="100" s="1"/>
  <c r="AP24" i="100" s="1"/>
  <c r="AO23" i="100" a="1"/>
  <c r="AO23" i="100" s="1"/>
  <c r="AN23" i="100" a="1"/>
  <c r="AN23" i="100" s="1"/>
  <c r="AM23" i="100" a="1"/>
  <c r="AM23" i="100" s="1"/>
  <c r="AL23" i="100" a="1"/>
  <c r="AL23" i="100" s="1"/>
  <c r="AK23" i="100" a="1"/>
  <c r="AK23" i="100" s="1"/>
  <c r="AJ23" i="100" a="1"/>
  <c r="AJ23" i="100" s="1"/>
  <c r="AP23" i="100" s="1"/>
  <c r="AO22" i="100" a="1"/>
  <c r="AO22" i="100" s="1"/>
  <c r="AN22" i="100" a="1"/>
  <c r="AN22" i="100" s="1"/>
  <c r="AM22" i="100" a="1"/>
  <c r="AM22" i="100" s="1"/>
  <c r="AL22" i="100" a="1"/>
  <c r="AL22" i="100" s="1"/>
  <c r="AK22" i="100" a="1"/>
  <c r="AK22" i="100" s="1"/>
  <c r="AJ22" i="100" a="1"/>
  <c r="AJ22" i="100" s="1"/>
  <c r="AO21" i="100" a="1"/>
  <c r="AO21" i="100" s="1"/>
  <c r="AN21" i="100" a="1"/>
  <c r="AN21" i="100" s="1"/>
  <c r="AM21" i="100" a="1"/>
  <c r="AM21" i="100" s="1"/>
  <c r="AL21" i="100" a="1"/>
  <c r="AL21" i="100" s="1"/>
  <c r="AK21" i="100" a="1"/>
  <c r="AK21" i="100" s="1"/>
  <c r="AJ21" i="100" a="1"/>
  <c r="AJ21" i="100" s="1"/>
  <c r="AP21" i="100" s="1"/>
  <c r="AO20" i="100" a="1"/>
  <c r="AO20" i="100" s="1"/>
  <c r="AN20" i="100" a="1"/>
  <c r="AN20" i="100" s="1"/>
  <c r="AM20" i="100" a="1"/>
  <c r="AM20" i="100" s="1"/>
  <c r="AL20" i="100" a="1"/>
  <c r="AL20" i="100" s="1"/>
  <c r="AK20" i="100" a="1"/>
  <c r="AK20" i="100" s="1"/>
  <c r="AJ20" i="100" a="1"/>
  <c r="AJ20" i="100" s="1"/>
  <c r="AO19" i="100" a="1"/>
  <c r="AO19" i="100" s="1"/>
  <c r="AN19" i="100" a="1"/>
  <c r="AN19" i="100" s="1"/>
  <c r="AM19" i="100" a="1"/>
  <c r="AM19" i="100" s="1"/>
  <c r="AL19" i="100" a="1"/>
  <c r="AL19" i="100" s="1"/>
  <c r="AK19" i="100" a="1"/>
  <c r="AK19" i="100" s="1"/>
  <c r="AJ19" i="100" a="1"/>
  <c r="AJ19" i="100" s="1"/>
  <c r="AO17" i="100" a="1"/>
  <c r="AO17" i="100" s="1"/>
  <c r="AN17" i="100" a="1"/>
  <c r="AN17" i="100" s="1"/>
  <c r="AM17" i="100" a="1"/>
  <c r="AM17" i="100" s="1"/>
  <c r="AL17" i="100" a="1"/>
  <c r="AL17" i="100" s="1"/>
  <c r="AK17" i="100" a="1"/>
  <c r="AK17" i="100" s="1"/>
  <c r="AJ17" i="100" a="1"/>
  <c r="AJ17" i="100" s="1"/>
  <c r="AP17" i="100" s="1"/>
  <c r="AO15" i="100" a="1"/>
  <c r="AO15" i="100" s="1"/>
  <c r="AN15" i="100" a="1"/>
  <c r="AN15" i="100" s="1"/>
  <c r="AM15" i="100" a="1"/>
  <c r="AM15" i="100" s="1"/>
  <c r="AL15" i="100" a="1"/>
  <c r="AL15" i="100" s="1"/>
  <c r="AK15" i="100" a="1"/>
  <c r="AK15" i="100" s="1"/>
  <c r="AJ15" i="100" a="1"/>
  <c r="AJ15" i="100" s="1"/>
  <c r="AO13" i="100" a="1"/>
  <c r="AO13" i="100" s="1"/>
  <c r="AN13" i="100" a="1"/>
  <c r="AN13" i="100" s="1"/>
  <c r="AM13" i="100" a="1"/>
  <c r="AM13" i="100" s="1"/>
  <c r="AL13" i="100" a="1"/>
  <c r="AL13" i="100" s="1"/>
  <c r="AK13" i="100" a="1"/>
  <c r="AK13" i="100" s="1"/>
  <c r="AJ13" i="100" a="1"/>
  <c r="AJ13" i="100" s="1"/>
  <c r="AP13" i="100" s="1"/>
  <c r="AG83" i="99"/>
  <c r="AF83" i="99"/>
  <c r="AE83" i="99"/>
  <c r="AD83" i="99"/>
  <c r="AC83" i="99"/>
  <c r="AB83" i="99"/>
  <c r="AA83" i="99"/>
  <c r="Z83" i="99"/>
  <c r="Y83" i="99"/>
  <c r="X83" i="99"/>
  <c r="W83" i="99"/>
  <c r="V83" i="99"/>
  <c r="U83" i="99"/>
  <c r="T83" i="99"/>
  <c r="S83" i="99"/>
  <c r="R83" i="99"/>
  <c r="Q83" i="99"/>
  <c r="P83" i="99"/>
  <c r="O83" i="99"/>
  <c r="N83" i="99"/>
  <c r="M83" i="99"/>
  <c r="L83" i="99"/>
  <c r="K83" i="99"/>
  <c r="J83" i="99"/>
  <c r="I83" i="99"/>
  <c r="H83" i="99"/>
  <c r="G83" i="99"/>
  <c r="F83" i="99"/>
  <c r="E83" i="99"/>
  <c r="AG81" i="99"/>
  <c r="AF81" i="99"/>
  <c r="AE81" i="99"/>
  <c r="AD81" i="99"/>
  <c r="AC81" i="99"/>
  <c r="AB81" i="99"/>
  <c r="AA81" i="99"/>
  <c r="Z81" i="99"/>
  <c r="Y81" i="99"/>
  <c r="X81" i="99"/>
  <c r="W81" i="99"/>
  <c r="V81" i="99"/>
  <c r="U81" i="99"/>
  <c r="T81" i="99"/>
  <c r="S81" i="99"/>
  <c r="R81" i="99"/>
  <c r="Q81" i="99"/>
  <c r="P81" i="99"/>
  <c r="O81" i="99"/>
  <c r="N81" i="99"/>
  <c r="M81" i="99"/>
  <c r="L81" i="99"/>
  <c r="K81" i="99"/>
  <c r="J81" i="99"/>
  <c r="I81" i="99"/>
  <c r="H81" i="99"/>
  <c r="G81" i="99"/>
  <c r="F81" i="99"/>
  <c r="E81" i="99"/>
  <c r="AG79" i="99"/>
  <c r="AF79" i="99"/>
  <c r="AE79" i="99"/>
  <c r="AD79" i="99"/>
  <c r="AC79" i="99"/>
  <c r="AB79" i="99"/>
  <c r="AA79" i="99"/>
  <c r="Z79" i="99"/>
  <c r="Y79" i="99"/>
  <c r="X79" i="99"/>
  <c r="W79" i="99"/>
  <c r="V79" i="99"/>
  <c r="U79" i="99"/>
  <c r="T79" i="99"/>
  <c r="S79" i="99"/>
  <c r="R79" i="99"/>
  <c r="Q79" i="99"/>
  <c r="P79" i="99"/>
  <c r="O79" i="99"/>
  <c r="N79" i="99"/>
  <c r="M79" i="99"/>
  <c r="L79" i="99"/>
  <c r="K79" i="99"/>
  <c r="J79" i="99"/>
  <c r="I79" i="99"/>
  <c r="H79" i="99"/>
  <c r="G79" i="99"/>
  <c r="F79" i="99"/>
  <c r="E79" i="99"/>
  <c r="AG77" i="99"/>
  <c r="AF77" i="99"/>
  <c r="AE77" i="99"/>
  <c r="AD77" i="99"/>
  <c r="AC77" i="99"/>
  <c r="AB77" i="99"/>
  <c r="AA77" i="99"/>
  <c r="Z77" i="99"/>
  <c r="Y77" i="99"/>
  <c r="X77" i="99"/>
  <c r="W77" i="99"/>
  <c r="V77" i="99"/>
  <c r="U77" i="99"/>
  <c r="T77" i="99"/>
  <c r="S77" i="99"/>
  <c r="R77" i="99"/>
  <c r="Q77" i="99"/>
  <c r="P77" i="99"/>
  <c r="O77" i="99"/>
  <c r="N77" i="99"/>
  <c r="M77" i="99"/>
  <c r="L77" i="99"/>
  <c r="K77" i="99"/>
  <c r="J77" i="99"/>
  <c r="I77" i="99"/>
  <c r="H77" i="99"/>
  <c r="G77" i="99"/>
  <c r="F77" i="99"/>
  <c r="E77" i="99"/>
  <c r="AN47" i="99" a="1"/>
  <c r="AN47" i="99" s="1"/>
  <c r="AM47" i="99" a="1"/>
  <c r="AM47" i="99" s="1"/>
  <c r="AL47" i="99" a="1"/>
  <c r="AL47" i="99" s="1"/>
  <c r="AK47" i="99" a="1"/>
  <c r="AK47" i="99" s="1"/>
  <c r="AJ47" i="99" a="1"/>
  <c r="AJ47" i="99" s="1"/>
  <c r="AI47" i="99" a="1"/>
  <c r="AI47" i="99" s="1"/>
  <c r="AN46" i="99" a="1"/>
  <c r="AN46" i="99" s="1"/>
  <c r="AM46" i="99" a="1"/>
  <c r="AM46" i="99" s="1"/>
  <c r="AL46" i="99" a="1"/>
  <c r="AL46" i="99" s="1"/>
  <c r="AK46" i="99" a="1"/>
  <c r="AK46" i="99" s="1"/>
  <c r="AJ46" i="99" a="1"/>
  <c r="AJ46" i="99" s="1"/>
  <c r="AI46" i="99" a="1"/>
  <c r="AI46" i="99" s="1"/>
  <c r="AN45" i="99" a="1"/>
  <c r="AN45" i="99" s="1"/>
  <c r="AM45" i="99" a="1"/>
  <c r="AM45" i="99" s="1"/>
  <c r="AL45" i="99" a="1"/>
  <c r="AL45" i="99" s="1"/>
  <c r="AK45" i="99" a="1"/>
  <c r="AK45" i="99" s="1"/>
  <c r="AJ45" i="99" a="1"/>
  <c r="AJ45" i="99" s="1"/>
  <c r="AI45" i="99" a="1"/>
  <c r="AI45" i="99" s="1"/>
  <c r="AN44" i="99" a="1"/>
  <c r="AN44" i="99" s="1"/>
  <c r="AM44" i="99" a="1"/>
  <c r="AM44" i="99" s="1"/>
  <c r="AL44" i="99" a="1"/>
  <c r="AL44" i="99" s="1"/>
  <c r="AK44" i="99" a="1"/>
  <c r="AK44" i="99" s="1"/>
  <c r="AJ44" i="99" a="1"/>
  <c r="AJ44" i="99" s="1"/>
  <c r="AI44" i="99" a="1"/>
  <c r="AI44" i="99" s="1"/>
  <c r="AN43" i="99" a="1"/>
  <c r="AN43" i="99" s="1"/>
  <c r="AM43" i="99" a="1"/>
  <c r="AM43" i="99" s="1"/>
  <c r="AL43" i="99" a="1"/>
  <c r="AL43" i="99" s="1"/>
  <c r="AK43" i="99" a="1"/>
  <c r="AK43" i="99" s="1"/>
  <c r="AJ43" i="99" a="1"/>
  <c r="AJ43" i="99" s="1"/>
  <c r="AI43" i="99" a="1"/>
  <c r="AI43" i="99" s="1"/>
  <c r="AN42" i="99" a="1"/>
  <c r="AN42" i="99" s="1"/>
  <c r="AM42" i="99" a="1"/>
  <c r="AM42" i="99" s="1"/>
  <c r="AL42" i="99" a="1"/>
  <c r="AL42" i="99" s="1"/>
  <c r="AK42" i="99" a="1"/>
  <c r="AK42" i="99" s="1"/>
  <c r="AJ42" i="99" a="1"/>
  <c r="AJ42" i="99" s="1"/>
  <c r="AI42" i="99" a="1"/>
  <c r="AI42" i="99" s="1"/>
  <c r="AN41" i="99" a="1"/>
  <c r="AN41" i="99" s="1"/>
  <c r="AM41" i="99" a="1"/>
  <c r="AM41" i="99" s="1"/>
  <c r="AL41" i="99" a="1"/>
  <c r="AL41" i="99" s="1"/>
  <c r="AK41" i="99" a="1"/>
  <c r="AK41" i="99" s="1"/>
  <c r="AJ41" i="99" a="1"/>
  <c r="AJ41" i="99" s="1"/>
  <c r="AI41" i="99" a="1"/>
  <c r="AI41" i="99" s="1"/>
  <c r="AN39" i="99" a="1"/>
  <c r="AN39" i="99" s="1"/>
  <c r="AM39" i="99" a="1"/>
  <c r="AM39" i="99" s="1"/>
  <c r="AL39" i="99" a="1"/>
  <c r="AL39" i="99" s="1"/>
  <c r="AK39" i="99" a="1"/>
  <c r="AK39" i="99" s="1"/>
  <c r="AJ39" i="99" a="1"/>
  <c r="AJ39" i="99" s="1"/>
  <c r="AI39" i="99" a="1"/>
  <c r="AI39" i="99" s="1"/>
  <c r="AN38" i="99" a="1"/>
  <c r="AN38" i="99" s="1"/>
  <c r="AM38" i="99" a="1"/>
  <c r="AM38" i="99" s="1"/>
  <c r="AL38" i="99" a="1"/>
  <c r="AL38" i="99" s="1"/>
  <c r="AK38" i="99" a="1"/>
  <c r="AK38" i="99" s="1"/>
  <c r="AJ38" i="99" a="1"/>
  <c r="AJ38" i="99" s="1"/>
  <c r="AI38" i="99" a="1"/>
  <c r="AI38" i="99" s="1"/>
  <c r="AN37" i="99" a="1"/>
  <c r="AN37" i="99" s="1"/>
  <c r="AM37" i="99" a="1"/>
  <c r="AM37" i="99" s="1"/>
  <c r="AL37" i="99" a="1"/>
  <c r="AL37" i="99" s="1"/>
  <c r="AK37" i="99" a="1"/>
  <c r="AK37" i="99" s="1"/>
  <c r="AJ37" i="99" a="1"/>
  <c r="AJ37" i="99" s="1"/>
  <c r="AI37" i="99" a="1"/>
  <c r="AI37" i="99" s="1"/>
  <c r="AN36" i="99" a="1"/>
  <c r="AN36" i="99" s="1"/>
  <c r="AM36" i="99" a="1"/>
  <c r="AM36" i="99" s="1"/>
  <c r="AL36" i="99" a="1"/>
  <c r="AL36" i="99" s="1"/>
  <c r="AK36" i="99" a="1"/>
  <c r="AK36" i="99" s="1"/>
  <c r="AJ36" i="99" a="1"/>
  <c r="AJ36" i="99" s="1"/>
  <c r="AI36" i="99" a="1"/>
  <c r="AI36" i="99" s="1"/>
  <c r="AN35" i="99" a="1"/>
  <c r="AN35" i="99" s="1"/>
  <c r="AM35" i="99" a="1"/>
  <c r="AM35" i="99" s="1"/>
  <c r="AL35" i="99" a="1"/>
  <c r="AL35" i="99" s="1"/>
  <c r="AK35" i="99" a="1"/>
  <c r="AK35" i="99" s="1"/>
  <c r="AJ35" i="99" a="1"/>
  <c r="AJ35" i="99" s="1"/>
  <c r="AI35" i="99" a="1"/>
  <c r="AI35" i="99" s="1"/>
  <c r="AN34" i="99" a="1"/>
  <c r="AN34" i="99" s="1"/>
  <c r="AM34" i="99" a="1"/>
  <c r="AM34" i="99" s="1"/>
  <c r="AL34" i="99" a="1"/>
  <c r="AL34" i="99" s="1"/>
  <c r="AK34" i="99" a="1"/>
  <c r="AK34" i="99" s="1"/>
  <c r="AJ34" i="99" a="1"/>
  <c r="AJ34" i="99" s="1"/>
  <c r="AI34" i="99" a="1"/>
  <c r="AI34" i="99" s="1"/>
  <c r="AN30" i="99" a="1"/>
  <c r="AN30" i="99" s="1"/>
  <c r="AM30" i="99" a="1"/>
  <c r="AM30" i="99" s="1"/>
  <c r="AL30" i="99" a="1"/>
  <c r="AL30" i="99" s="1"/>
  <c r="AK30" i="99" a="1"/>
  <c r="AK30" i="99" s="1"/>
  <c r="AJ30" i="99" a="1"/>
  <c r="AJ30" i="99" s="1"/>
  <c r="AI30" i="99" a="1"/>
  <c r="AI30" i="99" s="1"/>
  <c r="AN29" i="99" a="1"/>
  <c r="AN29" i="99" s="1"/>
  <c r="AM29" i="99" a="1"/>
  <c r="AM29" i="99" s="1"/>
  <c r="AL29" i="99" a="1"/>
  <c r="AL29" i="99" s="1"/>
  <c r="AK29" i="99" a="1"/>
  <c r="AK29" i="99" s="1"/>
  <c r="AJ29" i="99" a="1"/>
  <c r="AJ29" i="99" s="1"/>
  <c r="AI29" i="99" a="1"/>
  <c r="AI29" i="99" s="1"/>
  <c r="AN28" i="99" a="1"/>
  <c r="AN28" i="99" s="1"/>
  <c r="AM28" i="99" a="1"/>
  <c r="AM28" i="99" s="1"/>
  <c r="AL28" i="99" a="1"/>
  <c r="AL28" i="99" s="1"/>
  <c r="AK28" i="99" a="1"/>
  <c r="AK28" i="99" s="1"/>
  <c r="AJ28" i="99" a="1"/>
  <c r="AJ28" i="99" s="1"/>
  <c r="AI28" i="99" a="1"/>
  <c r="AI28" i="99" s="1"/>
  <c r="AN27" i="99" a="1"/>
  <c r="AN27" i="99" s="1"/>
  <c r="AM27" i="99" a="1"/>
  <c r="AM27" i="99" s="1"/>
  <c r="AL27" i="99" a="1"/>
  <c r="AL27" i="99" s="1"/>
  <c r="AK27" i="99" a="1"/>
  <c r="AK27" i="99" s="1"/>
  <c r="AJ27" i="99" a="1"/>
  <c r="AJ27" i="99" s="1"/>
  <c r="AI27" i="99" a="1"/>
  <c r="AI27" i="99" s="1"/>
  <c r="AN26" i="99" a="1"/>
  <c r="AN26" i="99" s="1"/>
  <c r="AM26" i="99" a="1"/>
  <c r="AM26" i="99" s="1"/>
  <c r="AL26" i="99" a="1"/>
  <c r="AL26" i="99" s="1"/>
  <c r="AK26" i="99" a="1"/>
  <c r="AK26" i="99" s="1"/>
  <c r="AJ26" i="99" a="1"/>
  <c r="AJ26" i="99" s="1"/>
  <c r="AI26" i="99" a="1"/>
  <c r="AI26" i="99" s="1"/>
  <c r="AN24" i="99" a="1"/>
  <c r="AN24" i="99" s="1"/>
  <c r="AM24" i="99" a="1"/>
  <c r="AM24" i="99" s="1"/>
  <c r="AL24" i="99" a="1"/>
  <c r="AL24" i="99" s="1"/>
  <c r="AK24" i="99" a="1"/>
  <c r="AK24" i="99" s="1"/>
  <c r="AJ24" i="99" a="1"/>
  <c r="AJ24" i="99" s="1"/>
  <c r="AI24" i="99" a="1"/>
  <c r="AI24" i="99" s="1"/>
  <c r="AN23" i="99" a="1"/>
  <c r="AN23" i="99" s="1"/>
  <c r="AM23" i="99" a="1"/>
  <c r="AM23" i="99" s="1"/>
  <c r="AL23" i="99" a="1"/>
  <c r="AL23" i="99" s="1"/>
  <c r="AK23" i="99" a="1"/>
  <c r="AK23" i="99" s="1"/>
  <c r="AJ23" i="99" a="1"/>
  <c r="AJ23" i="99" s="1"/>
  <c r="AI23" i="99" a="1"/>
  <c r="AI23" i="99" s="1"/>
  <c r="AN22" i="99" a="1"/>
  <c r="AN22" i="99" s="1"/>
  <c r="AM22" i="99" a="1"/>
  <c r="AM22" i="99" s="1"/>
  <c r="AL22" i="99" a="1"/>
  <c r="AL22" i="99" s="1"/>
  <c r="AK22" i="99" a="1"/>
  <c r="AK22" i="99" s="1"/>
  <c r="AJ22" i="99" a="1"/>
  <c r="AJ22" i="99" s="1"/>
  <c r="AI22" i="99" a="1"/>
  <c r="AI22" i="99" s="1"/>
  <c r="AN21" i="99" a="1"/>
  <c r="AN21" i="99" s="1"/>
  <c r="AM21" i="99" a="1"/>
  <c r="AM21" i="99" s="1"/>
  <c r="AL21" i="99" a="1"/>
  <c r="AL21" i="99" s="1"/>
  <c r="AK21" i="99" a="1"/>
  <c r="AK21" i="99" s="1"/>
  <c r="AJ21" i="99" a="1"/>
  <c r="AJ21" i="99" s="1"/>
  <c r="AI21" i="99" a="1"/>
  <c r="AI21" i="99" s="1"/>
  <c r="AN20" i="99" a="1"/>
  <c r="AN20" i="99" s="1"/>
  <c r="AM20" i="99" a="1"/>
  <c r="AM20" i="99" s="1"/>
  <c r="AL20" i="99" a="1"/>
  <c r="AL20" i="99" s="1"/>
  <c r="AK20" i="99" a="1"/>
  <c r="AK20" i="99" s="1"/>
  <c r="AJ20" i="99" a="1"/>
  <c r="AJ20" i="99" s="1"/>
  <c r="AI20" i="99" a="1"/>
  <c r="AI20" i="99" s="1"/>
  <c r="AN19" i="99" a="1"/>
  <c r="AN19" i="99" s="1"/>
  <c r="AM19" i="99" a="1"/>
  <c r="AM19" i="99" s="1"/>
  <c r="AL19" i="99" a="1"/>
  <c r="AL19" i="99" s="1"/>
  <c r="AK19" i="99" a="1"/>
  <c r="AK19" i="99" s="1"/>
  <c r="AJ19" i="99" a="1"/>
  <c r="AJ19" i="99" s="1"/>
  <c r="AI19" i="99" a="1"/>
  <c r="AI19" i="99" s="1"/>
  <c r="AN17" i="99" a="1"/>
  <c r="AN17" i="99" s="1"/>
  <c r="AM17" i="99" a="1"/>
  <c r="AM17" i="99" s="1"/>
  <c r="AL17" i="99" a="1"/>
  <c r="AL17" i="99" s="1"/>
  <c r="AK17" i="99" a="1"/>
  <c r="AK17" i="99" s="1"/>
  <c r="AJ17" i="99" a="1"/>
  <c r="AJ17" i="99" s="1"/>
  <c r="AI17" i="99" a="1"/>
  <c r="AI17" i="99" s="1"/>
  <c r="AN15" i="99" a="1"/>
  <c r="AN15" i="99" s="1"/>
  <c r="AM15" i="99" a="1"/>
  <c r="AM15" i="99" s="1"/>
  <c r="AL15" i="99" a="1"/>
  <c r="AL15" i="99" s="1"/>
  <c r="AK15" i="99" a="1"/>
  <c r="AK15" i="99" s="1"/>
  <c r="AJ15" i="99" a="1"/>
  <c r="AJ15" i="99" s="1"/>
  <c r="AI15" i="99" a="1"/>
  <c r="AI15" i="99" s="1"/>
  <c r="AN13" i="99" a="1"/>
  <c r="AN13" i="99" s="1"/>
  <c r="AM13" i="99" a="1"/>
  <c r="AM13" i="99" s="1"/>
  <c r="AL13" i="99" a="1"/>
  <c r="AL13" i="99" s="1"/>
  <c r="AK13" i="99" a="1"/>
  <c r="AK13" i="99" s="1"/>
  <c r="AJ13" i="99" a="1"/>
  <c r="AJ13" i="99" s="1"/>
  <c r="AI13" i="99" a="1"/>
  <c r="AI13" i="99" s="1"/>
  <c r="AI82" i="98"/>
  <c r="AG82" i="98"/>
  <c r="AF82" i="98"/>
  <c r="AE82" i="98"/>
  <c r="AD82" i="98"/>
  <c r="AC82" i="98"/>
  <c r="AB82" i="98"/>
  <c r="AA82" i="98"/>
  <c r="Z82" i="98"/>
  <c r="Y82" i="98"/>
  <c r="X82" i="98"/>
  <c r="W82" i="98"/>
  <c r="V82" i="98"/>
  <c r="U82" i="98"/>
  <c r="T82" i="98"/>
  <c r="S82" i="98"/>
  <c r="R82" i="98"/>
  <c r="Q82" i="98"/>
  <c r="P82" i="98"/>
  <c r="O82" i="98"/>
  <c r="N82" i="98"/>
  <c r="M82" i="98"/>
  <c r="L82" i="98"/>
  <c r="K82" i="98"/>
  <c r="J82" i="98"/>
  <c r="I82" i="98"/>
  <c r="H82" i="98"/>
  <c r="G82" i="98"/>
  <c r="F82" i="98"/>
  <c r="E82" i="98"/>
  <c r="AI80" i="98"/>
  <c r="AG80" i="98"/>
  <c r="AF80" i="98"/>
  <c r="AE80" i="98"/>
  <c r="AD80" i="98"/>
  <c r="AC80" i="98"/>
  <c r="AB80" i="98"/>
  <c r="AA80" i="98"/>
  <c r="Z80" i="98"/>
  <c r="Y80" i="98"/>
  <c r="X80" i="98"/>
  <c r="W80" i="98"/>
  <c r="V80" i="98"/>
  <c r="U80" i="98"/>
  <c r="T80" i="98"/>
  <c r="S80" i="98"/>
  <c r="R80" i="98"/>
  <c r="Q80" i="98"/>
  <c r="P80" i="98"/>
  <c r="O80" i="98"/>
  <c r="N80" i="98"/>
  <c r="M80" i="98"/>
  <c r="L80" i="98"/>
  <c r="K80" i="98"/>
  <c r="J80" i="98"/>
  <c r="I80" i="98"/>
  <c r="H80" i="98"/>
  <c r="G80" i="98"/>
  <c r="F80" i="98"/>
  <c r="E80" i="98"/>
  <c r="AI78" i="98"/>
  <c r="AG78" i="98"/>
  <c r="AF78" i="98"/>
  <c r="AE78" i="98"/>
  <c r="AD78" i="98"/>
  <c r="AC78" i="98"/>
  <c r="AB78" i="98"/>
  <c r="AA78" i="98"/>
  <c r="Z78" i="98"/>
  <c r="Y78" i="98"/>
  <c r="X78" i="98"/>
  <c r="W78" i="98"/>
  <c r="V78" i="98"/>
  <c r="U78" i="98"/>
  <c r="T78" i="98"/>
  <c r="S78" i="98"/>
  <c r="R78" i="98"/>
  <c r="Q78" i="98"/>
  <c r="P78" i="98"/>
  <c r="O78" i="98"/>
  <c r="N78" i="98"/>
  <c r="M78" i="98"/>
  <c r="L78" i="98"/>
  <c r="K78" i="98"/>
  <c r="J78" i="98"/>
  <c r="I78" i="98"/>
  <c r="H78" i="98"/>
  <c r="G78" i="98"/>
  <c r="F78" i="98"/>
  <c r="E78" i="98"/>
  <c r="AI76" i="98"/>
  <c r="AG76" i="98"/>
  <c r="AF76" i="98"/>
  <c r="AE76" i="98"/>
  <c r="AD76" i="98"/>
  <c r="AC76" i="98"/>
  <c r="AB76" i="98"/>
  <c r="AA76" i="98"/>
  <c r="Z76" i="98"/>
  <c r="Y76" i="98"/>
  <c r="X76" i="98"/>
  <c r="W76" i="98"/>
  <c r="V76" i="98"/>
  <c r="U76" i="98"/>
  <c r="T76" i="98"/>
  <c r="S76" i="98"/>
  <c r="R76" i="98"/>
  <c r="Q76" i="98"/>
  <c r="P76" i="98"/>
  <c r="O76" i="98"/>
  <c r="N76" i="98"/>
  <c r="M76" i="98"/>
  <c r="L76" i="98"/>
  <c r="K76" i="98"/>
  <c r="J76" i="98"/>
  <c r="I76" i="98"/>
  <c r="H76" i="98"/>
  <c r="G76" i="98"/>
  <c r="F76" i="98"/>
  <c r="E76" i="98"/>
  <c r="AO47" i="98" a="1"/>
  <c r="AO47" i="98" s="1"/>
  <c r="AN47" i="98" a="1"/>
  <c r="AN47" i="98" s="1"/>
  <c r="AM47" i="98" a="1"/>
  <c r="AM47" i="98" s="1"/>
  <c r="AL47" i="98" a="1"/>
  <c r="AL47" i="98" s="1"/>
  <c r="AK47" i="98" a="1"/>
  <c r="AK47" i="98" s="1"/>
  <c r="AJ47" i="98" a="1"/>
  <c r="AJ47" i="98" s="1"/>
  <c r="AO46" i="98" a="1"/>
  <c r="AO46" i="98" s="1"/>
  <c r="AN46" i="98" a="1"/>
  <c r="AN46" i="98" s="1"/>
  <c r="AM46" i="98" a="1"/>
  <c r="AM46" i="98" s="1"/>
  <c r="AL46" i="98" a="1"/>
  <c r="AL46" i="98" s="1"/>
  <c r="AK46" i="98" a="1"/>
  <c r="AK46" i="98" s="1"/>
  <c r="AJ46" i="98" a="1"/>
  <c r="AJ46" i="98" s="1"/>
  <c r="AO45" i="98" a="1"/>
  <c r="AO45" i="98" s="1"/>
  <c r="AN45" i="98" a="1"/>
  <c r="AN45" i="98" s="1"/>
  <c r="AM45" i="98" a="1"/>
  <c r="AM45" i="98" s="1"/>
  <c r="AL45" i="98" a="1"/>
  <c r="AL45" i="98" s="1"/>
  <c r="AK45" i="98" a="1"/>
  <c r="AK45" i="98" s="1"/>
  <c r="AJ45" i="98" a="1"/>
  <c r="AJ45" i="98" s="1"/>
  <c r="AO44" i="98" a="1"/>
  <c r="AO44" i="98" s="1"/>
  <c r="AN44" i="98" a="1"/>
  <c r="AN44" i="98" s="1"/>
  <c r="AM44" i="98" a="1"/>
  <c r="AM44" i="98" s="1"/>
  <c r="AL44" i="98" a="1"/>
  <c r="AL44" i="98" s="1"/>
  <c r="AK44" i="98" a="1"/>
  <c r="AK44" i="98" s="1"/>
  <c r="AJ44" i="98" a="1"/>
  <c r="AJ44" i="98" s="1"/>
  <c r="AO43" i="98" a="1"/>
  <c r="AO43" i="98" s="1"/>
  <c r="AN43" i="98" a="1"/>
  <c r="AN43" i="98" s="1"/>
  <c r="AM43" i="98" a="1"/>
  <c r="AM43" i="98" s="1"/>
  <c r="AL43" i="98" a="1"/>
  <c r="AL43" i="98" s="1"/>
  <c r="AK43" i="98" a="1"/>
  <c r="AK43" i="98" s="1"/>
  <c r="AJ43" i="98" a="1"/>
  <c r="AJ43" i="98" s="1"/>
  <c r="AO42" i="98" a="1"/>
  <c r="AO42" i="98" s="1"/>
  <c r="AN42" i="98" a="1"/>
  <c r="AN42" i="98" s="1"/>
  <c r="AM42" i="98" a="1"/>
  <c r="AM42" i="98" s="1"/>
  <c r="AL42" i="98" a="1"/>
  <c r="AL42" i="98" s="1"/>
  <c r="AK42" i="98" a="1"/>
  <c r="AK42" i="98" s="1"/>
  <c r="AJ42" i="98" a="1"/>
  <c r="AJ42" i="98" s="1"/>
  <c r="AO41" i="98" a="1"/>
  <c r="AO41" i="98" s="1"/>
  <c r="AN41" i="98" a="1"/>
  <c r="AN41" i="98" s="1"/>
  <c r="AM41" i="98" a="1"/>
  <c r="AM41" i="98" s="1"/>
  <c r="AL41" i="98" a="1"/>
  <c r="AL41" i="98" s="1"/>
  <c r="AJ41" i="98" a="1"/>
  <c r="AJ41" i="98" s="1"/>
  <c r="AO39" i="98" a="1"/>
  <c r="AO39" i="98" s="1"/>
  <c r="AN39" i="98" a="1"/>
  <c r="AN39" i="98" s="1"/>
  <c r="AM39" i="98" a="1"/>
  <c r="AM39" i="98" s="1"/>
  <c r="AL39" i="98" a="1"/>
  <c r="AL39" i="98" s="1"/>
  <c r="AK39" i="98" a="1"/>
  <c r="AK39" i="98" s="1"/>
  <c r="AJ39" i="98" a="1"/>
  <c r="AJ39" i="98" s="1"/>
  <c r="AO38" i="98" a="1"/>
  <c r="AO38" i="98" s="1"/>
  <c r="AN38" i="98" a="1"/>
  <c r="AN38" i="98" s="1"/>
  <c r="AM38" i="98" a="1"/>
  <c r="AM38" i="98" s="1"/>
  <c r="AL38" i="98" a="1"/>
  <c r="AL38" i="98" s="1"/>
  <c r="AK38" i="98" a="1"/>
  <c r="AK38" i="98" s="1"/>
  <c r="AJ38" i="98" a="1"/>
  <c r="AJ38" i="98" s="1"/>
  <c r="AO37" i="98" a="1"/>
  <c r="AO37" i="98" s="1"/>
  <c r="AN37" i="98" a="1"/>
  <c r="AN37" i="98" s="1"/>
  <c r="AM37" i="98" a="1"/>
  <c r="AM37" i="98" s="1"/>
  <c r="AL37" i="98" a="1"/>
  <c r="AL37" i="98" s="1"/>
  <c r="AK37" i="98" a="1"/>
  <c r="AK37" i="98" s="1"/>
  <c r="AJ37" i="98" a="1"/>
  <c r="AJ37" i="98" s="1"/>
  <c r="AO36" i="98" a="1"/>
  <c r="AO36" i="98" s="1"/>
  <c r="AN36" i="98" a="1"/>
  <c r="AN36" i="98" s="1"/>
  <c r="AM36" i="98" a="1"/>
  <c r="AM36" i="98" s="1"/>
  <c r="AL36" i="98" a="1"/>
  <c r="AL36" i="98" s="1"/>
  <c r="AK36" i="98" a="1"/>
  <c r="AK36" i="98" s="1"/>
  <c r="AJ36" i="98" a="1"/>
  <c r="AJ36" i="98" s="1"/>
  <c r="AO35" i="98" a="1"/>
  <c r="AO35" i="98" s="1"/>
  <c r="AN35" i="98" a="1"/>
  <c r="AN35" i="98" s="1"/>
  <c r="AM35" i="98" a="1"/>
  <c r="AM35" i="98" s="1"/>
  <c r="AL35" i="98" a="1"/>
  <c r="AL35" i="98" s="1"/>
  <c r="AK35" i="98" a="1"/>
  <c r="AK35" i="98" s="1"/>
  <c r="AJ35" i="98" a="1"/>
  <c r="AJ35" i="98" s="1"/>
  <c r="AO34" i="98" a="1"/>
  <c r="AO34" i="98" s="1"/>
  <c r="AN34" i="98" a="1"/>
  <c r="AN34" i="98" s="1"/>
  <c r="AM34" i="98" a="1"/>
  <c r="AM34" i="98" s="1"/>
  <c r="AL34" i="98" a="1"/>
  <c r="AL34" i="98" s="1"/>
  <c r="AK34" i="98" a="1"/>
  <c r="AK34" i="98" s="1"/>
  <c r="AJ34" i="98" a="1"/>
  <c r="AJ34" i="98" s="1"/>
  <c r="AO32" i="98" a="1"/>
  <c r="AO32" i="98" s="1"/>
  <c r="AN32" i="98" a="1"/>
  <c r="AN32" i="98" s="1"/>
  <c r="AM32" i="98" a="1"/>
  <c r="AM32" i="98" s="1"/>
  <c r="AL32" i="98" a="1"/>
  <c r="AL32" i="98" s="1"/>
  <c r="AK32" i="98" a="1"/>
  <c r="AK32" i="98" s="1"/>
  <c r="AJ32" i="98" a="1"/>
  <c r="AJ32" i="98" s="1"/>
  <c r="AO29" i="98" a="1"/>
  <c r="AO29" i="98" s="1"/>
  <c r="AN29" i="98" a="1"/>
  <c r="AN29" i="98" s="1"/>
  <c r="AM29" i="98" a="1"/>
  <c r="AM29" i="98" s="1"/>
  <c r="AL29" i="98" a="1"/>
  <c r="AL29" i="98" s="1"/>
  <c r="AK29" i="98" a="1"/>
  <c r="AK29" i="98" s="1"/>
  <c r="AJ29" i="98" a="1"/>
  <c r="AJ29" i="98" s="1"/>
  <c r="AO28" i="98" a="1"/>
  <c r="AO28" i="98" s="1"/>
  <c r="AN28" i="98" a="1"/>
  <c r="AN28" i="98" s="1"/>
  <c r="AM28" i="98" a="1"/>
  <c r="AM28" i="98" s="1"/>
  <c r="AL28" i="98" a="1"/>
  <c r="AL28" i="98" s="1"/>
  <c r="AK28" i="98" a="1"/>
  <c r="AK28" i="98" s="1"/>
  <c r="AJ28" i="98" a="1"/>
  <c r="AJ28" i="98" s="1"/>
  <c r="AO27" i="98" a="1"/>
  <c r="AO27" i="98" s="1"/>
  <c r="AN27" i="98" a="1"/>
  <c r="AN27" i="98" s="1"/>
  <c r="AM27" i="98" a="1"/>
  <c r="AM27" i="98" s="1"/>
  <c r="AL27" i="98" a="1"/>
  <c r="AL27" i="98" s="1"/>
  <c r="AK27" i="98" a="1"/>
  <c r="AK27" i="98" s="1"/>
  <c r="AJ27" i="98" a="1"/>
  <c r="AJ27" i="98" s="1"/>
  <c r="AO26" i="98" a="1"/>
  <c r="AO26" i="98" s="1"/>
  <c r="AN26" i="98" a="1"/>
  <c r="AN26" i="98" s="1"/>
  <c r="AM26" i="98" a="1"/>
  <c r="AM26" i="98" s="1"/>
  <c r="AL26" i="98" a="1"/>
  <c r="AL26" i="98" s="1"/>
  <c r="AK26" i="98" a="1"/>
  <c r="AK26" i="98" s="1"/>
  <c r="AJ26" i="98" a="1"/>
  <c r="AJ26" i="98" s="1"/>
  <c r="AO24" i="98" a="1"/>
  <c r="AO24" i="98" s="1"/>
  <c r="AN24" i="98" a="1"/>
  <c r="AN24" i="98" s="1"/>
  <c r="AM24" i="98" a="1"/>
  <c r="AM24" i="98" s="1"/>
  <c r="AL24" i="98" a="1"/>
  <c r="AL24" i="98" s="1"/>
  <c r="AK24" i="98" a="1"/>
  <c r="AK24" i="98" s="1"/>
  <c r="AJ24" i="98" a="1"/>
  <c r="AJ24" i="98" s="1"/>
  <c r="AO23" i="98" a="1"/>
  <c r="AO23" i="98" s="1"/>
  <c r="AN23" i="98" a="1"/>
  <c r="AN23" i="98" s="1"/>
  <c r="AM23" i="98" a="1"/>
  <c r="AM23" i="98" s="1"/>
  <c r="AL23" i="98" a="1"/>
  <c r="AL23" i="98" s="1"/>
  <c r="AK23" i="98" a="1"/>
  <c r="AK23" i="98" s="1"/>
  <c r="AJ23" i="98" a="1"/>
  <c r="AJ23" i="98" s="1"/>
  <c r="AO22" i="98" a="1"/>
  <c r="AO22" i="98" s="1"/>
  <c r="AN22" i="98" a="1"/>
  <c r="AN22" i="98" s="1"/>
  <c r="AM22" i="98" a="1"/>
  <c r="AM22" i="98" s="1"/>
  <c r="AL22" i="98" a="1"/>
  <c r="AL22" i="98" s="1"/>
  <c r="AK22" i="98" a="1"/>
  <c r="AK22" i="98" s="1"/>
  <c r="AJ22" i="98" a="1"/>
  <c r="AJ22" i="98" s="1"/>
  <c r="AO21" i="98" a="1"/>
  <c r="AO21" i="98" s="1"/>
  <c r="AN21" i="98" a="1"/>
  <c r="AN21" i="98" s="1"/>
  <c r="AM21" i="98" a="1"/>
  <c r="AM21" i="98" s="1"/>
  <c r="AL21" i="98" a="1"/>
  <c r="AL21" i="98" s="1"/>
  <c r="AJ21" i="98" a="1"/>
  <c r="AJ21" i="98" s="1"/>
  <c r="AO20" i="98" a="1"/>
  <c r="AO20" i="98" s="1"/>
  <c r="AN20" i="98" a="1"/>
  <c r="AN20" i="98" s="1"/>
  <c r="AM20" i="98" a="1"/>
  <c r="AM20" i="98" s="1"/>
  <c r="AL20" i="98" a="1"/>
  <c r="AL20" i="98" s="1"/>
  <c r="AK20" i="98" a="1"/>
  <c r="AK20" i="98" s="1"/>
  <c r="AJ20" i="98" a="1"/>
  <c r="AJ20" i="98" s="1"/>
  <c r="AO19" i="98" a="1"/>
  <c r="AO19" i="98" s="1"/>
  <c r="AN19" i="98" a="1"/>
  <c r="AN19" i="98" s="1"/>
  <c r="AM19" i="98" a="1"/>
  <c r="AM19" i="98" s="1"/>
  <c r="AL19" i="98" a="1"/>
  <c r="AL19" i="98" s="1"/>
  <c r="AK19" i="98" a="1"/>
  <c r="AK19" i="98" s="1"/>
  <c r="AJ19" i="98" a="1"/>
  <c r="AJ19" i="98" s="1"/>
  <c r="AO17" i="98" a="1"/>
  <c r="AO17" i="98" s="1"/>
  <c r="AN17" i="98" a="1"/>
  <c r="AN17" i="98" s="1"/>
  <c r="AM17" i="98" a="1"/>
  <c r="AM17" i="98" s="1"/>
  <c r="AL17" i="98" a="1"/>
  <c r="AL17" i="98" s="1"/>
  <c r="AK17" i="98" a="1"/>
  <c r="AK17" i="98" s="1"/>
  <c r="AJ17" i="98" a="1"/>
  <c r="AJ17" i="98" s="1"/>
  <c r="AO15" i="98" a="1"/>
  <c r="AO15" i="98" s="1"/>
  <c r="AN15" i="98" a="1"/>
  <c r="AN15" i="98" s="1"/>
  <c r="AM15" i="98" a="1"/>
  <c r="AM15" i="98" s="1"/>
  <c r="AL15" i="98" a="1"/>
  <c r="AL15" i="98" s="1"/>
  <c r="AK15" i="98" a="1"/>
  <c r="AK15" i="98" s="1"/>
  <c r="AJ15" i="98" a="1"/>
  <c r="AJ15" i="98" s="1"/>
  <c r="AO13" i="98" a="1"/>
  <c r="AO13" i="98" s="1"/>
  <c r="AN13" i="98" a="1"/>
  <c r="AN13" i="98" s="1"/>
  <c r="AM13" i="98" a="1"/>
  <c r="AM13" i="98" s="1"/>
  <c r="AL13" i="98" a="1"/>
  <c r="AL13" i="98" s="1"/>
  <c r="AK13" i="98" a="1"/>
  <c r="AK13" i="98" s="1"/>
  <c r="AJ13" i="98" a="1"/>
  <c r="AJ13" i="98" s="1"/>
  <c r="AH83" i="97"/>
  <c r="AG83" i="97"/>
  <c r="AF83" i="97"/>
  <c r="AE83" i="97"/>
  <c r="AD83" i="97"/>
  <c r="AC83" i="97"/>
  <c r="AB83" i="97"/>
  <c r="AA83" i="97"/>
  <c r="Z83" i="97"/>
  <c r="Y83" i="97"/>
  <c r="X83" i="97"/>
  <c r="W83" i="97"/>
  <c r="V83" i="97"/>
  <c r="U83" i="97"/>
  <c r="T83" i="97"/>
  <c r="S83" i="97"/>
  <c r="R83" i="97"/>
  <c r="Q83" i="97"/>
  <c r="P83" i="97"/>
  <c r="O83" i="97"/>
  <c r="N83" i="97"/>
  <c r="M83" i="97"/>
  <c r="L83" i="97"/>
  <c r="K83" i="97"/>
  <c r="J83" i="97"/>
  <c r="I83" i="97"/>
  <c r="H83" i="97"/>
  <c r="G83" i="97"/>
  <c r="F83" i="97"/>
  <c r="E83" i="97"/>
  <c r="AH81" i="97"/>
  <c r="AG81" i="97"/>
  <c r="AF81" i="97"/>
  <c r="AE81" i="97"/>
  <c r="AD81" i="97"/>
  <c r="AC81" i="97"/>
  <c r="AB81" i="97"/>
  <c r="AA81" i="97"/>
  <c r="Z81" i="97"/>
  <c r="Y81" i="97"/>
  <c r="X81" i="97"/>
  <c r="W81" i="97"/>
  <c r="V81" i="97"/>
  <c r="U81" i="97"/>
  <c r="T81" i="97"/>
  <c r="S81" i="97"/>
  <c r="R81" i="97"/>
  <c r="Q81" i="97"/>
  <c r="P81" i="97"/>
  <c r="O81" i="97"/>
  <c r="N81" i="97"/>
  <c r="M81" i="97"/>
  <c r="L81" i="97"/>
  <c r="K81" i="97"/>
  <c r="J81" i="97"/>
  <c r="I81" i="97"/>
  <c r="H81" i="97"/>
  <c r="G81" i="97"/>
  <c r="F81" i="97"/>
  <c r="E81" i="97"/>
  <c r="AH79" i="97"/>
  <c r="AG79" i="97"/>
  <c r="AF79" i="97"/>
  <c r="AE79" i="97"/>
  <c r="AD79" i="97"/>
  <c r="AC79" i="97"/>
  <c r="AB79" i="97"/>
  <c r="AA79" i="97"/>
  <c r="Z79" i="97"/>
  <c r="Y79" i="97"/>
  <c r="X79" i="97"/>
  <c r="W79" i="97"/>
  <c r="V79" i="97"/>
  <c r="U79" i="97"/>
  <c r="T79" i="97"/>
  <c r="S79" i="97"/>
  <c r="R79" i="97"/>
  <c r="Q79" i="97"/>
  <c r="P79" i="97"/>
  <c r="O79" i="97"/>
  <c r="N79" i="97"/>
  <c r="M79" i="97"/>
  <c r="L79" i="97"/>
  <c r="K79" i="97"/>
  <c r="J79" i="97"/>
  <c r="I79" i="97"/>
  <c r="H79" i="97"/>
  <c r="G79" i="97"/>
  <c r="F79" i="97"/>
  <c r="E79" i="97"/>
  <c r="AH77" i="97"/>
  <c r="AG77" i="97"/>
  <c r="AF77" i="97"/>
  <c r="AE77" i="97"/>
  <c r="AD77" i="97"/>
  <c r="AC77" i="97"/>
  <c r="AB77" i="97"/>
  <c r="AA77" i="97"/>
  <c r="Z77" i="97"/>
  <c r="Y77" i="97"/>
  <c r="X77" i="97"/>
  <c r="W77" i="97"/>
  <c r="V77" i="97"/>
  <c r="U77" i="97"/>
  <c r="T77" i="97"/>
  <c r="S77" i="97"/>
  <c r="R77" i="97"/>
  <c r="Q77" i="97"/>
  <c r="P77" i="97"/>
  <c r="O77" i="97"/>
  <c r="N77" i="97"/>
  <c r="M77" i="97"/>
  <c r="L77" i="97"/>
  <c r="K77" i="97"/>
  <c r="J77" i="97"/>
  <c r="I77" i="97"/>
  <c r="H77" i="97"/>
  <c r="G77" i="97"/>
  <c r="F77" i="97"/>
  <c r="E77" i="97"/>
  <c r="AN47" i="97" a="1"/>
  <c r="AN47" i="97" s="1"/>
  <c r="AM47" i="97" a="1"/>
  <c r="AM47" i="97" s="1"/>
  <c r="AL47" i="97" a="1"/>
  <c r="AL47" i="97" s="1"/>
  <c r="AK47" i="97" a="1"/>
  <c r="AK47" i="97" s="1"/>
  <c r="AJ47" i="97" a="1"/>
  <c r="AJ47" i="97" s="1"/>
  <c r="AI47" i="97" a="1"/>
  <c r="AI47" i="97" s="1"/>
  <c r="AN46" i="97" a="1"/>
  <c r="AN46" i="97" s="1"/>
  <c r="AM46" i="97" a="1"/>
  <c r="AM46" i="97" s="1"/>
  <c r="AL46" i="97" a="1"/>
  <c r="AL46" i="97" s="1"/>
  <c r="AK46" i="97" a="1"/>
  <c r="AK46" i="97" s="1"/>
  <c r="AJ46" i="97" a="1"/>
  <c r="AJ46" i="97" s="1"/>
  <c r="AI46" i="97" a="1"/>
  <c r="AI46" i="97" s="1"/>
  <c r="AN45" i="97" a="1"/>
  <c r="AN45" i="97" s="1"/>
  <c r="AM45" i="97" a="1"/>
  <c r="AM45" i="97" s="1"/>
  <c r="AL45" i="97" a="1"/>
  <c r="AL45" i="97" s="1"/>
  <c r="AK45" i="97" a="1"/>
  <c r="AK45" i="97" s="1"/>
  <c r="AJ45" i="97" a="1"/>
  <c r="AJ45" i="97" s="1"/>
  <c r="AI45" i="97" a="1"/>
  <c r="AI45" i="97" s="1"/>
  <c r="AN44" i="97" a="1"/>
  <c r="AN44" i="97" s="1"/>
  <c r="AM44" i="97" a="1"/>
  <c r="AM44" i="97" s="1"/>
  <c r="AL44" i="97" a="1"/>
  <c r="AL44" i="97" s="1"/>
  <c r="AK44" i="97" a="1"/>
  <c r="AK44" i="97" s="1"/>
  <c r="AJ44" i="97" a="1"/>
  <c r="AJ44" i="97" s="1"/>
  <c r="AI44" i="97" a="1"/>
  <c r="AI44" i="97" s="1"/>
  <c r="AN43" i="97" a="1"/>
  <c r="AN43" i="97" s="1"/>
  <c r="AM43" i="97" a="1"/>
  <c r="AM43" i="97" s="1"/>
  <c r="AL43" i="97" a="1"/>
  <c r="AL43" i="97" s="1"/>
  <c r="AK43" i="97" a="1"/>
  <c r="AK43" i="97" s="1"/>
  <c r="AJ43" i="97" a="1"/>
  <c r="AJ43" i="97" s="1"/>
  <c r="AI43" i="97" a="1"/>
  <c r="AI43" i="97" s="1"/>
  <c r="AN42" i="97" a="1"/>
  <c r="AN42" i="97" s="1"/>
  <c r="AM42" i="97" a="1"/>
  <c r="AM42" i="97" s="1"/>
  <c r="AL42" i="97" a="1"/>
  <c r="AL42" i="97" s="1"/>
  <c r="AK42" i="97" a="1"/>
  <c r="AK42" i="97" s="1"/>
  <c r="AJ42" i="97" a="1"/>
  <c r="AJ42" i="97" s="1"/>
  <c r="AI42" i="97" a="1"/>
  <c r="AI42" i="97" s="1"/>
  <c r="AN41" i="97" a="1"/>
  <c r="AN41" i="97" s="1"/>
  <c r="AM41" i="97" a="1"/>
  <c r="AM41" i="97" s="1"/>
  <c r="AL41" i="97" a="1"/>
  <c r="AL41" i="97" s="1"/>
  <c r="AK41" i="97" a="1"/>
  <c r="AK41" i="97" s="1"/>
  <c r="AJ41" i="97" a="1"/>
  <c r="AJ41" i="97" s="1"/>
  <c r="AI41" i="97" a="1"/>
  <c r="AI41" i="97" s="1"/>
  <c r="AN39" i="97" a="1"/>
  <c r="AN39" i="97" s="1"/>
  <c r="AM39" i="97" a="1"/>
  <c r="AM39" i="97" s="1"/>
  <c r="AL39" i="97" a="1"/>
  <c r="AL39" i="97" s="1"/>
  <c r="AK39" i="97" a="1"/>
  <c r="AK39" i="97" s="1"/>
  <c r="AJ39" i="97" a="1"/>
  <c r="AJ39" i="97" s="1"/>
  <c r="AI39" i="97" a="1"/>
  <c r="AI39" i="97" s="1"/>
  <c r="AN38" i="97" a="1"/>
  <c r="AN38" i="97" s="1"/>
  <c r="AM38" i="97" a="1"/>
  <c r="AM38" i="97" s="1"/>
  <c r="AL38" i="97" a="1"/>
  <c r="AL38" i="97" s="1"/>
  <c r="AK38" i="97" a="1"/>
  <c r="AK38" i="97" s="1"/>
  <c r="AJ38" i="97" a="1"/>
  <c r="AJ38" i="97" s="1"/>
  <c r="AI38" i="97" a="1"/>
  <c r="AI38" i="97" s="1"/>
  <c r="AN37" i="97" a="1"/>
  <c r="AN37" i="97" s="1"/>
  <c r="AM37" i="97" a="1"/>
  <c r="AM37" i="97" s="1"/>
  <c r="AL37" i="97" a="1"/>
  <c r="AL37" i="97" s="1"/>
  <c r="AK37" i="97" a="1"/>
  <c r="AK37" i="97" s="1"/>
  <c r="AJ37" i="97" a="1"/>
  <c r="AJ37" i="97" s="1"/>
  <c r="AI37" i="97" a="1"/>
  <c r="AI37" i="97" s="1"/>
  <c r="AN36" i="97" a="1"/>
  <c r="AN36" i="97" s="1"/>
  <c r="AM36" i="97" a="1"/>
  <c r="AM36" i="97" s="1"/>
  <c r="AL36" i="97" a="1"/>
  <c r="AL36" i="97" s="1"/>
  <c r="AK36" i="97" a="1"/>
  <c r="AK36" i="97" s="1"/>
  <c r="AJ36" i="97" a="1"/>
  <c r="AJ36" i="97" s="1"/>
  <c r="AI36" i="97" a="1"/>
  <c r="AI36" i="97" s="1"/>
  <c r="AN35" i="97" a="1"/>
  <c r="AN35" i="97" s="1"/>
  <c r="AM35" i="97" a="1"/>
  <c r="AM35" i="97" s="1"/>
  <c r="AL35" i="97" a="1"/>
  <c r="AL35" i="97" s="1"/>
  <c r="AK35" i="97" a="1"/>
  <c r="AK35" i="97" s="1"/>
  <c r="AJ35" i="97" a="1"/>
  <c r="AJ35" i="97" s="1"/>
  <c r="AI35" i="97" a="1"/>
  <c r="AI35" i="97" s="1"/>
  <c r="AN34" i="97" a="1"/>
  <c r="AN34" i="97" s="1"/>
  <c r="AM34" i="97" a="1"/>
  <c r="AM34" i="97" s="1"/>
  <c r="AL34" i="97" a="1"/>
  <c r="AL34" i="97" s="1"/>
  <c r="AK34" i="97" a="1"/>
  <c r="AK34" i="97" s="1"/>
  <c r="AJ34" i="97" a="1"/>
  <c r="AJ34" i="97" s="1"/>
  <c r="AI34" i="97" a="1"/>
  <c r="AI34" i="97" s="1"/>
  <c r="AN32" i="97" a="1"/>
  <c r="AN32" i="97" s="1"/>
  <c r="AM32" i="97" a="1"/>
  <c r="AM32" i="97" s="1"/>
  <c r="AL32" i="97" a="1"/>
  <c r="AL32" i="97" s="1"/>
  <c r="AK32" i="97" a="1"/>
  <c r="AK32" i="97" s="1"/>
  <c r="AJ32" i="97" a="1"/>
  <c r="AJ32" i="97" s="1"/>
  <c r="AI32" i="97" a="1"/>
  <c r="AI32" i="97" s="1"/>
  <c r="AN29" i="97" a="1"/>
  <c r="AN29" i="97" s="1"/>
  <c r="AM29" i="97" a="1"/>
  <c r="AM29" i="97" s="1"/>
  <c r="AL29" i="97" a="1"/>
  <c r="AL29" i="97" s="1"/>
  <c r="AK29" i="97" a="1"/>
  <c r="AK29" i="97" s="1"/>
  <c r="AJ29" i="97" a="1"/>
  <c r="AJ29" i="97" s="1"/>
  <c r="AI29" i="97" a="1"/>
  <c r="AI29" i="97" s="1"/>
  <c r="AN28" i="97" a="1"/>
  <c r="AN28" i="97" s="1"/>
  <c r="AM28" i="97" a="1"/>
  <c r="AM28" i="97" s="1"/>
  <c r="AL28" i="97" a="1"/>
  <c r="AL28" i="97" s="1"/>
  <c r="AK28" i="97" a="1"/>
  <c r="AK28" i="97" s="1"/>
  <c r="AJ28" i="97" a="1"/>
  <c r="AJ28" i="97" s="1"/>
  <c r="AI28" i="97" a="1"/>
  <c r="AI28" i="97" s="1"/>
  <c r="AN27" i="97" a="1"/>
  <c r="AN27" i="97" s="1"/>
  <c r="AM27" i="97" a="1"/>
  <c r="AM27" i="97" s="1"/>
  <c r="AL27" i="97" a="1"/>
  <c r="AL27" i="97" s="1"/>
  <c r="AK27" i="97" a="1"/>
  <c r="AK27" i="97" s="1"/>
  <c r="AJ27" i="97" a="1"/>
  <c r="AJ27" i="97" s="1"/>
  <c r="AI27" i="97" a="1"/>
  <c r="AI27" i="97" s="1"/>
  <c r="AN26" i="97" a="1"/>
  <c r="AN26" i="97" s="1"/>
  <c r="AM26" i="97" a="1"/>
  <c r="AM26" i="97" s="1"/>
  <c r="AL26" i="97" a="1"/>
  <c r="AL26" i="97" s="1"/>
  <c r="AK26" i="97" a="1"/>
  <c r="AK26" i="97" s="1"/>
  <c r="AJ26" i="97" a="1"/>
  <c r="AJ26" i="97" s="1"/>
  <c r="AI26" i="97" a="1"/>
  <c r="AI26" i="97" s="1"/>
  <c r="AN24" i="97" a="1"/>
  <c r="AN24" i="97" s="1"/>
  <c r="AM24" i="97" a="1"/>
  <c r="AM24" i="97" s="1"/>
  <c r="AL24" i="97" a="1"/>
  <c r="AL24" i="97" s="1"/>
  <c r="AK24" i="97" a="1"/>
  <c r="AK24" i="97" s="1"/>
  <c r="AJ24" i="97" a="1"/>
  <c r="AJ24" i="97" s="1"/>
  <c r="AI24" i="97" a="1"/>
  <c r="AI24" i="97" s="1"/>
  <c r="AN23" i="97" a="1"/>
  <c r="AN23" i="97" s="1"/>
  <c r="AM23" i="97" a="1"/>
  <c r="AM23" i="97" s="1"/>
  <c r="AL23" i="97" a="1"/>
  <c r="AL23" i="97" s="1"/>
  <c r="AK23" i="97" a="1"/>
  <c r="AK23" i="97" s="1"/>
  <c r="AJ23" i="97" a="1"/>
  <c r="AJ23" i="97" s="1"/>
  <c r="AI23" i="97" a="1"/>
  <c r="AI23" i="97" s="1"/>
  <c r="AN22" i="97" a="1"/>
  <c r="AN22" i="97" s="1"/>
  <c r="AM22" i="97" a="1"/>
  <c r="AM22" i="97" s="1"/>
  <c r="AL22" i="97" a="1"/>
  <c r="AL22" i="97" s="1"/>
  <c r="AK22" i="97" a="1"/>
  <c r="AK22" i="97" s="1"/>
  <c r="AJ22" i="97" a="1"/>
  <c r="AJ22" i="97" s="1"/>
  <c r="AI22" i="97" a="1"/>
  <c r="AI22" i="97" s="1"/>
  <c r="AN21" i="97" a="1"/>
  <c r="AN21" i="97" s="1"/>
  <c r="AM21" i="97" a="1"/>
  <c r="AM21" i="97" s="1"/>
  <c r="AL21" i="97" a="1"/>
  <c r="AL21" i="97" s="1"/>
  <c r="AK21" i="97" a="1"/>
  <c r="AK21" i="97" s="1"/>
  <c r="AJ21" i="97" a="1"/>
  <c r="AJ21" i="97" s="1"/>
  <c r="AI21" i="97" a="1"/>
  <c r="AI21" i="97" s="1"/>
  <c r="AN20" i="97" a="1"/>
  <c r="AN20" i="97" s="1"/>
  <c r="AM20" i="97" a="1"/>
  <c r="AM20" i="97" s="1"/>
  <c r="AL20" i="97" a="1"/>
  <c r="AL20" i="97" s="1"/>
  <c r="AK20" i="97" a="1"/>
  <c r="AK20" i="97" s="1"/>
  <c r="AJ20" i="97" a="1"/>
  <c r="AJ20" i="97" s="1"/>
  <c r="AI20" i="97" a="1"/>
  <c r="AI20" i="97" s="1"/>
  <c r="AN19" i="97" a="1"/>
  <c r="AN19" i="97" s="1"/>
  <c r="AM19" i="97" a="1"/>
  <c r="AM19" i="97" s="1"/>
  <c r="AL19" i="97" a="1"/>
  <c r="AL19" i="97" s="1"/>
  <c r="AK19" i="97" a="1"/>
  <c r="AK19" i="97" s="1"/>
  <c r="AJ19" i="97" a="1"/>
  <c r="AJ19" i="97" s="1"/>
  <c r="AI19" i="97" a="1"/>
  <c r="AI19" i="97" s="1"/>
  <c r="AN17" i="97" a="1"/>
  <c r="AN17" i="97" s="1"/>
  <c r="AM17" i="97" a="1"/>
  <c r="AM17" i="97" s="1"/>
  <c r="AL17" i="97" a="1"/>
  <c r="AL17" i="97" s="1"/>
  <c r="AK17" i="97" a="1"/>
  <c r="AK17" i="97" s="1"/>
  <c r="AJ17" i="97" a="1"/>
  <c r="AJ17" i="97" s="1"/>
  <c r="AI17" i="97" a="1"/>
  <c r="AI17" i="97" s="1"/>
  <c r="AN15" i="97" a="1"/>
  <c r="AN15" i="97" s="1"/>
  <c r="AM15" i="97" a="1"/>
  <c r="AM15" i="97" s="1"/>
  <c r="AL15" i="97" a="1"/>
  <c r="AL15" i="97" s="1"/>
  <c r="AK15" i="97" a="1"/>
  <c r="AK15" i="97" s="1"/>
  <c r="AJ15" i="97" a="1"/>
  <c r="AJ15" i="97" s="1"/>
  <c r="AI15" i="97" a="1"/>
  <c r="AI15" i="97" s="1"/>
  <c r="AN13" i="97" a="1"/>
  <c r="AN13" i="97" s="1"/>
  <c r="AM13" i="97" a="1"/>
  <c r="AM13" i="97" s="1"/>
  <c r="AL13" i="97" a="1"/>
  <c r="AL13" i="97" s="1"/>
  <c r="AK13" i="97" a="1"/>
  <c r="AK13" i="97" s="1"/>
  <c r="AJ13" i="97" a="1"/>
  <c r="AJ13" i="97" s="1"/>
  <c r="AI13" i="97" a="1"/>
  <c r="AI13" i="97" s="1"/>
  <c r="E79" i="96"/>
  <c r="E75" i="96"/>
  <c r="AO47" i="96" a="1"/>
  <c r="AO47" i="96" s="1"/>
  <c r="AN47" i="96" a="1"/>
  <c r="AN47" i="96" s="1"/>
  <c r="AM47" i="96" a="1"/>
  <c r="AM47" i="96" s="1"/>
  <c r="AL47" i="96" a="1"/>
  <c r="AL47" i="96" s="1"/>
  <c r="AK47" i="96" a="1"/>
  <c r="AK47" i="96" s="1"/>
  <c r="AJ47" i="96" a="1"/>
  <c r="AJ47" i="96" s="1"/>
  <c r="AP47" i="96" s="1"/>
  <c r="AO46" i="96" a="1"/>
  <c r="AO46" i="96" s="1"/>
  <c r="AN46" i="96" a="1"/>
  <c r="AN46" i="96" s="1"/>
  <c r="AM46" i="96" a="1"/>
  <c r="AM46" i="96" s="1"/>
  <c r="AL46" i="96" a="1"/>
  <c r="AL46" i="96" s="1"/>
  <c r="AK46" i="96" a="1"/>
  <c r="AK46" i="96" s="1"/>
  <c r="AJ46" i="96" a="1"/>
  <c r="AJ46" i="96" s="1"/>
  <c r="AP46" i="96" s="1"/>
  <c r="AO45" i="96" a="1"/>
  <c r="AO45" i="96" s="1"/>
  <c r="AN45" i="96" a="1"/>
  <c r="AN45" i="96" s="1"/>
  <c r="AM45" i="96" a="1"/>
  <c r="AM45" i="96" s="1"/>
  <c r="AL45" i="96" a="1"/>
  <c r="AL45" i="96" s="1"/>
  <c r="AK45" i="96" a="1"/>
  <c r="AK45" i="96" s="1"/>
  <c r="AJ45" i="96" a="1"/>
  <c r="AJ45" i="96" s="1"/>
  <c r="AP45" i="96" s="1"/>
  <c r="AO44" i="96" a="1"/>
  <c r="AO44" i="96" s="1"/>
  <c r="AN44" i="96" a="1"/>
  <c r="AN44" i="96" s="1"/>
  <c r="AM44" i="96" a="1"/>
  <c r="AM44" i="96" s="1"/>
  <c r="AL44" i="96" a="1"/>
  <c r="AL44" i="96" s="1"/>
  <c r="AK44" i="96" a="1"/>
  <c r="AK44" i="96" s="1"/>
  <c r="AJ44" i="96" a="1"/>
  <c r="AJ44" i="96" s="1"/>
  <c r="AP44" i="96" s="1"/>
  <c r="AO43" i="96" a="1"/>
  <c r="AO43" i="96" s="1"/>
  <c r="AN43" i="96" a="1"/>
  <c r="AN43" i="96" s="1"/>
  <c r="AM43" i="96" a="1"/>
  <c r="AM43" i="96" s="1"/>
  <c r="AL43" i="96" a="1"/>
  <c r="AL43" i="96" s="1"/>
  <c r="AK43" i="96" a="1"/>
  <c r="AK43" i="96" s="1"/>
  <c r="AJ43" i="96" a="1"/>
  <c r="AJ43" i="96" s="1"/>
  <c r="AP43" i="96" s="1"/>
  <c r="AO42" i="96" a="1"/>
  <c r="AO42" i="96" s="1"/>
  <c r="AN42" i="96" a="1"/>
  <c r="AN42" i="96" s="1"/>
  <c r="AM42" i="96" a="1"/>
  <c r="AM42" i="96" s="1"/>
  <c r="AL42" i="96" a="1"/>
  <c r="AL42" i="96" s="1"/>
  <c r="AK42" i="96" a="1"/>
  <c r="AK42" i="96" s="1"/>
  <c r="AJ42" i="96" a="1"/>
  <c r="AJ42" i="96" s="1"/>
  <c r="AP42" i="96" s="1"/>
  <c r="AO41" i="96" a="1"/>
  <c r="AO41" i="96" s="1"/>
  <c r="AN41" i="96" a="1"/>
  <c r="AN41" i="96" s="1"/>
  <c r="AM41" i="96" a="1"/>
  <c r="AM41" i="96" s="1"/>
  <c r="AL41" i="96" a="1"/>
  <c r="AL41" i="96" s="1"/>
  <c r="AK41" i="96" a="1"/>
  <c r="AK41" i="96" s="1"/>
  <c r="AJ41" i="96" a="1"/>
  <c r="AJ41" i="96" s="1"/>
  <c r="AP41" i="96" s="1"/>
  <c r="AO39" i="96" a="1"/>
  <c r="AO39" i="96" s="1"/>
  <c r="AN39" i="96" a="1"/>
  <c r="AN39" i="96" s="1"/>
  <c r="AM39" i="96" a="1"/>
  <c r="AM39" i="96" s="1"/>
  <c r="AL39" i="96" a="1"/>
  <c r="AL39" i="96" s="1"/>
  <c r="AK39" i="96" a="1"/>
  <c r="AK39" i="96" s="1"/>
  <c r="AJ39" i="96" a="1"/>
  <c r="AJ39" i="96" s="1"/>
  <c r="AP39" i="96" s="1"/>
  <c r="AO38" i="96" a="1"/>
  <c r="AO38" i="96" s="1"/>
  <c r="AN38" i="96" a="1"/>
  <c r="AN38" i="96" s="1"/>
  <c r="AM38" i="96" a="1"/>
  <c r="AM38" i="96" s="1"/>
  <c r="AL38" i="96" a="1"/>
  <c r="AL38" i="96" s="1"/>
  <c r="AK38" i="96" a="1"/>
  <c r="AK38" i="96" s="1"/>
  <c r="AJ38" i="96" a="1"/>
  <c r="AJ38" i="96" s="1"/>
  <c r="AP38" i="96" s="1"/>
  <c r="AO37" i="96" a="1"/>
  <c r="AO37" i="96" s="1"/>
  <c r="AN37" i="96" a="1"/>
  <c r="AN37" i="96" s="1"/>
  <c r="AM37" i="96" a="1"/>
  <c r="AM37" i="96" s="1"/>
  <c r="AL37" i="96" a="1"/>
  <c r="AL37" i="96" s="1"/>
  <c r="AK37" i="96" a="1"/>
  <c r="AK37" i="96" s="1"/>
  <c r="AJ37" i="96" a="1"/>
  <c r="AJ37" i="96" s="1"/>
  <c r="AP37" i="96" s="1"/>
  <c r="AO36" i="96" a="1"/>
  <c r="AO36" i="96" s="1"/>
  <c r="AN36" i="96" a="1"/>
  <c r="AN36" i="96" s="1"/>
  <c r="AM36" i="96" a="1"/>
  <c r="AM36" i="96" s="1"/>
  <c r="AL36" i="96" a="1"/>
  <c r="AL36" i="96" s="1"/>
  <c r="AK36" i="96" a="1"/>
  <c r="AK36" i="96" s="1"/>
  <c r="AJ36" i="96" a="1"/>
  <c r="AJ36" i="96" s="1"/>
  <c r="AP36" i="96" s="1"/>
  <c r="AO35" i="96" a="1"/>
  <c r="AO35" i="96" s="1"/>
  <c r="AN35" i="96" a="1"/>
  <c r="AN35" i="96" s="1"/>
  <c r="AM35" i="96" a="1"/>
  <c r="AM35" i="96" s="1"/>
  <c r="AL35" i="96" a="1"/>
  <c r="AL35" i="96" s="1"/>
  <c r="AK35" i="96" a="1"/>
  <c r="AK35" i="96" s="1"/>
  <c r="AJ35" i="96" a="1"/>
  <c r="AJ35" i="96" s="1"/>
  <c r="AP35" i="96" s="1"/>
  <c r="AO34" i="96" a="1"/>
  <c r="AO34" i="96" s="1"/>
  <c r="AN34" i="96" a="1"/>
  <c r="AN34" i="96" s="1"/>
  <c r="AM34" i="96" a="1"/>
  <c r="AM34" i="96" s="1"/>
  <c r="AL34" i="96" a="1"/>
  <c r="AL34" i="96" s="1"/>
  <c r="AK34" i="96" a="1"/>
  <c r="AK34" i="96" s="1"/>
  <c r="AJ34" i="96" a="1"/>
  <c r="AJ34" i="96" s="1"/>
  <c r="AP34" i="96" s="1"/>
  <c r="AO30" i="96" a="1"/>
  <c r="AO30" i="96" s="1"/>
  <c r="AN30" i="96" a="1"/>
  <c r="AN30" i="96" s="1"/>
  <c r="AM30" i="96" a="1"/>
  <c r="AM30" i="96" s="1"/>
  <c r="AL30" i="96" a="1"/>
  <c r="AL30" i="96" s="1"/>
  <c r="AK30" i="96" a="1"/>
  <c r="AK30" i="96" s="1"/>
  <c r="AJ30" i="96" a="1"/>
  <c r="AJ30" i="96" s="1"/>
  <c r="AP30" i="96" s="1"/>
  <c r="AO29" i="96" a="1"/>
  <c r="AO29" i="96" s="1"/>
  <c r="AN29" i="96" a="1"/>
  <c r="AN29" i="96" s="1"/>
  <c r="AM29" i="96" a="1"/>
  <c r="AM29" i="96" s="1"/>
  <c r="AL29" i="96" a="1"/>
  <c r="AL29" i="96" s="1"/>
  <c r="AK29" i="96" a="1"/>
  <c r="AK29" i="96" s="1"/>
  <c r="AJ29" i="96" a="1"/>
  <c r="AJ29" i="96" s="1"/>
  <c r="AP29" i="96" s="1"/>
  <c r="AO28" i="96" a="1"/>
  <c r="AO28" i="96" s="1"/>
  <c r="AN28" i="96" a="1"/>
  <c r="AN28" i="96" s="1"/>
  <c r="AM28" i="96" a="1"/>
  <c r="AM28" i="96" s="1"/>
  <c r="AL28" i="96" a="1"/>
  <c r="AL28" i="96" s="1"/>
  <c r="AK28" i="96" a="1"/>
  <c r="AK28" i="96" s="1"/>
  <c r="AJ28" i="96" a="1"/>
  <c r="AJ28" i="96" s="1"/>
  <c r="AP28" i="96" s="1"/>
  <c r="AO27" i="96" a="1"/>
  <c r="AO27" i="96" s="1"/>
  <c r="AN27" i="96" a="1"/>
  <c r="AN27" i="96" s="1"/>
  <c r="AM27" i="96" a="1"/>
  <c r="AM27" i="96" s="1"/>
  <c r="AL27" i="96" a="1"/>
  <c r="AL27" i="96" s="1"/>
  <c r="AK27" i="96" a="1"/>
  <c r="AK27" i="96" s="1"/>
  <c r="AJ27" i="96" a="1"/>
  <c r="AJ27" i="96" s="1"/>
  <c r="AP27" i="96" s="1"/>
  <c r="AO26" i="96" a="1"/>
  <c r="AO26" i="96" s="1"/>
  <c r="AN26" i="96" a="1"/>
  <c r="AN26" i="96" s="1"/>
  <c r="AM26" i="96" a="1"/>
  <c r="AM26" i="96" s="1"/>
  <c r="AL26" i="96" a="1"/>
  <c r="AL26" i="96" s="1"/>
  <c r="AK26" i="96" a="1"/>
  <c r="AK26" i="96" s="1"/>
  <c r="AJ26" i="96" a="1"/>
  <c r="AJ26" i="96" s="1"/>
  <c r="AP26" i="96" s="1"/>
  <c r="AO24" i="96" a="1"/>
  <c r="AO24" i="96" s="1"/>
  <c r="AN24" i="96" a="1"/>
  <c r="AN24" i="96" s="1"/>
  <c r="AM24" i="96" a="1"/>
  <c r="AM24" i="96" s="1"/>
  <c r="AL24" i="96" a="1"/>
  <c r="AL24" i="96" s="1"/>
  <c r="AK24" i="96" a="1"/>
  <c r="AK24" i="96" s="1"/>
  <c r="AJ24" i="96" a="1"/>
  <c r="AJ24" i="96" s="1"/>
  <c r="AP24" i="96" s="1"/>
  <c r="AO23" i="96" a="1"/>
  <c r="AO23" i="96" s="1"/>
  <c r="AN23" i="96" a="1"/>
  <c r="AN23" i="96" s="1"/>
  <c r="AM23" i="96" a="1"/>
  <c r="AM23" i="96" s="1"/>
  <c r="AL23" i="96" a="1"/>
  <c r="AL23" i="96" s="1"/>
  <c r="AK23" i="96" a="1"/>
  <c r="AK23" i="96" s="1"/>
  <c r="AJ23" i="96" a="1"/>
  <c r="AJ23" i="96" s="1"/>
  <c r="AP23" i="96" s="1"/>
  <c r="AO22" i="96" a="1"/>
  <c r="AO22" i="96" s="1"/>
  <c r="AN22" i="96" a="1"/>
  <c r="AN22" i="96" s="1"/>
  <c r="AM22" i="96" a="1"/>
  <c r="AM22" i="96" s="1"/>
  <c r="AL22" i="96" a="1"/>
  <c r="AL22" i="96" s="1"/>
  <c r="AK22" i="96" a="1"/>
  <c r="AK22" i="96" s="1"/>
  <c r="AJ22" i="96" a="1"/>
  <c r="AJ22" i="96" s="1"/>
  <c r="AP22" i="96" s="1"/>
  <c r="AO21" i="96" a="1"/>
  <c r="AO21" i="96" s="1"/>
  <c r="AN21" i="96" a="1"/>
  <c r="AN21" i="96" s="1"/>
  <c r="AM21" i="96" a="1"/>
  <c r="AM21" i="96" s="1"/>
  <c r="AL21" i="96" a="1"/>
  <c r="AL21" i="96" s="1"/>
  <c r="AK21" i="96" a="1"/>
  <c r="AK21" i="96" s="1"/>
  <c r="AJ21" i="96" a="1"/>
  <c r="AJ21" i="96" s="1"/>
  <c r="AP21" i="96" s="1"/>
  <c r="AO20" i="96" a="1"/>
  <c r="AO20" i="96" s="1"/>
  <c r="AN20" i="96" a="1"/>
  <c r="AN20" i="96" s="1"/>
  <c r="AM20" i="96" a="1"/>
  <c r="AM20" i="96" s="1"/>
  <c r="AL20" i="96" a="1"/>
  <c r="AL20" i="96" s="1"/>
  <c r="AK20" i="96" a="1"/>
  <c r="AK20" i="96" s="1"/>
  <c r="AJ20" i="96" a="1"/>
  <c r="AJ20" i="96" s="1"/>
  <c r="AP20" i="96" s="1"/>
  <c r="AO19" i="96" a="1"/>
  <c r="AO19" i="96" s="1"/>
  <c r="AN19" i="96" a="1"/>
  <c r="AN19" i="96" s="1"/>
  <c r="AM19" i="96" a="1"/>
  <c r="AM19" i="96" s="1"/>
  <c r="AL19" i="96" a="1"/>
  <c r="AL19" i="96" s="1"/>
  <c r="AK19" i="96" a="1"/>
  <c r="AK19" i="96" s="1"/>
  <c r="AJ19" i="96" a="1"/>
  <c r="AJ19" i="96" s="1"/>
  <c r="AP19" i="96" s="1"/>
  <c r="AO17" i="96" a="1"/>
  <c r="AO17" i="96" s="1"/>
  <c r="AN17" i="96" a="1"/>
  <c r="AN17" i="96" s="1"/>
  <c r="AM17" i="96" a="1"/>
  <c r="AM17" i="96" s="1"/>
  <c r="AL17" i="96" a="1"/>
  <c r="AL17" i="96" s="1"/>
  <c r="AK17" i="96" a="1"/>
  <c r="AK17" i="96" s="1"/>
  <c r="AJ17" i="96" a="1"/>
  <c r="AJ17" i="96" s="1"/>
  <c r="AP17" i="96" s="1"/>
  <c r="AO15" i="96" a="1"/>
  <c r="AO15" i="96" s="1"/>
  <c r="AN15" i="96" a="1"/>
  <c r="AN15" i="96" s="1"/>
  <c r="AM15" i="96" a="1"/>
  <c r="AM15" i="96" s="1"/>
  <c r="AL15" i="96" a="1"/>
  <c r="AL15" i="96" s="1"/>
  <c r="AK15" i="96" a="1"/>
  <c r="AK15" i="96" s="1"/>
  <c r="AJ15" i="96" a="1"/>
  <c r="AJ15" i="96" s="1"/>
  <c r="AP15" i="96" s="1"/>
  <c r="AO13" i="96" a="1"/>
  <c r="AO13" i="96" s="1"/>
  <c r="AN13" i="96" a="1"/>
  <c r="AN13" i="96" s="1"/>
  <c r="AM13" i="96" a="1"/>
  <c r="AM13" i="96" s="1"/>
  <c r="AL13" i="96" a="1"/>
  <c r="AL13" i="96" s="1"/>
  <c r="AK13" i="96" a="1"/>
  <c r="AK13" i="96" s="1"/>
  <c r="AJ13" i="96" a="1"/>
  <c r="AJ13" i="96" s="1"/>
  <c r="AP13" i="96" s="1"/>
  <c r="AF73" i="95"/>
  <c r="AE73" i="95"/>
  <c r="AD73" i="95"/>
  <c r="AC73" i="95"/>
  <c r="AB73" i="95"/>
  <c r="AA73" i="95"/>
  <c r="Z73" i="95"/>
  <c r="Y73" i="95"/>
  <c r="X73" i="95"/>
  <c r="W73" i="95"/>
  <c r="V73" i="95"/>
  <c r="U73" i="95"/>
  <c r="T73" i="95"/>
  <c r="S73" i="95"/>
  <c r="R73" i="95"/>
  <c r="Q73" i="95"/>
  <c r="P73" i="95"/>
  <c r="O73" i="95"/>
  <c r="N73" i="95"/>
  <c r="M73" i="95"/>
  <c r="L73" i="95"/>
  <c r="K73" i="95"/>
  <c r="J73" i="95"/>
  <c r="I73" i="95"/>
  <c r="H73" i="95"/>
  <c r="G73" i="95"/>
  <c r="F73" i="95"/>
  <c r="E73" i="95"/>
  <c r="AF69" i="95"/>
  <c r="AE69" i="95"/>
  <c r="AD69" i="95"/>
  <c r="AC69" i="95"/>
  <c r="AB69" i="95"/>
  <c r="AA69" i="95"/>
  <c r="Z69" i="95"/>
  <c r="Y69" i="95"/>
  <c r="X69" i="95"/>
  <c r="W69" i="95"/>
  <c r="V69" i="95"/>
  <c r="U69" i="95"/>
  <c r="T69" i="95"/>
  <c r="S69" i="95"/>
  <c r="R69" i="95"/>
  <c r="Q69" i="95"/>
  <c r="P69" i="95"/>
  <c r="O69" i="95"/>
  <c r="N69" i="95"/>
  <c r="M69" i="95"/>
  <c r="K69" i="95"/>
  <c r="J69" i="95"/>
  <c r="I69" i="95"/>
  <c r="H69" i="95"/>
  <c r="G69" i="95"/>
  <c r="F69" i="95"/>
  <c r="E69" i="95"/>
  <c r="AL47" i="95" a="1"/>
  <c r="AL47" i="95" s="1"/>
  <c r="AK47" i="95" a="1"/>
  <c r="AK47" i="95" s="1"/>
  <c r="AJ47" i="95" a="1"/>
  <c r="AJ47" i="95" s="1"/>
  <c r="AI47" i="95" a="1"/>
  <c r="AI47" i="95" s="1"/>
  <c r="AH47" i="95" a="1"/>
  <c r="AH47" i="95" s="1"/>
  <c r="AG47" i="95" a="1"/>
  <c r="AG47" i="95" s="1"/>
  <c r="AL46" i="95" a="1"/>
  <c r="AL46" i="95" s="1"/>
  <c r="AK46" i="95" a="1"/>
  <c r="AK46" i="95" s="1"/>
  <c r="AJ46" i="95" a="1"/>
  <c r="AJ46" i="95" s="1"/>
  <c r="AI46" i="95" a="1"/>
  <c r="AI46" i="95" s="1"/>
  <c r="AH46" i="95" a="1"/>
  <c r="AH46" i="95" s="1"/>
  <c r="AG46" i="95" a="1"/>
  <c r="AG46" i="95" s="1"/>
  <c r="AL45" i="95" a="1"/>
  <c r="AL45" i="95" s="1"/>
  <c r="AK45" i="95" a="1"/>
  <c r="AK45" i="95" s="1"/>
  <c r="AJ45" i="95" a="1"/>
  <c r="AJ45" i="95" s="1"/>
  <c r="AI45" i="95" a="1"/>
  <c r="AI45" i="95" s="1"/>
  <c r="AH45" i="95" a="1"/>
  <c r="AH45" i="95" s="1"/>
  <c r="AG45" i="95" a="1"/>
  <c r="AG45" i="95" s="1"/>
  <c r="AL44" i="95" a="1"/>
  <c r="AL44" i="95" s="1"/>
  <c r="AK44" i="95" a="1"/>
  <c r="AK44" i="95" s="1"/>
  <c r="AJ44" i="95" a="1"/>
  <c r="AJ44" i="95" s="1"/>
  <c r="AI44" i="95" a="1"/>
  <c r="AI44" i="95" s="1"/>
  <c r="AH44" i="95" a="1"/>
  <c r="AH44" i="95" s="1"/>
  <c r="AG44" i="95" a="1"/>
  <c r="AG44" i="95" s="1"/>
  <c r="AL43" i="95" a="1"/>
  <c r="AL43" i="95" s="1"/>
  <c r="AK43" i="95" a="1"/>
  <c r="AK43" i="95" s="1"/>
  <c r="AJ43" i="95" a="1"/>
  <c r="AJ43" i="95" s="1"/>
  <c r="AI43" i="95" a="1"/>
  <c r="AI43" i="95" s="1"/>
  <c r="AH43" i="95" a="1"/>
  <c r="AH43" i="95" s="1"/>
  <c r="AG43" i="95" a="1"/>
  <c r="AG43" i="95" s="1"/>
  <c r="AL42" i="95" a="1"/>
  <c r="AL42" i="95" s="1"/>
  <c r="AK42" i="95" a="1"/>
  <c r="AK42" i="95" s="1"/>
  <c r="AJ42" i="95" a="1"/>
  <c r="AJ42" i="95" s="1"/>
  <c r="AI42" i="95" a="1"/>
  <c r="AI42" i="95" s="1"/>
  <c r="AH42" i="95" a="1"/>
  <c r="AH42" i="95" s="1"/>
  <c r="AG42" i="95" a="1"/>
  <c r="AG42" i="95" s="1"/>
  <c r="AL41" i="95" a="1"/>
  <c r="AL41" i="95" s="1"/>
  <c r="AK41" i="95" a="1"/>
  <c r="AK41" i="95" s="1"/>
  <c r="AJ41" i="95" a="1"/>
  <c r="AJ41" i="95" s="1"/>
  <c r="AI41" i="95" a="1"/>
  <c r="AI41" i="95" s="1"/>
  <c r="AH41" i="95" a="1"/>
  <c r="AH41" i="95" s="1"/>
  <c r="AG41" i="95" a="1"/>
  <c r="AG41" i="95" s="1"/>
  <c r="AL39" i="95" a="1"/>
  <c r="AL39" i="95" s="1"/>
  <c r="AK39" i="95" a="1"/>
  <c r="AK39" i="95" s="1"/>
  <c r="AJ39" i="95" a="1"/>
  <c r="AJ39" i="95" s="1"/>
  <c r="AI39" i="95" a="1"/>
  <c r="AI39" i="95" s="1"/>
  <c r="AH39" i="95" a="1"/>
  <c r="AH39" i="95" s="1"/>
  <c r="AG39" i="95" a="1"/>
  <c r="AG39" i="95" s="1"/>
  <c r="AL38" i="95" a="1"/>
  <c r="AL38" i="95" s="1"/>
  <c r="AK38" i="95" a="1"/>
  <c r="AK38" i="95" s="1"/>
  <c r="AJ38" i="95" a="1"/>
  <c r="AJ38" i="95" s="1"/>
  <c r="AI38" i="95" a="1"/>
  <c r="AI38" i="95" s="1"/>
  <c r="AH38" i="95" a="1"/>
  <c r="AH38" i="95" s="1"/>
  <c r="AG38" i="95" a="1"/>
  <c r="AG38" i="95" s="1"/>
  <c r="AL37" i="95" a="1"/>
  <c r="AL37" i="95" s="1"/>
  <c r="AK37" i="95" a="1"/>
  <c r="AK37" i="95" s="1"/>
  <c r="AJ37" i="95" a="1"/>
  <c r="AJ37" i="95" s="1"/>
  <c r="AI37" i="95" a="1"/>
  <c r="AI37" i="95" s="1"/>
  <c r="AH37" i="95" a="1"/>
  <c r="AH37" i="95" s="1"/>
  <c r="AG37" i="95" a="1"/>
  <c r="AG37" i="95" s="1"/>
  <c r="AL36" i="95" a="1"/>
  <c r="AL36" i="95" s="1"/>
  <c r="AK36" i="95" a="1"/>
  <c r="AK36" i="95" s="1"/>
  <c r="AJ36" i="95" a="1"/>
  <c r="AJ36" i="95" s="1"/>
  <c r="AI36" i="95" a="1"/>
  <c r="AI36" i="95" s="1"/>
  <c r="AH36" i="95" a="1"/>
  <c r="AH36" i="95" s="1"/>
  <c r="AG36" i="95" a="1"/>
  <c r="AG36" i="95" s="1"/>
  <c r="AL35" i="95" a="1"/>
  <c r="AL35" i="95" s="1"/>
  <c r="AK35" i="95" a="1"/>
  <c r="AK35" i="95" s="1"/>
  <c r="AJ35" i="95" a="1"/>
  <c r="AJ35" i="95" s="1"/>
  <c r="AI35" i="95" a="1"/>
  <c r="AI35" i="95" s="1"/>
  <c r="AH35" i="95" a="1"/>
  <c r="AH35" i="95" s="1"/>
  <c r="AG35" i="95" a="1"/>
  <c r="AG35" i="95" s="1"/>
  <c r="AL34" i="95" a="1"/>
  <c r="AL34" i="95" s="1"/>
  <c r="AK34" i="95" a="1"/>
  <c r="AK34" i="95" s="1"/>
  <c r="AJ34" i="95" a="1"/>
  <c r="AJ34" i="95" s="1"/>
  <c r="AI34" i="95" a="1"/>
  <c r="AI34" i="95" s="1"/>
  <c r="AH34" i="95" a="1"/>
  <c r="AH34" i="95" s="1"/>
  <c r="AG34" i="95" a="1"/>
  <c r="AG34" i="95" s="1"/>
  <c r="AL30" i="95" a="1"/>
  <c r="AL30" i="95" s="1"/>
  <c r="AK30" i="95" a="1"/>
  <c r="AK30" i="95" s="1"/>
  <c r="AJ30" i="95" a="1"/>
  <c r="AJ30" i="95" s="1"/>
  <c r="AI30" i="95" a="1"/>
  <c r="AI30" i="95" s="1"/>
  <c r="AH30" i="95" a="1"/>
  <c r="AH30" i="95" s="1"/>
  <c r="AG30" i="95" a="1"/>
  <c r="AG30" i="95" s="1"/>
  <c r="AL29" i="95" a="1"/>
  <c r="AL29" i="95" s="1"/>
  <c r="AK29" i="95" a="1"/>
  <c r="AK29" i="95" s="1"/>
  <c r="AJ29" i="95" a="1"/>
  <c r="AJ29" i="95" s="1"/>
  <c r="AI29" i="95" a="1"/>
  <c r="AI29" i="95" s="1"/>
  <c r="AH29" i="95" a="1"/>
  <c r="AH29" i="95" s="1"/>
  <c r="AG29" i="95" a="1"/>
  <c r="AG29" i="95" s="1"/>
  <c r="AL28" i="95" a="1"/>
  <c r="AL28" i="95" s="1"/>
  <c r="AK28" i="95" a="1"/>
  <c r="AK28" i="95" s="1"/>
  <c r="AJ28" i="95" a="1"/>
  <c r="AJ28" i="95" s="1"/>
  <c r="AI28" i="95" a="1"/>
  <c r="AI28" i="95" s="1"/>
  <c r="AH28" i="95" a="1"/>
  <c r="AH28" i="95" s="1"/>
  <c r="AG28" i="95" a="1"/>
  <c r="AG28" i="95" s="1"/>
  <c r="AL27" i="95" a="1"/>
  <c r="AL27" i="95" s="1"/>
  <c r="AK27" i="95" a="1"/>
  <c r="AK27" i="95" s="1"/>
  <c r="AJ27" i="95" a="1"/>
  <c r="AJ27" i="95" s="1"/>
  <c r="AI27" i="95" a="1"/>
  <c r="AI27" i="95" s="1"/>
  <c r="AH27" i="95" a="1"/>
  <c r="AH27" i="95" s="1"/>
  <c r="AG27" i="95" a="1"/>
  <c r="AG27" i="95" s="1"/>
  <c r="AL26" i="95" a="1"/>
  <c r="AL26" i="95" s="1"/>
  <c r="AK26" i="95" a="1"/>
  <c r="AK26" i="95" s="1"/>
  <c r="AJ26" i="95" a="1"/>
  <c r="AJ26" i="95" s="1"/>
  <c r="AI26" i="95" a="1"/>
  <c r="AI26" i="95" s="1"/>
  <c r="AH26" i="95" a="1"/>
  <c r="AH26" i="95" s="1"/>
  <c r="AG26" i="95" a="1"/>
  <c r="AG26" i="95" s="1"/>
  <c r="AL24" i="95" a="1"/>
  <c r="AL24" i="95" s="1"/>
  <c r="AK24" i="95" a="1"/>
  <c r="AK24" i="95" s="1"/>
  <c r="AJ24" i="95" a="1"/>
  <c r="AJ24" i="95" s="1"/>
  <c r="AI24" i="95" a="1"/>
  <c r="AI24" i="95" s="1"/>
  <c r="AH24" i="95" a="1"/>
  <c r="AH24" i="95" s="1"/>
  <c r="AG24" i="95" a="1"/>
  <c r="AG24" i="95" s="1"/>
  <c r="AL23" i="95" a="1"/>
  <c r="AL23" i="95" s="1"/>
  <c r="AK23" i="95" a="1"/>
  <c r="AK23" i="95" s="1"/>
  <c r="AJ23" i="95" a="1"/>
  <c r="AJ23" i="95" s="1"/>
  <c r="AI23" i="95" a="1"/>
  <c r="AI23" i="95" s="1"/>
  <c r="AH23" i="95" a="1"/>
  <c r="AH23" i="95" s="1"/>
  <c r="AG23" i="95" a="1"/>
  <c r="AG23" i="95" s="1"/>
  <c r="AL22" i="95" a="1"/>
  <c r="AL22" i="95" s="1"/>
  <c r="AK22" i="95" a="1"/>
  <c r="AK22" i="95" s="1"/>
  <c r="AJ22" i="95" a="1"/>
  <c r="AJ22" i="95" s="1"/>
  <c r="AI22" i="95" a="1"/>
  <c r="AI22" i="95" s="1"/>
  <c r="AH22" i="95" a="1"/>
  <c r="AH22" i="95" s="1"/>
  <c r="AG22" i="95" a="1"/>
  <c r="AG22" i="95" s="1"/>
  <c r="AL21" i="95" a="1"/>
  <c r="AL21" i="95" s="1"/>
  <c r="AK21" i="95" a="1"/>
  <c r="AK21" i="95" s="1"/>
  <c r="AJ21" i="95" a="1"/>
  <c r="AJ21" i="95" s="1"/>
  <c r="AI21" i="95" a="1"/>
  <c r="AI21" i="95" s="1"/>
  <c r="AH21" i="95" a="1"/>
  <c r="AH21" i="95" s="1"/>
  <c r="AG21" i="95" a="1"/>
  <c r="AG21" i="95" s="1"/>
  <c r="AL20" i="95" a="1"/>
  <c r="AL20" i="95" s="1"/>
  <c r="AK20" i="95" a="1"/>
  <c r="AK20" i="95" s="1"/>
  <c r="AJ20" i="95" a="1"/>
  <c r="AJ20" i="95" s="1"/>
  <c r="AI20" i="95" a="1"/>
  <c r="AI20" i="95" s="1"/>
  <c r="AH20" i="95" a="1"/>
  <c r="AH20" i="95" s="1"/>
  <c r="AG20" i="95" a="1"/>
  <c r="AG20" i="95" s="1"/>
  <c r="AL19" i="95" a="1"/>
  <c r="AL19" i="95" s="1"/>
  <c r="AK19" i="95" a="1"/>
  <c r="AK19" i="95" s="1"/>
  <c r="AJ19" i="95" a="1"/>
  <c r="AJ19" i="95" s="1"/>
  <c r="AI19" i="95" a="1"/>
  <c r="AI19" i="95" s="1"/>
  <c r="AH19" i="95" a="1"/>
  <c r="AH19" i="95" s="1"/>
  <c r="AG19" i="95" a="1"/>
  <c r="AG19" i="95" s="1"/>
  <c r="AL17" i="95" a="1"/>
  <c r="AL17" i="95" s="1"/>
  <c r="AK17" i="95" a="1"/>
  <c r="AK17" i="95" s="1"/>
  <c r="AJ17" i="95" a="1"/>
  <c r="AJ17" i="95" s="1"/>
  <c r="AI17" i="95" a="1"/>
  <c r="AI17" i="95" s="1"/>
  <c r="AH17" i="95" a="1"/>
  <c r="AH17" i="95" s="1"/>
  <c r="AG17" i="95" a="1"/>
  <c r="AG17" i="95" s="1"/>
  <c r="AL15" i="95" a="1"/>
  <c r="AL15" i="95" s="1"/>
  <c r="AK15" i="95" a="1"/>
  <c r="AK15" i="95" s="1"/>
  <c r="AJ15" i="95" a="1"/>
  <c r="AJ15" i="95" s="1"/>
  <c r="AI15" i="95" a="1"/>
  <c r="AI15" i="95" s="1"/>
  <c r="AH15" i="95" a="1"/>
  <c r="AH15" i="95" s="1"/>
  <c r="AG15" i="95" a="1"/>
  <c r="AG15" i="95" s="1"/>
  <c r="AL13" i="95" a="1"/>
  <c r="AL13" i="95" s="1"/>
  <c r="AK13" i="95" a="1"/>
  <c r="AK13" i="95" s="1"/>
  <c r="AJ13" i="95" a="1"/>
  <c r="AJ13" i="95" s="1"/>
  <c r="AI13" i="95" a="1"/>
  <c r="AI13" i="95" s="1"/>
  <c r="AH13" i="95" a="1"/>
  <c r="AH13" i="95" s="1"/>
  <c r="AG13" i="95" a="1"/>
  <c r="AG13" i="95" s="1"/>
  <c r="AP30" i="100" l="1"/>
  <c r="AP31" i="100"/>
  <c r="AO24" i="102"/>
  <c r="AO37" i="102"/>
  <c r="AP44" i="103"/>
  <c r="AP36" i="103"/>
  <c r="AP19" i="103"/>
  <c r="AQ45" i="105"/>
  <c r="AO43" i="104"/>
  <c r="AO35" i="104"/>
  <c r="AO17" i="104"/>
  <c r="AO46" i="104"/>
  <c r="AO20" i="104"/>
  <c r="AO29" i="104"/>
  <c r="AO27" i="104"/>
  <c r="AO38" i="104"/>
  <c r="AP22" i="103"/>
  <c r="AP13" i="103"/>
  <c r="AP34" i="103"/>
  <c r="AP45" i="103"/>
  <c r="AP37" i="103"/>
  <c r="AP28" i="103"/>
  <c r="AP20" i="103"/>
  <c r="AO45" i="102"/>
  <c r="AO36" i="102"/>
  <c r="AO20" i="102"/>
  <c r="AP47" i="101"/>
  <c r="AP35" i="101"/>
  <c r="AP36" i="101"/>
  <c r="AP34" i="101"/>
  <c r="AP32" i="101"/>
  <c r="AP19" i="101"/>
  <c r="AP17" i="101"/>
  <c r="AP37" i="100"/>
  <c r="AP39" i="100"/>
  <c r="AP22" i="100"/>
  <c r="AO13" i="104"/>
  <c r="AO21" i="104"/>
  <c r="AO24" i="104"/>
  <c r="AO32" i="104"/>
  <c r="AO36" i="104"/>
  <c r="AO41" i="104"/>
  <c r="AO44" i="104"/>
  <c r="AQ15" i="105"/>
  <c r="AQ20" i="105"/>
  <c r="AQ46" i="105"/>
  <c r="AQ26" i="105"/>
  <c r="AQ29" i="105"/>
  <c r="AQ37" i="105"/>
  <c r="AQ43" i="105"/>
  <c r="AQ28" i="105"/>
  <c r="AO15" i="104"/>
  <c r="AO37" i="104"/>
  <c r="AQ36" i="105"/>
  <c r="AQ47" i="105"/>
  <c r="AO22" i="104"/>
  <c r="AO34" i="104"/>
  <c r="AO42" i="104"/>
  <c r="AQ17" i="105"/>
  <c r="AQ41" i="105"/>
  <c r="AQ44" i="105"/>
  <c r="AQ21" i="105"/>
  <c r="AQ32" i="105"/>
  <c r="AO19" i="104"/>
  <c r="AO28" i="104"/>
  <c r="AO39" i="104"/>
  <c r="AO47" i="104"/>
  <c r="AQ23" i="105"/>
  <c r="AQ27" i="105"/>
  <c r="AQ38" i="105"/>
  <c r="AO26" i="104"/>
  <c r="AO45" i="104"/>
  <c r="AQ24" i="105"/>
  <c r="AQ39" i="105"/>
  <c r="AQ35" i="105"/>
  <c r="AO13" i="102"/>
  <c r="AO19" i="102"/>
  <c r="AO32" i="102"/>
  <c r="AO46" i="102"/>
  <c r="AP43" i="103"/>
  <c r="AP46" i="103"/>
  <c r="AO27" i="102"/>
  <c r="AO43" i="102"/>
  <c r="AO29" i="102"/>
  <c r="AO42" i="102"/>
  <c r="AP21" i="103"/>
  <c r="AP24" i="103"/>
  <c r="AP42" i="103"/>
  <c r="AO17" i="102"/>
  <c r="AO35" i="102"/>
  <c r="AP39" i="103"/>
  <c r="AO38" i="102"/>
  <c r="AO41" i="102"/>
  <c r="AP27" i="103"/>
  <c r="AP41" i="103"/>
  <c r="AP47" i="103"/>
  <c r="AO47" i="102"/>
  <c r="AP17" i="103"/>
  <c r="AO28" i="102"/>
  <c r="AO44" i="102"/>
  <c r="AP23" i="103"/>
  <c r="AO34" i="102"/>
  <c r="AP15" i="103"/>
  <c r="AO22" i="102"/>
  <c r="AO15" i="102"/>
  <c r="AP32" i="103"/>
  <c r="AO23" i="102"/>
  <c r="AP26" i="103"/>
  <c r="AP35" i="103"/>
  <c r="AP38" i="103"/>
  <c r="AP28" i="100"/>
  <c r="AP43" i="100"/>
  <c r="AP23" i="101"/>
  <c r="AP39" i="101"/>
  <c r="AP15" i="100"/>
  <c r="AP32" i="100"/>
  <c r="AP45" i="100"/>
  <c r="AP26" i="101"/>
  <c r="AP41" i="101"/>
  <c r="AP20" i="100"/>
  <c r="AP27" i="100"/>
  <c r="AP36" i="100"/>
  <c r="AP42" i="100"/>
  <c r="AP13" i="101"/>
  <c r="AP22" i="101"/>
  <c r="AP29" i="101"/>
  <c r="AP38" i="101"/>
  <c r="AP44" i="101"/>
  <c r="AP26" i="100"/>
  <c r="AP41" i="100"/>
  <c r="AP21" i="101"/>
  <c r="AP37" i="101"/>
  <c r="AP19" i="100"/>
  <c r="AP35" i="100"/>
  <c r="AP47" i="100"/>
  <c r="AP28" i="101"/>
  <c r="AP43" i="101"/>
  <c r="AO15" i="99"/>
  <c r="AO19" i="99"/>
  <c r="AO36" i="99"/>
  <c r="AO45" i="99"/>
  <c r="AO47" i="99"/>
  <c r="AO21" i="99"/>
  <c r="AO26" i="99"/>
  <c r="AO30" i="99"/>
  <c r="AO39" i="99"/>
  <c r="AO24" i="99"/>
  <c r="AO28" i="99"/>
  <c r="AO17" i="99"/>
  <c r="AO27" i="99"/>
  <c r="AO46" i="99"/>
  <c r="AO29" i="99"/>
  <c r="AO35" i="99"/>
  <c r="AO20" i="99"/>
  <c r="AO38" i="99"/>
  <c r="AO41" i="99"/>
  <c r="AO13" i="99"/>
  <c r="AO23" i="99"/>
  <c r="AO34" i="99"/>
  <c r="AO37" i="99"/>
  <c r="AO44" i="99"/>
  <c r="AO43" i="99"/>
  <c r="AO22" i="99"/>
  <c r="AO42" i="99"/>
  <c r="AP24" i="98"/>
  <c r="AP22" i="98"/>
  <c r="AP38" i="98"/>
  <c r="AP17" i="98"/>
  <c r="AP34" i="98"/>
  <c r="AP46" i="98"/>
  <c r="AP20" i="98"/>
  <c r="AP27" i="98"/>
  <c r="AP36" i="98"/>
  <c r="AP42" i="98"/>
  <c r="AP15" i="98"/>
  <c r="AP23" i="98"/>
  <c r="AP32" i="98"/>
  <c r="AP39" i="98"/>
  <c r="AP45" i="98"/>
  <c r="AP13" i="98"/>
  <c r="AP29" i="98"/>
  <c r="AP44" i="98"/>
  <c r="AP19" i="98"/>
  <c r="AP26" i="98"/>
  <c r="AP35" i="98"/>
  <c r="AP41" i="98"/>
  <c r="AP47" i="98"/>
  <c r="AP21" i="98"/>
  <c r="AP28" i="98"/>
  <c r="AP37" i="98"/>
  <c r="AP43" i="98"/>
  <c r="AO46" i="97"/>
  <c r="AO24" i="97"/>
  <c r="AO27" i="97"/>
  <c r="AO20" i="97"/>
  <c r="AO23" i="97"/>
  <c r="AO35" i="97"/>
  <c r="AO29" i="97"/>
  <c r="AO19" i="97"/>
  <c r="AO28" i="97"/>
  <c r="AO36" i="97"/>
  <c r="AO15" i="97"/>
  <c r="AO45" i="97"/>
  <c r="AO13" i="97"/>
  <c r="AO42" i="97"/>
  <c r="AO47" i="97"/>
  <c r="AO22" i="97"/>
  <c r="AO26" i="97"/>
  <c r="AO37" i="97"/>
  <c r="AO44" i="97"/>
  <c r="AO34" i="97"/>
  <c r="AO39" i="97"/>
  <c r="AO17" i="97"/>
  <c r="AO21" i="97"/>
  <c r="AO41" i="97"/>
  <c r="AO32" i="97"/>
  <c r="AO38" i="97"/>
  <c r="AO43" i="97"/>
  <c r="AM20" i="95"/>
  <c r="AM44" i="95"/>
  <c r="AM17" i="95"/>
  <c r="AM30" i="95"/>
  <c r="AM22" i="95"/>
  <c r="AM19" i="95"/>
  <c r="AM34" i="95"/>
  <c r="AM47" i="95"/>
  <c r="AM27" i="95"/>
  <c r="AM37" i="95"/>
  <c r="AM36" i="95"/>
  <c r="AM43" i="95"/>
  <c r="AM46" i="95"/>
  <c r="AM26" i="95"/>
  <c r="AM29" i="95"/>
  <c r="AM39" i="95"/>
  <c r="AM21" i="95"/>
  <c r="AM42" i="95"/>
  <c r="AM24" i="95"/>
  <c r="AM35" i="95"/>
  <c r="AM38" i="95"/>
  <c r="AM15" i="95"/>
  <c r="AM28" i="95"/>
  <c r="AM45" i="95"/>
  <c r="AM41" i="95"/>
  <c r="AM13" i="95"/>
  <c r="AM23" i="95"/>
  <c r="F23" i="31" l="1"/>
  <c r="F34" i="31"/>
  <c r="I34" i="31"/>
  <c r="I24" i="31"/>
  <c r="I23" i="31"/>
  <c r="AO40" i="94" a="1"/>
  <c r="AO40" i="94" s="1"/>
  <c r="AN40" i="94" a="1"/>
  <c r="AN40" i="94" s="1"/>
  <c r="AM40" i="94" a="1"/>
  <c r="AM40" i="94" s="1"/>
  <c r="AL40" i="94" a="1"/>
  <c r="AL40" i="94" s="1"/>
  <c r="AK40" i="94" a="1"/>
  <c r="AK40" i="94" s="1"/>
  <c r="AJ40" i="94" a="1"/>
  <c r="AJ40" i="94" s="1"/>
  <c r="I31" i="31"/>
  <c r="I30" i="31"/>
  <c r="F30" i="31"/>
  <c r="F29" i="31"/>
  <c r="F35" i="31"/>
  <c r="I29" i="31"/>
  <c r="I35" i="31"/>
  <c r="I12" i="31"/>
  <c r="F32" i="31"/>
  <c r="I32" i="31"/>
  <c r="AI77" i="94"/>
  <c r="AH77" i="94"/>
  <c r="AG77" i="94"/>
  <c r="AF77" i="94"/>
  <c r="AE77" i="94"/>
  <c r="AD77" i="94"/>
  <c r="AC77" i="94"/>
  <c r="AB77" i="94"/>
  <c r="AA77" i="94"/>
  <c r="Z77" i="94"/>
  <c r="Y77" i="94"/>
  <c r="X77" i="94"/>
  <c r="W77" i="94"/>
  <c r="V77" i="94"/>
  <c r="U77" i="94"/>
  <c r="T77" i="94"/>
  <c r="S77" i="94"/>
  <c r="R77" i="94"/>
  <c r="Q77" i="94"/>
  <c r="P77" i="94"/>
  <c r="O77" i="94"/>
  <c r="N77" i="94"/>
  <c r="M77" i="94"/>
  <c r="L77" i="94"/>
  <c r="K77" i="94"/>
  <c r="J77" i="94"/>
  <c r="I77" i="94"/>
  <c r="H77" i="94"/>
  <c r="G77" i="94"/>
  <c r="F77" i="94"/>
  <c r="E77" i="94"/>
  <c r="AI75" i="94"/>
  <c r="AH75" i="94"/>
  <c r="AG75" i="94"/>
  <c r="AF75" i="94"/>
  <c r="AE75" i="94"/>
  <c r="AD75" i="94"/>
  <c r="AC75" i="94"/>
  <c r="AB75" i="94"/>
  <c r="AA75" i="94"/>
  <c r="Z75" i="94"/>
  <c r="Y75" i="94"/>
  <c r="X75" i="94"/>
  <c r="W75" i="94"/>
  <c r="V75" i="94"/>
  <c r="U75" i="94"/>
  <c r="T75" i="94"/>
  <c r="S75" i="94"/>
  <c r="R75" i="94"/>
  <c r="Q75" i="94"/>
  <c r="P75" i="94"/>
  <c r="O75" i="94"/>
  <c r="N75" i="94"/>
  <c r="M75" i="94"/>
  <c r="L75" i="94"/>
  <c r="K75" i="94"/>
  <c r="J75" i="94"/>
  <c r="I75" i="94"/>
  <c r="H75" i="94"/>
  <c r="G75" i="94"/>
  <c r="F75" i="94"/>
  <c r="E75" i="94"/>
  <c r="K73" i="94"/>
  <c r="J73" i="94"/>
  <c r="I73" i="94"/>
  <c r="H73" i="94"/>
  <c r="G73" i="94"/>
  <c r="F73" i="94"/>
  <c r="E73" i="94"/>
  <c r="AI71" i="94"/>
  <c r="AH71" i="94"/>
  <c r="AG71" i="94"/>
  <c r="AF71" i="94"/>
  <c r="AE71" i="94"/>
  <c r="AD71" i="94"/>
  <c r="AC71" i="94"/>
  <c r="AB71" i="94"/>
  <c r="AA71" i="94"/>
  <c r="Z71" i="94"/>
  <c r="Y71" i="94"/>
  <c r="X71" i="94"/>
  <c r="W71" i="94"/>
  <c r="V71" i="94"/>
  <c r="U71" i="94"/>
  <c r="T71" i="94"/>
  <c r="S71" i="94"/>
  <c r="R71" i="94"/>
  <c r="Q71" i="94"/>
  <c r="P71" i="94"/>
  <c r="O71" i="94"/>
  <c r="N71" i="94"/>
  <c r="M71" i="94"/>
  <c r="L71" i="94"/>
  <c r="K71" i="94"/>
  <c r="J71" i="94"/>
  <c r="I71" i="94"/>
  <c r="H71" i="94"/>
  <c r="G71" i="94"/>
  <c r="F71" i="94"/>
  <c r="E71" i="94"/>
  <c r="AO48" i="94" a="1"/>
  <c r="AO48" i="94" s="1"/>
  <c r="AN48" i="94" a="1"/>
  <c r="AN48" i="94" s="1"/>
  <c r="AM48" i="94" a="1"/>
  <c r="AM48" i="94" s="1"/>
  <c r="AL48" i="94" a="1"/>
  <c r="AL48" i="94" s="1"/>
  <c r="AK48" i="94" a="1"/>
  <c r="AK48" i="94" s="1"/>
  <c r="AJ48" i="94" a="1"/>
  <c r="AJ48" i="94" s="1"/>
  <c r="AO47" i="94" a="1"/>
  <c r="AO47" i="94" s="1"/>
  <c r="AN47" i="94" a="1"/>
  <c r="AN47" i="94" s="1"/>
  <c r="AM47" i="94" a="1"/>
  <c r="AM47" i="94" s="1"/>
  <c r="AL47" i="94" a="1"/>
  <c r="AL47" i="94" s="1"/>
  <c r="AK47" i="94" a="1"/>
  <c r="AK47" i="94" s="1"/>
  <c r="AJ47" i="94" a="1"/>
  <c r="AJ47" i="94" s="1"/>
  <c r="AO46" i="94" a="1"/>
  <c r="AO46" i="94" s="1"/>
  <c r="AN46" i="94" a="1"/>
  <c r="AN46" i="94" s="1"/>
  <c r="AM46" i="94" a="1"/>
  <c r="AM46" i="94" s="1"/>
  <c r="AL46" i="94" a="1"/>
  <c r="AL46" i="94" s="1"/>
  <c r="AK46" i="94" a="1"/>
  <c r="AK46" i="94" s="1"/>
  <c r="AJ46" i="94" a="1"/>
  <c r="AJ46" i="94" s="1"/>
  <c r="AO45" i="94" a="1"/>
  <c r="AO45" i="94" s="1"/>
  <c r="AN45" i="94" a="1"/>
  <c r="AN45" i="94" s="1"/>
  <c r="AM45" i="94" a="1"/>
  <c r="AM45" i="94" s="1"/>
  <c r="AL45" i="94" a="1"/>
  <c r="AL45" i="94" s="1"/>
  <c r="AK45" i="94" a="1"/>
  <c r="AK45" i="94" s="1"/>
  <c r="AJ45" i="94" a="1"/>
  <c r="AJ45" i="94" s="1"/>
  <c r="AO44" i="94" a="1"/>
  <c r="AO44" i="94" s="1"/>
  <c r="AN44" i="94" a="1"/>
  <c r="AN44" i="94" s="1"/>
  <c r="AM44" i="94" a="1"/>
  <c r="AM44" i="94" s="1"/>
  <c r="AL44" i="94" a="1"/>
  <c r="AL44" i="94" s="1"/>
  <c r="AK44" i="94" a="1"/>
  <c r="AK44" i="94" s="1"/>
  <c r="AJ44" i="94" a="1"/>
  <c r="AJ44" i="94" s="1"/>
  <c r="AO43" i="94" a="1"/>
  <c r="AO43" i="94" s="1"/>
  <c r="AN43" i="94" a="1"/>
  <c r="AN43" i="94" s="1"/>
  <c r="AM43" i="94" a="1"/>
  <c r="AM43" i="94" s="1"/>
  <c r="AL43" i="94" a="1"/>
  <c r="AL43" i="94" s="1"/>
  <c r="AK43" i="94" a="1"/>
  <c r="AK43" i="94" s="1"/>
  <c r="AJ43" i="94" a="1"/>
  <c r="AJ43" i="94" s="1"/>
  <c r="AO42" i="94" a="1"/>
  <c r="AO42" i="94" s="1"/>
  <c r="AN42" i="94" a="1"/>
  <c r="AN42" i="94" s="1"/>
  <c r="AM42" i="94" a="1"/>
  <c r="AM42" i="94" s="1"/>
  <c r="AL42" i="94" a="1"/>
  <c r="AL42" i="94" s="1"/>
  <c r="AK42" i="94" a="1"/>
  <c r="AK42" i="94" s="1"/>
  <c r="AJ42" i="94" a="1"/>
  <c r="AJ42" i="94" s="1"/>
  <c r="AO39" i="94" a="1"/>
  <c r="AO39" i="94" s="1"/>
  <c r="AN39" i="94" a="1"/>
  <c r="AN39" i="94" s="1"/>
  <c r="AM39" i="94" a="1"/>
  <c r="AM39" i="94" s="1"/>
  <c r="AL39" i="94" a="1"/>
  <c r="AL39" i="94" s="1"/>
  <c r="AK39" i="94" a="1"/>
  <c r="AK39" i="94" s="1"/>
  <c r="AJ39" i="94" a="1"/>
  <c r="AJ39" i="94" s="1"/>
  <c r="AO38" i="94" a="1"/>
  <c r="AO38" i="94" s="1"/>
  <c r="AN38" i="94" a="1"/>
  <c r="AN38" i="94" s="1"/>
  <c r="AM38" i="94" a="1"/>
  <c r="AM38" i="94" s="1"/>
  <c r="AL38" i="94" a="1"/>
  <c r="AL38" i="94" s="1"/>
  <c r="AK38" i="94" a="1"/>
  <c r="AK38" i="94" s="1"/>
  <c r="AJ38" i="94" a="1"/>
  <c r="AJ38" i="94" s="1"/>
  <c r="AO37" i="94" a="1"/>
  <c r="AO37" i="94" s="1"/>
  <c r="AN37" i="94" a="1"/>
  <c r="AN37" i="94" s="1"/>
  <c r="AM37" i="94" a="1"/>
  <c r="AM37" i="94" s="1"/>
  <c r="AL37" i="94" a="1"/>
  <c r="AL37" i="94" s="1"/>
  <c r="AK37" i="94" a="1"/>
  <c r="AK37" i="94" s="1"/>
  <c r="AJ37" i="94" a="1"/>
  <c r="AJ37" i="94" s="1"/>
  <c r="AO36" i="94" a="1"/>
  <c r="AO36" i="94" s="1"/>
  <c r="AN36" i="94" a="1"/>
  <c r="AN36" i="94" s="1"/>
  <c r="AM36" i="94" a="1"/>
  <c r="AM36" i="94" s="1"/>
  <c r="AL36" i="94" a="1"/>
  <c r="AL36" i="94" s="1"/>
  <c r="AK36" i="94" a="1"/>
  <c r="AK36" i="94" s="1"/>
  <c r="AJ36" i="94" a="1"/>
  <c r="AJ36" i="94" s="1"/>
  <c r="AO35" i="94" a="1"/>
  <c r="AO35" i="94" s="1"/>
  <c r="AN35" i="94" a="1"/>
  <c r="AN35" i="94" s="1"/>
  <c r="AM35" i="94" a="1"/>
  <c r="AM35" i="94" s="1"/>
  <c r="AL35" i="94" a="1"/>
  <c r="AL35" i="94" s="1"/>
  <c r="AK35" i="94" a="1"/>
  <c r="AK35" i="94" s="1"/>
  <c r="AJ35" i="94" a="1"/>
  <c r="AJ35" i="94" s="1"/>
  <c r="AO31" i="94" a="1"/>
  <c r="AO31" i="94" s="1"/>
  <c r="AN31" i="94" a="1"/>
  <c r="AN31" i="94" s="1"/>
  <c r="AM31" i="94" a="1"/>
  <c r="AM31" i="94" s="1"/>
  <c r="AL31" i="94" a="1"/>
  <c r="AL31" i="94" s="1"/>
  <c r="AK31" i="94" a="1"/>
  <c r="AK31" i="94" s="1"/>
  <c r="AJ31" i="94" a="1"/>
  <c r="AJ31" i="94" s="1"/>
  <c r="AO30" i="94" a="1"/>
  <c r="AO30" i="94" s="1"/>
  <c r="AN30" i="94" a="1"/>
  <c r="AN30" i="94" s="1"/>
  <c r="AM30" i="94" a="1"/>
  <c r="AM30" i="94" s="1"/>
  <c r="AL30" i="94" a="1"/>
  <c r="AL30" i="94" s="1"/>
  <c r="AK30" i="94" a="1"/>
  <c r="AK30" i="94" s="1"/>
  <c r="AJ30" i="94" a="1"/>
  <c r="AJ30" i="94" s="1"/>
  <c r="AO29" i="94" a="1"/>
  <c r="AO29" i="94" s="1"/>
  <c r="AN29" i="94" a="1"/>
  <c r="AN29" i="94" s="1"/>
  <c r="AM29" i="94" a="1"/>
  <c r="AM29" i="94" s="1"/>
  <c r="AL29" i="94" a="1"/>
  <c r="AL29" i="94" s="1"/>
  <c r="AK29" i="94" a="1"/>
  <c r="AK29" i="94" s="1"/>
  <c r="AJ29" i="94" a="1"/>
  <c r="AJ29" i="94" s="1"/>
  <c r="AO28" i="94" a="1"/>
  <c r="AO28" i="94" s="1"/>
  <c r="AN28" i="94" a="1"/>
  <c r="AN28" i="94" s="1"/>
  <c r="AM28" i="94" a="1"/>
  <c r="AM28" i="94" s="1"/>
  <c r="AL28" i="94" a="1"/>
  <c r="AL28" i="94" s="1"/>
  <c r="AK28" i="94" a="1"/>
  <c r="AK28" i="94" s="1"/>
  <c r="AJ28" i="94" a="1"/>
  <c r="AJ28" i="94" s="1"/>
  <c r="AO27" i="94" a="1"/>
  <c r="AO27" i="94" s="1"/>
  <c r="AN27" i="94" a="1"/>
  <c r="AN27" i="94" s="1"/>
  <c r="AM27" i="94" a="1"/>
  <c r="AM27" i="94" s="1"/>
  <c r="AL27" i="94" a="1"/>
  <c r="AL27" i="94" s="1"/>
  <c r="AK27" i="94" a="1"/>
  <c r="AK27" i="94" s="1"/>
  <c r="AJ27" i="94" a="1"/>
  <c r="AJ27" i="94" s="1"/>
  <c r="AO25" i="94" a="1"/>
  <c r="AO25" i="94" s="1"/>
  <c r="AN25" i="94" a="1"/>
  <c r="AN25" i="94" s="1"/>
  <c r="AM25" i="94" a="1"/>
  <c r="AM25" i="94" s="1"/>
  <c r="AL25" i="94" a="1"/>
  <c r="AL25" i="94" s="1"/>
  <c r="AK25" i="94" a="1"/>
  <c r="AK25" i="94" s="1"/>
  <c r="AJ25" i="94" a="1"/>
  <c r="AJ25" i="94" s="1"/>
  <c r="AO24" i="94" a="1"/>
  <c r="AO24" i="94" s="1"/>
  <c r="AN24" i="94" a="1"/>
  <c r="AN24" i="94" s="1"/>
  <c r="AM24" i="94" a="1"/>
  <c r="AM24" i="94" s="1"/>
  <c r="AL24" i="94" a="1"/>
  <c r="AL24" i="94" s="1"/>
  <c r="AK24" i="94" a="1"/>
  <c r="AK24" i="94" s="1"/>
  <c r="AJ24" i="94" a="1"/>
  <c r="AJ24" i="94" s="1"/>
  <c r="AO23" i="94" a="1"/>
  <c r="AO23" i="94" s="1"/>
  <c r="AN23" i="94" a="1"/>
  <c r="AN23" i="94" s="1"/>
  <c r="AM23" i="94" a="1"/>
  <c r="AM23" i="94" s="1"/>
  <c r="AL23" i="94" a="1"/>
  <c r="AL23" i="94" s="1"/>
  <c r="AK23" i="94" a="1"/>
  <c r="AK23" i="94" s="1"/>
  <c r="AJ23" i="94" a="1"/>
  <c r="AJ23" i="94" s="1"/>
  <c r="AO22" i="94" a="1"/>
  <c r="AO22" i="94" s="1"/>
  <c r="AN22" i="94" a="1"/>
  <c r="AN22" i="94" s="1"/>
  <c r="AM22" i="94" a="1"/>
  <c r="AM22" i="94" s="1"/>
  <c r="AL22" i="94" a="1"/>
  <c r="AL22" i="94" s="1"/>
  <c r="AK22" i="94" a="1"/>
  <c r="AK22" i="94" s="1"/>
  <c r="AJ22" i="94" a="1"/>
  <c r="AJ22" i="94" s="1"/>
  <c r="AO21" i="94" a="1"/>
  <c r="AO21" i="94" s="1"/>
  <c r="AN21" i="94" a="1"/>
  <c r="AN21" i="94" s="1"/>
  <c r="AM21" i="94" a="1"/>
  <c r="AM21" i="94" s="1"/>
  <c r="AL21" i="94" a="1"/>
  <c r="AL21" i="94" s="1"/>
  <c r="AK21" i="94" a="1"/>
  <c r="AK21" i="94" s="1"/>
  <c r="AJ21" i="94" a="1"/>
  <c r="AJ21" i="94" s="1"/>
  <c r="AO20" i="94" a="1"/>
  <c r="AO20" i="94" s="1"/>
  <c r="AN20" i="94" a="1"/>
  <c r="AN20" i="94" s="1"/>
  <c r="AM20" i="94" a="1"/>
  <c r="AM20" i="94" s="1"/>
  <c r="AL20" i="94" a="1"/>
  <c r="AL20" i="94" s="1"/>
  <c r="AK20" i="94" a="1"/>
  <c r="AK20" i="94" s="1"/>
  <c r="AJ20" i="94" a="1"/>
  <c r="AJ20" i="94" s="1"/>
  <c r="AO18" i="94" a="1"/>
  <c r="AO18" i="94" s="1"/>
  <c r="AN18" i="94" a="1"/>
  <c r="AN18" i="94" s="1"/>
  <c r="AM18" i="94" a="1"/>
  <c r="AM18" i="94" s="1"/>
  <c r="AL18" i="94" a="1"/>
  <c r="AL18" i="94" s="1"/>
  <c r="AK18" i="94" a="1"/>
  <c r="AK18" i="94" s="1"/>
  <c r="AJ18" i="94" a="1"/>
  <c r="AJ18" i="94" s="1"/>
  <c r="AO16" i="94" a="1"/>
  <c r="AO16" i="94" s="1"/>
  <c r="AN16" i="94" a="1"/>
  <c r="AN16" i="94" s="1"/>
  <c r="AM16" i="94" a="1"/>
  <c r="AM16" i="94" s="1"/>
  <c r="AL16" i="94" a="1"/>
  <c r="AL16" i="94" s="1"/>
  <c r="AK16" i="94" a="1"/>
  <c r="AK16" i="94" s="1"/>
  <c r="AJ16" i="94" a="1"/>
  <c r="AJ16" i="94" s="1"/>
  <c r="AO14" i="94" a="1"/>
  <c r="AO14" i="94" s="1"/>
  <c r="AN14" i="94" a="1"/>
  <c r="AN14" i="94" s="1"/>
  <c r="AM14" i="94" a="1"/>
  <c r="AM14" i="94" s="1"/>
  <c r="AL14" i="94" a="1"/>
  <c r="AL14" i="94" s="1"/>
  <c r="AK14" i="94" a="1"/>
  <c r="AK14" i="94" s="1"/>
  <c r="AJ14" i="94" a="1"/>
  <c r="AJ14" i="94" s="1"/>
  <c r="AP14" i="94" s="1"/>
  <c r="AP29" i="94" l="1"/>
  <c r="AP31" i="94"/>
  <c r="AP36" i="94"/>
  <c r="AP43" i="94"/>
  <c r="AP16" i="94"/>
  <c r="AP20" i="94"/>
  <c r="AP27" i="94"/>
  <c r="AP38" i="94"/>
  <c r="AP23" i="94"/>
  <c r="AP25" i="94"/>
  <c r="AP28" i="94"/>
  <c r="AP30" i="94"/>
  <c r="AP35" i="94"/>
  <c r="AP39" i="94"/>
  <c r="AP42" i="94"/>
  <c r="AP44" i="94"/>
  <c r="AP46" i="94"/>
  <c r="AP48" i="94"/>
  <c r="AP47" i="94"/>
  <c r="AP40" i="94"/>
  <c r="AP18" i="94"/>
  <c r="AP37" i="94"/>
  <c r="AP45" i="94"/>
  <c r="AP21" i="94"/>
  <c r="AP24" i="94"/>
  <c r="AP22" i="94"/>
  <c r="I25" i="31"/>
  <c r="I10" i="31"/>
  <c r="I26" i="31"/>
  <c r="F26" i="31"/>
  <c r="F12" i="31"/>
  <c r="I28" i="31"/>
  <c r="F28" i="31"/>
  <c r="F21" i="31"/>
  <c r="I21" i="31"/>
  <c r="I19" i="31"/>
  <c r="F19" i="31"/>
  <c r="F18" i="31"/>
  <c r="I18" i="31"/>
  <c r="I16" i="31"/>
  <c r="F16" i="31"/>
  <c r="I15" i="31"/>
  <c r="F15" i="31"/>
  <c r="I33" i="31"/>
  <c r="F17" i="31"/>
  <c r="F33" i="31"/>
  <c r="I3" i="31"/>
  <c r="I9" i="31"/>
  <c r="I6" i="31"/>
  <c r="I4" i="31"/>
  <c r="I5" i="31"/>
  <c r="I7" i="31"/>
  <c r="I22" i="31"/>
  <c r="I14" i="31"/>
  <c r="I11" i="31"/>
  <c r="I8" i="31"/>
  <c r="I20" i="31"/>
  <c r="I27" i="31"/>
  <c r="I13" i="31"/>
  <c r="I17" i="31"/>
  <c r="F13" i="31"/>
  <c r="F27" i="31"/>
  <c r="F20" i="31"/>
  <c r="F9" i="31"/>
  <c r="F10" i="31"/>
  <c r="F25" i="31"/>
  <c r="F8" i="31"/>
  <c r="F11" i="31"/>
  <c r="F14" i="31"/>
  <c r="F22" i="31"/>
  <c r="F7" i="31"/>
  <c r="F5" i="31"/>
  <c r="F4" i="31"/>
  <c r="F6" i="31"/>
  <c r="F3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SIU YK Yung Kit (蕭勇潔)</author>
    <author>LEE CY Chi Yiu (李志堯)</author>
    <author>CHAN CY Chun Yip (陳竣頁)</author>
    <author>YU Billy Fatong (余法通)</author>
    <author>LING Jenny Yik Ting (凌奕婷)</author>
  </authors>
  <commentList>
    <comment ref="E5" authorId="0" shapeId="0" xr:uid="{14817F20-F92F-445A-8199-3A4735537205}">
      <text>
        <r>
          <rPr>
            <sz val="12"/>
            <rFont val="新細明體"/>
            <family val="1"/>
            <charset val="136"/>
          </rPr>
          <t>SIU YK Yung Kit (蕭勇潔):
元旦</t>
        </r>
      </text>
    </comment>
    <comment ref="M10" authorId="1" shapeId="0" xr:uid="{CC3A81DF-05B3-4DC4-80C4-C902523B5D41}">
      <text>
        <r>
          <rPr>
            <sz val="12"/>
            <rFont val="新細明體"/>
            <family val="1"/>
            <charset val="136"/>
          </rPr>
          <t>LEE CY Chi Yiu (李志堯):
05/01/2026</t>
        </r>
      </text>
    </comment>
    <comment ref="P10" authorId="1" shapeId="0" xr:uid="{73265A16-682E-48A4-AE1A-1134CA0797F0}">
      <text>
        <r>
          <rPr>
            <sz val="12"/>
            <rFont val="新細明體"/>
            <family val="1"/>
            <charset val="136"/>
          </rPr>
          <t>LEE CY Chi Yiu (李志堯):
05/01/2026</t>
        </r>
      </text>
    </comment>
    <comment ref="T10" authorId="1" shapeId="0" xr:uid="{3FDB3515-1E72-4478-B6FB-9D4655CBEE25}">
      <text>
        <r>
          <rPr>
            <sz val="12"/>
            <rFont val="新細明體"/>
            <family val="1"/>
            <charset val="136"/>
          </rPr>
          <t>LEE CY Chi Yiu (李志堯):
05/01/2026</t>
        </r>
      </text>
    </comment>
    <comment ref="E11" authorId="2" shapeId="0" xr:uid="{B3BE7A19-BF92-4673-84F5-1D88B7179371}">
      <text>
        <r>
          <rPr>
            <sz val="12"/>
            <rFont val="新細明體"/>
            <family val="1"/>
            <charset val="136"/>
          </rPr>
          <t>CHAN CY Chun Yip (陳竣頁):
D1</t>
        </r>
      </text>
    </comment>
    <comment ref="E14" authorId="3" shapeId="0" xr:uid="{C2DA1490-E016-4E1F-AD15-23BC08CB2139}">
      <text>
        <r>
          <rPr>
            <sz val="12"/>
            <rFont val="新細明體"/>
            <family val="1"/>
            <charset val="136"/>
          </rPr>
          <t xml:space="preserve">YU Billy Fatong (余法通):
18/12/2025
</t>
        </r>
      </text>
    </comment>
    <comment ref="F14" authorId="3" shapeId="0" xr:uid="{B37B62EE-0523-4D81-A959-7EE0B5C76413}">
      <text>
        <r>
          <rPr>
            <sz val="12"/>
            <rFont val="新細明體"/>
            <family val="1"/>
            <charset val="136"/>
          </rPr>
          <t>YU Billy Fatong (余法通):
Compensate 27/12 TOV</t>
        </r>
      </text>
    </comment>
    <comment ref="N14" authorId="3" shapeId="0" xr:uid="{7535CF7A-E44C-4B59-8CFC-8ABAA8D7CCA8}">
      <text>
        <r>
          <rPr>
            <sz val="12"/>
            <rFont val="新細明體"/>
            <family val="1"/>
            <charset val="136"/>
          </rPr>
          <t>YU Billy Fatong (余法通):
TOV</t>
        </r>
      </text>
    </comment>
    <comment ref="X14" authorId="3" shapeId="0" xr:uid="{2D4FF2EA-F78D-4965-AA7E-835065C32BB1}">
      <text>
        <r>
          <rPr>
            <sz val="12"/>
            <rFont val="新細明體"/>
            <family val="1"/>
            <charset val="136"/>
          </rPr>
          <t xml:space="preserve">YU Billy Fatong (余法通):
D1
</t>
        </r>
      </text>
    </comment>
    <comment ref="Y14" authorId="3" shapeId="0" xr:uid="{BFA78576-8991-42A1-874E-519D71584237}">
      <text>
        <r>
          <rPr>
            <sz val="12"/>
            <rFont val="新細明體"/>
            <family val="1"/>
            <charset val="136"/>
          </rPr>
          <t>YU Billy Fatong (余法通):
D2</t>
        </r>
      </text>
    </comment>
    <comment ref="AD14" authorId="3" shapeId="0" xr:uid="{DC7BF02E-B569-4095-87A8-79252F5504AF}">
      <text>
        <r>
          <rPr>
            <sz val="12"/>
            <rFont val="新細明體"/>
            <family val="1"/>
            <charset val="136"/>
          </rPr>
          <t xml:space="preserve">YU Billy Fatong (余法通):
22/01/2026
</t>
        </r>
      </text>
    </comment>
    <comment ref="O16" authorId="3" shapeId="0" xr:uid="{FA3813B2-5AA5-4F49-929B-3E9C0FB9EAD0}">
      <text>
        <r>
          <rPr>
            <sz val="12"/>
            <rFont val="新細明體"/>
            <family val="1"/>
            <charset val="136"/>
          </rPr>
          <t>YU Billy Fatong (余法通):
TOV</t>
        </r>
      </text>
    </comment>
    <comment ref="AD18" authorId="3" shapeId="0" xr:uid="{08981A21-7D9D-4598-B06D-C92BC2A5157D}">
      <text>
        <r>
          <rPr>
            <sz val="12"/>
            <rFont val="新細明體"/>
            <family val="1"/>
            <charset val="136"/>
          </rPr>
          <t>YU Billy Fatong (余法通):
update on 30/12/2025</t>
        </r>
      </text>
    </comment>
    <comment ref="S20" authorId="0" shapeId="0" xr:uid="{F37F0E7C-186A-4B85-9219-2F818E22946A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T20" authorId="0" shapeId="0" xr:uid="{EAB20BA9-8934-46F1-BEF6-675650837121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E21" authorId="2" shapeId="0" xr:uid="{CD612093-88B6-4224-A45E-8E0F2FCC36C8}">
      <text>
        <r>
          <rPr>
            <sz val="12"/>
            <rFont val="新細明體"/>
            <family val="1"/>
            <charset val="136"/>
          </rPr>
          <t>CHAN CY Chun Yip (陳竣頁):
D16 (25/12/2025)
update 14/10/2025</t>
        </r>
      </text>
    </comment>
    <comment ref="F21" authorId="2" shapeId="0" xr:uid="{48A76985-0538-4FE6-B98C-2235D5279F14}">
      <text>
        <r>
          <rPr>
            <sz val="12"/>
            <rFont val="新細明體"/>
            <family val="1"/>
            <charset val="136"/>
          </rPr>
          <t>CHAN CY Chun Yip (陳竣頁):
D17 (26/12/2025)</t>
        </r>
      </text>
    </comment>
    <comment ref="H21" authorId="2" shapeId="0" xr:uid="{6024016B-4E90-498B-B73F-46EA89E3CA63}">
      <text>
        <r>
          <rPr>
            <sz val="12"/>
            <rFont val="新細明體"/>
            <family val="1"/>
            <charset val="136"/>
          </rPr>
          <t>CHAN CY Chun Yip (陳竣頁):
D1 (01/01/2026)
update 14/10/2025</t>
        </r>
      </text>
    </comment>
    <comment ref="I21" authorId="2" shapeId="0" xr:uid="{818B66F9-612B-4719-9B5B-D931387508E0}">
      <text>
        <r>
          <rPr>
            <sz val="12"/>
            <rFont val="新細明體"/>
            <family val="1"/>
            <charset val="136"/>
          </rPr>
          <t>CHAN CY Chun Yip (陳竣頁):
D2 (17/02/2026)</t>
        </r>
      </text>
    </comment>
    <comment ref="J21" authorId="2" shapeId="0" xr:uid="{D0A1F414-9135-448C-B9C5-D058ACECEBFA}">
      <text>
        <r>
          <rPr>
            <sz val="12"/>
            <rFont val="新細明體"/>
            <family val="1"/>
            <charset val="136"/>
          </rPr>
          <t>CHAN CY Chun Yip (陳竣頁):
D3 (18/02/2026)</t>
        </r>
      </text>
    </comment>
    <comment ref="K21" authorId="2" shapeId="0" xr:uid="{2AF4FCC2-9F8D-463C-BD31-81297389403B}">
      <text>
        <r>
          <rPr>
            <sz val="12"/>
            <rFont val="新細明體"/>
            <family val="1"/>
            <charset val="136"/>
          </rPr>
          <t>CHAN CY Chun Yip (陳竣頁):
update 14/10/2025</t>
        </r>
      </text>
    </comment>
    <comment ref="AI21" authorId="3" shapeId="0" xr:uid="{114C2F22-1705-4443-B034-1F1998EF0148}">
      <text>
        <r>
          <rPr>
            <sz val="12"/>
            <rFont val="新細明體"/>
            <family val="1"/>
            <charset val="136"/>
          </rPr>
          <t>YU Billy Fatong (余法通):
C7731 OT - 7.63hrs</t>
        </r>
      </text>
    </comment>
    <comment ref="E22" authorId="0" shapeId="0" xr:uid="{C494DFDC-A0BD-4661-B89D-CE3102266508}">
      <text>
        <r>
          <rPr>
            <sz val="12"/>
            <rFont val="新細明體"/>
            <family val="1"/>
            <charset val="136"/>
          </rPr>
          <t>SIU YK Yung Kit (蕭勇潔):
Applied on 26/11</t>
        </r>
      </text>
    </comment>
    <comment ref="R22" authorId="4" shapeId="0" xr:uid="{87EE0E07-FFBD-4D27-90BE-1A8B8CC04D6D}">
      <text>
        <r>
          <rPr>
            <sz val="12"/>
            <rFont val="新細明體"/>
            <family val="1"/>
            <charset val="136"/>
          </rPr>
          <t>LING Jenny Yik Ting (凌奕婷):
08:45-16:45
Operations Training Centre MTR Kowloon Bay Depot</t>
        </r>
      </text>
    </comment>
    <comment ref="S22" authorId="4" shapeId="0" xr:uid="{21A8C5B7-17A6-43B5-A2FE-F648112A787E}">
      <text>
        <r>
          <rPr>
            <sz val="12"/>
            <rFont val="新細明體"/>
            <family val="1"/>
            <charset val="136"/>
          </rPr>
          <t>LING Jenny Yik Ting (凌奕婷):
08:45-16:45
Operations Training Centre MTR Kowloon Bay Depot</t>
        </r>
      </text>
    </comment>
    <comment ref="J23" authorId="2" shapeId="0" xr:uid="{7D54E58A-BC10-4724-A859-7B78874F72F3}">
      <text>
        <r>
          <rPr>
            <sz val="12"/>
            <rFont val="新細明體"/>
            <family val="1"/>
            <charset val="136"/>
          </rPr>
          <t>CHAN CY Chun Yip (陳竣頁):
update 06/01/2026</t>
        </r>
      </text>
    </comment>
    <comment ref="P23" authorId="4" shapeId="0" xr:uid="{58511A21-4048-4573-8430-283A6A558483}">
      <text>
        <r>
          <rPr>
            <sz val="12"/>
            <rFont val="新細明體"/>
            <family val="1"/>
            <charset val="136"/>
          </rPr>
          <t>LING Jenny Yik Ting (凌奕婷):
08:45-16:45 
Operations Training Centre MTR Kowloon Bay Depot</t>
        </r>
      </text>
    </comment>
    <comment ref="Q23" authorId="4" shapeId="0" xr:uid="{15B4ECC8-8B54-4A50-9DDD-63AB68D4A654}">
      <text>
        <r>
          <rPr>
            <sz val="12"/>
            <rFont val="新細明體"/>
            <family val="1"/>
            <charset val="136"/>
          </rPr>
          <t>LING Jenny Yik Ting (凌奕婷):
T09:
08:45-12:00 
Operations Training Centre MTR Kowloon Bay Depot
T10:
13:30-16:45 
Operations Training Centre MTR Kowloon Bay Depot</t>
        </r>
      </text>
    </comment>
    <comment ref="R23" authorId="4" shapeId="0" xr:uid="{49257596-76D8-42F6-A3F7-356BA0C59D45}">
      <text>
        <r>
          <rPr>
            <sz val="12"/>
            <rFont val="新細明體"/>
            <family val="1"/>
            <charset val="136"/>
          </rPr>
          <t>LING Jenny Yik Ting (凌奕婷):
08:45-16:45
Operations Training Centre MTR Kowloon Bay Depot</t>
        </r>
      </text>
    </comment>
    <comment ref="S23" authorId="4" shapeId="0" xr:uid="{4667D043-5592-4870-902F-8936E4954260}">
      <text>
        <r>
          <rPr>
            <sz val="12"/>
            <rFont val="新細明體"/>
            <family val="1"/>
            <charset val="136"/>
          </rPr>
          <t>LING Jenny Yik Ting (凌奕婷):
08:45-16:45
Operations Training Centre MTR Kowloon Bay Depot</t>
        </r>
      </text>
    </comment>
    <comment ref="AH23" authorId="0" shapeId="0" xr:uid="{500EECEA-8BE4-4E99-A746-AC80CEE5C390}">
      <text>
        <r>
          <rPr>
            <sz val="12"/>
            <rFont val="新細明體"/>
            <family val="1"/>
            <charset val="136"/>
          </rPr>
          <t>SIU YK Yung Kit (蕭勇潔):
Applied on 25/12</t>
        </r>
      </text>
    </comment>
    <comment ref="P24" authorId="4" shapeId="0" xr:uid="{80837B44-3FF0-4E93-82F1-36AD17BDB8E3}">
      <text>
        <r>
          <rPr>
            <sz val="12"/>
            <rFont val="新細明體"/>
            <family val="1"/>
            <charset val="136"/>
          </rPr>
          <t>LING Jenny Yik Ting (凌奕婷):
09:00-12:00
OA Training Room A, Operations Training Centre, 9/F., Citylink Plaza, Shatin, N.T</t>
        </r>
      </text>
    </comment>
    <comment ref="AE24" authorId="0" shapeId="0" xr:uid="{66ECEF6F-5109-4055-91BA-DD01D46255AF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Q25" authorId="4" shapeId="0" xr:uid="{429C163C-8FEA-4D6C-B0BA-BA7E98CED6E0}">
      <text>
        <r>
          <rPr>
            <sz val="12"/>
            <rFont val="新細明體"/>
            <family val="1"/>
            <charset val="136"/>
          </rPr>
          <t>LING Jenny Yik Ting (凌奕婷):
14:00-17:00
OA Training Room A, Operations Training Centre, 9/F., Citylink Plaza, Shatin, N.T</t>
        </r>
      </text>
    </comment>
    <comment ref="W25" authorId="4" shapeId="0" xr:uid="{4D3AC8C5-8B5C-4451-BBAB-51F8F8254145}">
      <text>
        <r>
          <rPr>
            <sz val="12"/>
            <rFont val="新細明體"/>
            <family val="1"/>
            <charset val="136"/>
          </rPr>
          <t>LING Jenny Yik Ting (凌奕婷):
08:45-16:45 
Operations Training Centre MTR Kowloon Bay Depot</t>
        </r>
      </text>
    </comment>
    <comment ref="K27" authorId="2" shapeId="0" xr:uid="{5ED1CE82-215A-44A0-8D8F-C7630519E585}">
      <text>
        <r>
          <rPr>
            <sz val="12"/>
            <rFont val="新細明體"/>
            <family val="1"/>
            <charset val="136"/>
          </rPr>
          <t>CHAN CY Chun Yip (陳竣頁):
Compassionate Leave
update 29/12/2025</t>
        </r>
      </text>
    </comment>
    <comment ref="AA28" authorId="2" shapeId="0" xr:uid="{637ECF41-4D1E-4459-9847-0D40546A1EA9}">
      <text>
        <r>
          <rPr>
            <sz val="12"/>
            <rFont val="新細明體"/>
            <family val="1"/>
            <charset val="136"/>
          </rPr>
          <t>CHAN CY Chun Yip (陳竣頁):
update 31/12/2025</t>
        </r>
      </text>
    </comment>
    <comment ref="I29" authorId="2" shapeId="0" xr:uid="{F709215E-1DD6-497F-9D9D-13190B7A7B46}">
      <text>
        <r>
          <rPr>
            <sz val="12"/>
            <rFont val="新細明體"/>
            <family val="1"/>
            <charset val="136"/>
          </rPr>
          <t>CHAN CY Chun Yip (陳竣頁):
update 05/01/2026</t>
        </r>
      </text>
    </comment>
    <comment ref="T29" authorId="4" shapeId="0" xr:uid="{A837AF95-1CE9-4F17-A731-CCBEF0ABFF6C}">
      <text>
        <r>
          <rPr>
            <sz val="12"/>
            <rFont val="新細明體"/>
            <family val="1"/>
            <charset val="136"/>
          </rPr>
          <t>LING Jenny Yik Ting (凌奕婷):
09:00-12:00
OA Training Room A, Operations Training Centre, 9/F., Citylink Plaza, Shatin, N.T</t>
        </r>
      </text>
    </comment>
    <comment ref="AF29" authorId="0" shapeId="0" xr:uid="{D09263F7-F364-47E3-9A32-54EA3CC5C383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X30" authorId="4" shapeId="0" xr:uid="{719F73F9-74A1-427C-9670-9D67DB3D0EA5}">
      <text>
        <r>
          <rPr>
            <sz val="12"/>
            <rFont val="新細明體"/>
            <family val="1"/>
            <charset val="136"/>
          </rPr>
          <t>LING Jenny Yik Ting (凌奕婷):
09:00-12:00
OA Training Room A, Operations Training Centre, 9/F., Citylink Plaza, Shatin, N.T</t>
        </r>
      </text>
    </comment>
    <comment ref="AH30" authorId="0" shapeId="0" xr:uid="{C2274C92-A431-42CA-9249-74094E22F7AB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Q31" authorId="4" shapeId="0" xr:uid="{4859733B-7046-4716-82A9-B0F36A9EE4D0}">
      <text>
        <r>
          <rPr>
            <sz val="12"/>
            <rFont val="新細明體"/>
            <family val="1"/>
            <charset val="136"/>
          </rPr>
          <t>LING Jenny Yik Ting (凌奕婷):
14:00-17:00
OA Training Room A, Operations Training Centre, 9/F., Citylink Plaza, Shatin, N.T</t>
        </r>
      </text>
    </comment>
    <comment ref="Y31" authorId="4" shapeId="0" xr:uid="{FF28E7AF-0E6D-4654-A3C4-012AE455BC42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Z31" authorId="4" shapeId="0" xr:uid="{E4C94D7E-EDCE-49E2-83E9-A2B8B8440ECD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AA31" authorId="4" shapeId="0" xr:uid="{C8D5FAF2-DE4C-49AF-A894-F768DC559BCF}">
      <text>
        <r>
          <rPr>
            <sz val="12"/>
            <rFont val="新細明體"/>
            <family val="1"/>
            <charset val="136"/>
          </rPr>
          <t>LING Jenny Yik Ting (凌奕婷):
08:45-12:00 
EMU138, 1/F OTC-PHD, Operations Training Centre 1/F, Main Building, MTR Pat Heung Depot</t>
        </r>
      </text>
    </comment>
    <comment ref="Y32" authorId="3" shapeId="0" xr:uid="{3A6360BA-06F4-4649-BA66-6CF7D5288ECE}">
      <text>
        <r>
          <rPr>
            <sz val="12"/>
            <rFont val="新細明體"/>
            <family val="1"/>
            <charset val="136"/>
          </rPr>
          <t xml:space="preserve">YU Billy Fatong (余法通):
21/01/2026 </t>
        </r>
      </text>
    </comment>
    <comment ref="T33" authorId="4" shapeId="0" xr:uid="{43404EE7-4198-4C73-AF6D-EEFA59836B24}">
      <text>
        <r>
          <rPr>
            <sz val="12"/>
            <rFont val="新細明體"/>
            <family val="1"/>
            <charset val="136"/>
          </rPr>
          <t>LING Jenny Yik Ting (凌奕婷):
09:00-12:00
OA Training Room A, Operations Training Centre, 9/F., Citylink Plaza, Shatin, N.T</t>
        </r>
      </text>
    </comment>
    <comment ref="Z33" authorId="2" shapeId="0" xr:uid="{A40232F4-2B1D-45D2-B029-D7F52BF4F65F}">
      <text>
        <r>
          <rPr>
            <sz val="12"/>
            <rFont val="新細明體"/>
            <family val="1"/>
            <charset val="136"/>
          </rPr>
          <t>CHAN CY Chun Yip (陳竣頁):
2025 D17 (26/12/2025)
update 09/12/2025</t>
        </r>
      </text>
    </comment>
    <comment ref="AA33" authorId="2" shapeId="0" xr:uid="{F49479B1-E1BF-4299-BB89-6C2BB7DAE444}">
      <text>
        <r>
          <rPr>
            <sz val="12"/>
            <rFont val="新細明體"/>
            <family val="1"/>
            <charset val="136"/>
          </rPr>
          <t>CHAN CY Chun Yip (陳竣頁):
D1 (01/01/2026)
update 09/12/2025</t>
        </r>
      </text>
    </comment>
    <comment ref="W38" authorId="4" shapeId="0" xr:uid="{9E5CACA6-2CDD-46BE-8FB0-9AA1496DB5CC}">
      <text>
        <r>
          <rPr>
            <sz val="12"/>
            <rFont val="新細明體"/>
            <family val="1"/>
            <charset val="136"/>
          </rPr>
          <t>LING Jenny Yik Ting (凌奕婷):
08:45-16:45 
Operations Training Centre MTR Kowloon Bay Depot</t>
        </r>
      </text>
    </comment>
    <comment ref="AE39" authorId="3" shapeId="0" xr:uid="{D1B43E11-6510-4647-B185-CA70A106E68C}">
      <text>
        <r>
          <rPr>
            <sz val="12"/>
            <rFont val="新細明體"/>
            <family val="1"/>
            <charset val="136"/>
          </rPr>
          <t xml:space="preserve">YU Billy Fatong (余法通):
08/01/2026
</t>
        </r>
      </text>
    </comment>
    <comment ref="AH39" authorId="0" shapeId="0" xr:uid="{E00E01D4-4A30-4DCE-8CEE-929E9411A806}">
      <text>
        <r>
          <rPr>
            <sz val="12"/>
            <rFont val="新細明體"/>
            <family val="1"/>
            <charset val="136"/>
          </rPr>
          <t>SIU YK Yung Kit (蕭勇潔):
D16 of 2025 (25/12)</t>
        </r>
      </text>
    </comment>
    <comment ref="AF40" authorId="3" shapeId="0" xr:uid="{87D9A7ED-0A21-40D9-8D4B-3512D8CB5185}">
      <text>
        <r>
          <rPr>
            <sz val="12"/>
            <rFont val="新細明體"/>
            <family val="1"/>
            <charset val="136"/>
          </rPr>
          <t>YU Billy Fatong (余法通):
Confirmed</t>
        </r>
      </text>
    </comment>
    <comment ref="I42" authorId="3" shapeId="0" xr:uid="{7DDD9B55-9E5E-426B-812E-81849D822A2E}">
      <text>
        <r>
          <rPr>
            <sz val="12"/>
            <rFont val="新細明體"/>
            <family val="1"/>
            <charset val="136"/>
          </rPr>
          <t>YU Billy Fatong (余法通):
03/12/2025</t>
        </r>
      </text>
    </comment>
    <comment ref="AI42" authorId="3" shapeId="0" xr:uid="{070CAC2E-BE2C-4361-A976-F4C0D5DF9F45}">
      <text>
        <r>
          <rPr>
            <sz val="12"/>
            <rFont val="新細明體"/>
            <family val="1"/>
            <charset val="136"/>
          </rPr>
          <t>YU Billy Fatong (余法通):
C7731 - OT 7.63hrs</t>
        </r>
      </text>
    </comment>
    <comment ref="F43" authorId="0" shapeId="0" xr:uid="{524778A3-3F71-46F3-B8DF-CE8F50911F55}">
      <text>
        <r>
          <rPr>
            <sz val="12"/>
            <rFont val="新細明體"/>
            <family val="1"/>
            <charset val="136"/>
          </rPr>
          <t>SIU YK Yung Kit (蕭勇潔):
Urgent Leave</t>
        </r>
      </text>
    </comment>
    <comment ref="M44" authorId="2" shapeId="0" xr:uid="{D04DD35B-0B9C-4E27-A083-698B36898058}">
      <text>
        <r>
          <rPr>
            <sz val="12"/>
            <rFont val="新細明體"/>
            <family val="1"/>
            <charset val="136"/>
          </rPr>
          <t>CHAN CY Chun Yip (陳竣頁):
D2 (17/02/2026)
update 16/12/2025</t>
        </r>
      </text>
    </comment>
    <comment ref="E45" authorId="0" shapeId="0" xr:uid="{FA45663E-D12E-4C75-AB64-C4730BF2F8A4}">
      <text>
        <r>
          <rPr>
            <sz val="12"/>
            <rFont val="新細明體"/>
            <family val="1"/>
            <charset val="136"/>
          </rPr>
          <t>SIU YK Yung Kit (蕭勇潔):
D17 (26/12/2026)</t>
        </r>
      </text>
    </comment>
    <comment ref="F45" authorId="0" shapeId="0" xr:uid="{0BC59DA3-520A-4405-9F3D-2E9F2B5F1009}">
      <text>
        <r>
          <rPr>
            <sz val="12"/>
            <rFont val="新細明體"/>
            <family val="1"/>
            <charset val="136"/>
          </rPr>
          <t>SIU YK Yung Kit (蕭勇潔):
Applied on 02/9/25</t>
        </r>
      </text>
    </comment>
    <comment ref="P45" authorId="2" shapeId="0" xr:uid="{3B4D9F91-8AD7-4059-AD14-1A5B6E557CAA}">
      <text>
        <r>
          <rPr>
            <sz val="12"/>
            <rFont val="新細明體"/>
            <family val="1"/>
            <charset val="136"/>
          </rPr>
          <t>CHAN CY Chun Yip (陳竣頁):
update 09/12/2025</t>
        </r>
      </text>
    </comment>
    <comment ref="F46" authorId="0" shapeId="0" xr:uid="{2F096892-012E-4ABB-AFC7-3DA3EE879A16}">
      <text>
        <r>
          <rPr>
            <sz val="12"/>
            <rFont val="新細明體"/>
            <family val="1"/>
            <charset val="136"/>
          </rPr>
          <t>SIU YK Yung Kit (蕭勇潔):
Applied on 02/12/2025</t>
        </r>
      </text>
    </comment>
    <comment ref="I46" authorId="4" shapeId="0" xr:uid="{B7B2AF5F-C368-41B5-AB67-161D726EFEF3}">
      <text>
        <r>
          <rPr>
            <sz val="12"/>
            <rFont val="新細明體"/>
            <family val="1"/>
            <charset val="136"/>
          </rPr>
          <t>LING Jenny Yik Ting (凌奕婷):
14:00-17:00
OA Training Room A, Operations Training Centre, 9/F., Citylink Plaza, Shatin, N.T</t>
        </r>
      </text>
    </comment>
    <comment ref="M46" authorId="4" shapeId="0" xr:uid="{5ADDCF8F-1257-445C-BF33-55876D0B2445}">
      <text>
        <r>
          <rPr>
            <sz val="12"/>
            <rFont val="新細明體"/>
            <family val="1"/>
            <charset val="136"/>
          </rPr>
          <t>LING Jenny Yik Ting (凌奕婷):
13:30-16:45 
9/F, Citylink Plaza</t>
        </r>
      </text>
    </comment>
    <comment ref="T46" authorId="0" shapeId="0" xr:uid="{58B4C2F7-3270-4F3C-88A2-547F63E56638}">
      <text>
        <r>
          <rPr>
            <sz val="12"/>
            <rFont val="新細明體"/>
            <family val="1"/>
            <charset val="136"/>
          </rPr>
          <t>SIU YK Yung Kit (蕭勇潔):
Applied on 28/11/2025</t>
        </r>
      </text>
    </comment>
    <comment ref="V46" authorId="0" shapeId="0" xr:uid="{1616AFE4-AD97-43B2-847B-C2F149B87B85}">
      <text>
        <r>
          <rPr>
            <sz val="12"/>
            <rFont val="新細明體"/>
            <family val="1"/>
            <charset val="136"/>
          </rPr>
          <t>SIU YK Yung Kit (蕭勇潔):
Applied on 28/11
D17 of (26/12/2025)</t>
        </r>
      </text>
    </comment>
    <comment ref="W46" authorId="0" shapeId="0" xr:uid="{BEBB4ACF-18FD-4967-BD1D-E67194BE05DB}">
      <text>
        <r>
          <rPr>
            <sz val="12"/>
            <rFont val="新細明體"/>
            <family val="1"/>
            <charset val="136"/>
          </rPr>
          <t>SIU YK Yung Kit (蕭勇潔):
D1 (01/01)</t>
        </r>
      </text>
    </comment>
    <comment ref="X46" authorId="0" shapeId="0" xr:uid="{7DF8100B-3118-44C8-8D7A-0DB5B935A44E}">
      <text>
        <r>
          <rPr>
            <sz val="12"/>
            <rFont val="新細明體"/>
            <family val="1"/>
            <charset val="136"/>
          </rPr>
          <t>SIU YK Yung Kit (蕭勇潔):
D2 (17/2)</t>
        </r>
      </text>
    </comment>
    <comment ref="Y46" authorId="0" shapeId="0" xr:uid="{D412B85E-918E-4FF5-AB09-C145994F5585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Z46" authorId="0" shapeId="0" xr:uid="{3CC11154-D677-4428-928F-9AF5A0F2C68C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AA46" authorId="0" shapeId="0" xr:uid="{0FBF3DB5-0991-4F27-85BB-5636F753749D}">
      <text>
        <r>
          <rPr>
            <sz val="12"/>
            <rFont val="新細明體"/>
            <family val="1"/>
            <charset val="136"/>
          </rPr>
          <t>SIU YK Yung Kit (蕭勇潔):
Applied on 28/11/2025</t>
        </r>
      </text>
    </comment>
    <comment ref="AC46" authorId="0" shapeId="0" xr:uid="{7881215B-8B22-421A-AD99-BC04BB5B9A50}">
      <text>
        <r>
          <rPr>
            <sz val="12"/>
            <rFont val="新細明體"/>
            <family val="1"/>
            <charset val="136"/>
          </rPr>
          <t>SIU YK Yung Kit (蕭勇潔):
Applied on 28/11/2025</t>
        </r>
      </text>
    </comment>
    <comment ref="I47" authorId="4" shapeId="0" xr:uid="{E6E9D741-CCFE-451C-BB6F-BE82A1B1EE2D}">
      <text>
        <r>
          <rPr>
            <sz val="12"/>
            <rFont val="新細明體"/>
            <family val="1"/>
            <charset val="136"/>
          </rPr>
          <t>LING Jenny Yik Ting (凌奕婷):
14:00-17:00
OA Training Room A, Operations Training Centre, 9/F., Citylink Plaza, Shatin, N.T</t>
        </r>
      </text>
    </comment>
    <comment ref="L47" authorId="4" shapeId="0" xr:uid="{23731EA8-FA5B-4A4D-8A6E-0CAF5EAB76B4}">
      <text>
        <r>
          <rPr>
            <sz val="12"/>
            <rFont val="新細明體"/>
            <family val="1"/>
            <charset val="136"/>
          </rPr>
          <t>LING Jenny Yik Ting (凌奕婷):
08:45-16:45 
Room C4, 9/F Citylink, 9/F, Citylink Plaza</t>
        </r>
      </text>
    </comment>
    <comment ref="M47" authorId="4" shapeId="0" xr:uid="{71A2D49B-F634-4C40-AB84-47D229B018C3}">
      <text>
        <r>
          <rPr>
            <sz val="12"/>
            <rFont val="新細明體"/>
            <family val="1"/>
            <charset val="136"/>
          </rPr>
          <t>LING Jenny Yik Ting (凌奕婷):
08:45-12:00 
Operations Training Centre MTR Kowloon Bay Depot</t>
        </r>
      </text>
    </comment>
    <comment ref="I48" authorId="3" shapeId="0" xr:uid="{EA067C1D-D688-4287-8C49-354EBD411298}">
      <text>
        <r>
          <rPr>
            <sz val="12"/>
            <rFont val="新細明體"/>
            <family val="1"/>
            <charset val="136"/>
          </rPr>
          <t>YU Billy Fatong (余法通):
09/12/2025</t>
        </r>
      </text>
    </comment>
    <comment ref="L48" authorId="3" shapeId="0" xr:uid="{7072050E-D176-4B5E-821D-0BDB8C111916}">
      <text>
        <r>
          <rPr>
            <sz val="12"/>
            <rFont val="新細明體"/>
            <family val="1"/>
            <charset val="136"/>
          </rPr>
          <t>YU Billy Fatong (余法通):
D17</t>
        </r>
      </text>
    </comment>
    <comment ref="M48" authorId="1" shapeId="0" xr:uid="{19F330D6-05CD-4E33-9265-7ED48A6AE349}">
      <text>
        <r>
          <rPr>
            <sz val="12"/>
            <rFont val="新細明體"/>
            <family val="1"/>
            <charset val="136"/>
          </rPr>
          <t>LEE CY Chi Yiu (李志堯):
Applied on 21/10</t>
        </r>
      </text>
    </comment>
    <comment ref="P48" authorId="1" shapeId="0" xr:uid="{6D90DD55-2ACC-49F7-AD04-F18E4A09B165}">
      <text>
        <r>
          <rPr>
            <sz val="12"/>
            <rFont val="新細明體"/>
            <family val="1"/>
            <charset val="136"/>
          </rPr>
          <t xml:space="preserve">LEE CY Chi Yiu (李志堯):
Applied on 21/10
</t>
        </r>
      </text>
    </comment>
    <comment ref="Q48" authorId="1" shapeId="0" xr:uid="{3A6C4224-1971-471B-BDD3-4CE49B346F0D}">
      <text>
        <r>
          <rPr>
            <sz val="12"/>
            <rFont val="新細明體"/>
            <family val="1"/>
            <charset val="136"/>
          </rPr>
          <t xml:space="preserve">LEE CY Chi Yiu (李志堯):
Applied on 21/10
</t>
        </r>
      </text>
    </comment>
    <comment ref="R48" authorId="1" shapeId="0" xr:uid="{891104A4-0910-47DB-BC8C-D106BE882183}">
      <text>
        <r>
          <rPr>
            <sz val="12"/>
            <rFont val="新細明體"/>
            <family val="1"/>
            <charset val="136"/>
          </rPr>
          <t xml:space="preserve">LEE CY Chi Yiu (李志堯):
Applied on 21/10
</t>
        </r>
      </text>
    </comment>
    <comment ref="S48" authorId="1" shapeId="0" xr:uid="{813D58E6-5D5D-4113-9653-3DF27D9D53FF}">
      <text>
        <r>
          <rPr>
            <sz val="12"/>
            <rFont val="新細明體"/>
            <family val="1"/>
            <charset val="136"/>
          </rPr>
          <t xml:space="preserve">LEE CY Chi Yiu (李志堯):
Applied on 21/10
</t>
        </r>
      </text>
    </comment>
    <comment ref="T48" authorId="1" shapeId="0" xr:uid="{3A7C564B-AA64-49FF-B0A8-75B7D0C590A9}">
      <text>
        <r>
          <rPr>
            <sz val="12"/>
            <rFont val="新細明體"/>
            <family val="1"/>
            <charset val="136"/>
          </rPr>
          <t xml:space="preserve">LEE CY Chi Yiu (李志堯):
</t>
        </r>
      </text>
    </comment>
    <comment ref="V48" authorId="1" shapeId="0" xr:uid="{1CA54665-E253-44EC-8A82-F5B02F4D679A}">
      <text>
        <r>
          <rPr>
            <sz val="12"/>
            <rFont val="新細明體"/>
            <family val="1"/>
            <charset val="136"/>
          </rPr>
          <t xml:space="preserve">LEE CY Chi Yiu (李志堯):
Applied on 21/10
</t>
        </r>
      </text>
    </comment>
    <comment ref="K50" authorId="1" shapeId="0" xr:uid="{67D9499A-EB6D-4C51-B9B0-B1A67E5B82C4}">
      <text>
        <r>
          <rPr>
            <sz val="12"/>
            <rFont val="新細明體"/>
            <family val="1"/>
            <charset val="136"/>
          </rPr>
          <t>LEE CY Chi Yiu (李志堯):
02/01/2026</t>
        </r>
      </text>
    </comment>
    <comment ref="L50" authorId="1" shapeId="0" xr:uid="{3424D22D-6DCD-4264-AD5D-01BEF90049EF}">
      <text>
        <r>
          <rPr>
            <sz val="12"/>
            <rFont val="新細明體"/>
            <family val="1"/>
            <charset val="136"/>
          </rPr>
          <t>LEE CY Chi Yiu (李志堯):
02/01/2026</t>
        </r>
      </text>
    </comment>
    <comment ref="P50" authorId="1" shapeId="0" xr:uid="{5F3FD9FF-C720-42AB-89B8-40362E08AE40}">
      <text>
        <r>
          <rPr>
            <sz val="12"/>
            <rFont val="新細明體"/>
            <family val="1"/>
            <charset val="136"/>
          </rPr>
          <t>LEE CY Chi Yiu (李志堯):
02/01/2026</t>
        </r>
      </text>
    </comment>
    <comment ref="AG50" authorId="1" shapeId="0" xr:uid="{52694C34-EDAE-4895-B0A2-909B85C69A25}">
      <text>
        <r>
          <rPr>
            <sz val="12"/>
            <rFont val="新細明體"/>
            <family val="1"/>
            <charset val="136"/>
          </rPr>
          <t>LEE CY Chi Yiu (李志堯):
26/01/2026</t>
        </r>
      </text>
    </comment>
    <comment ref="F51" authorId="3" shapeId="0" xr:uid="{7BB74D63-3B50-40B2-9645-5AB992D573CF}">
      <text>
        <r>
          <rPr>
            <sz val="12"/>
            <rFont val="新細明體"/>
            <family val="1"/>
            <charset val="136"/>
          </rPr>
          <t>YU Billy Fatong (余法通):
App informed CY Lee</t>
        </r>
      </text>
    </comment>
    <comment ref="F52" authorId="3" shapeId="0" xr:uid="{7BC6556D-AF07-4EC4-ABF4-764442F0E814}">
      <text>
        <r>
          <rPr>
            <sz val="12"/>
            <rFont val="新細明體"/>
            <family val="1"/>
            <charset val="136"/>
          </rPr>
          <t>YU Billy Fatong (余法通):
App informed CY Lee</t>
        </r>
      </text>
    </comment>
    <comment ref="AG52" authorId="3" shapeId="0" xr:uid="{E9E84694-F131-42C9-BDF6-9BD122A4A1BB}">
      <text>
        <r>
          <rPr>
            <sz val="12"/>
            <rFont val="新細明體"/>
            <family val="1"/>
            <charset val="136"/>
          </rPr>
          <t>YU Billy Fatong (余法通):
TIA428 FTH
0900-1700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SIU YK Yung Kit (蕭勇潔)</author>
    <author>YU Billy Fatong (余法通)</author>
    <author>LEE CY Chi Yiu (李志堯)</author>
    <author>LING Jenny Yik Ting (凌奕婷)</author>
    <author>CHAN CY Chun Yip (陳竣頁)</author>
  </authors>
  <commentList>
    <comment ref="T5" authorId="0" shapeId="0" xr:uid="{D515C096-5930-4A17-B262-DE110563D6FA}">
      <text>
        <r>
          <rPr>
            <sz val="12"/>
            <rFont val="新細明體"/>
            <family val="1"/>
            <charset val="136"/>
          </rPr>
          <t>SIU YK Yung Kit (蕭勇潔):
除夕, 通宵行車</t>
        </r>
      </text>
    </comment>
    <comment ref="U5" authorId="0" shapeId="0" xr:uid="{05810123-267D-4EA9-995F-0E3D5A5B647B}">
      <text>
        <r>
          <rPr>
            <sz val="12"/>
            <rFont val="新細明體"/>
            <family val="1"/>
            <charset val="136"/>
          </rPr>
          <t>SIU YK Yung Kit (蕭勇潔):
年初一</t>
        </r>
      </text>
    </comment>
    <comment ref="S10" authorId="0" shapeId="0" xr:uid="{6BD8EAC6-051F-4C27-BE2A-6B9031CCE1A7}">
      <text>
        <r>
          <rPr>
            <sz val="12"/>
            <rFont val="新細明體"/>
            <family val="1"/>
            <charset val="136"/>
          </rPr>
          <t>SIU YK Yung Kit (蕭勇潔):
D17 of Yr2025</t>
        </r>
      </text>
    </comment>
    <comment ref="T10" authorId="0" shapeId="0" xr:uid="{0EBDA831-75B7-4B1B-A7E0-A17334D28CAF}">
      <text>
        <r>
          <rPr>
            <sz val="12"/>
            <rFont val="新細明體"/>
            <family val="1"/>
            <charset val="136"/>
          </rPr>
          <t>SIU YK Yung Kit (蕭勇潔):
D1 (01/01/2026)</t>
        </r>
      </text>
    </comment>
    <comment ref="K11" authorId="1" shapeId="0" xr:uid="{CE45A227-05FF-46C9-8360-70C1F485EFA7}">
      <text>
        <r>
          <rPr>
            <sz val="12"/>
            <rFont val="新細明體"/>
            <family val="1"/>
            <charset val="136"/>
          </rPr>
          <t xml:space="preserve">YU Billy Fatong (余法通):
06/02/2026 S7+N compensate
</t>
        </r>
      </text>
    </comment>
    <comment ref="T11" authorId="1" shapeId="0" xr:uid="{266AFDD6-6566-45F1-B9F2-109263D19D9A}">
      <text>
        <r>
          <rPr>
            <sz val="12"/>
            <rFont val="新細明體"/>
            <family val="1"/>
            <charset val="136"/>
          </rPr>
          <t>YU Billy Fatong (余法通):
8/2 compensate</t>
        </r>
      </text>
    </comment>
    <comment ref="X11" authorId="2" shapeId="0" xr:uid="{50ABBE3B-11A0-4A9A-BB44-A3C08678CDF5}">
      <text>
        <r>
          <rPr>
            <sz val="12"/>
            <rFont val="新細明體"/>
            <family val="1"/>
            <charset val="136"/>
          </rPr>
          <t xml:space="preserve">LEE CY Chi Yiu (李志堯):
12/02/2026
</t>
        </r>
      </text>
    </comment>
    <comment ref="P13" authorId="0" shapeId="0" xr:uid="{FB39C71B-EAEF-4113-A9BF-8ADA83525965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Q13" authorId="0" shapeId="0" xr:uid="{2AD60966-1FCA-418E-8366-BA1274F01CCF}">
      <text>
        <r>
          <rPr>
            <sz val="12"/>
            <rFont val="新細明體"/>
            <family val="1"/>
            <charset val="136"/>
          </rPr>
          <t>SIU YK Yung Kit (蕭勇潔):
Replaced RD on 31/01</t>
        </r>
      </text>
    </comment>
    <comment ref="U13" authorId="0" shapeId="0" xr:uid="{34C562FD-C92B-43B1-8F38-11784DBBCCD7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O15" authorId="1" shapeId="0" xr:uid="{E8AD1921-A0DC-4315-ABB0-89E19FAA4184}">
      <text>
        <r>
          <rPr>
            <sz val="12"/>
            <rFont val="新細明體"/>
            <family val="1"/>
            <charset val="136"/>
          </rPr>
          <t>YU Billy Fatong (余法通):
OT 2 hrs</t>
        </r>
      </text>
    </comment>
    <comment ref="U15" authorId="0" shapeId="0" xr:uid="{01BFCC89-F399-44AA-83D8-04055F046DB7}">
      <text>
        <r>
          <rPr>
            <sz val="12"/>
            <rFont val="新細明體"/>
            <family val="1"/>
            <charset val="136"/>
          </rPr>
          <t>SIU YK Yung Kit (蕭勇潔):
D1 (17/2/26)</t>
        </r>
      </text>
    </comment>
    <comment ref="V15" authorId="0" shapeId="0" xr:uid="{1F029F57-EE8A-40A4-8BD6-252235D75194}">
      <text>
        <r>
          <rPr>
            <sz val="12"/>
            <rFont val="新細明體"/>
            <family val="1"/>
            <charset val="136"/>
          </rPr>
          <t>SIU YK Yung Kit (蕭勇潔):
D2 (18/2)</t>
        </r>
      </text>
    </comment>
    <comment ref="W15" authorId="0" shapeId="0" xr:uid="{3BA007BD-BA33-485A-8A7A-AC61740A895F}">
      <text>
        <r>
          <rPr>
            <sz val="12"/>
            <rFont val="新細明體"/>
            <family val="1"/>
            <charset val="136"/>
          </rPr>
          <t>SIU YK Yung Kit (蕭勇潔):
D3 (19/2)</t>
        </r>
      </text>
    </comment>
    <comment ref="X15" authorId="0" shapeId="0" xr:uid="{06411E4E-2F72-49C0-BF94-9B38F86D1DB7}">
      <text>
        <r>
          <rPr>
            <sz val="12"/>
            <rFont val="新細明體"/>
            <family val="1"/>
            <charset val="136"/>
          </rPr>
          <t>SIU YK Yung Kit (蕭勇潔):
D4 (03/4)</t>
        </r>
      </text>
    </comment>
    <comment ref="AA15" authorId="1" shapeId="0" xr:uid="{25C5A711-6D44-483B-85CC-4AA3861D9075}">
      <text>
        <r>
          <rPr>
            <sz val="12"/>
            <rFont val="新細明體"/>
            <family val="1"/>
            <charset val="136"/>
          </rPr>
          <t>YU Billy Fatong (余法通):
05/01/2026</t>
        </r>
      </text>
    </comment>
    <comment ref="AB15" authorId="1" shapeId="0" xr:uid="{19D74AA8-0391-4685-928A-4A96F6701BBD}">
      <text>
        <r>
          <rPr>
            <sz val="12"/>
            <rFont val="新細明體"/>
            <family val="1"/>
            <charset val="136"/>
          </rPr>
          <t>YU Billy Fatong (余法通):
05/01/2026</t>
        </r>
      </text>
    </comment>
    <comment ref="J17" authorId="1" shapeId="0" xr:uid="{453C6C19-42AE-4550-AE05-F792A6BEEEE9}">
      <text>
        <r>
          <rPr>
            <sz val="12"/>
            <rFont val="新細明體"/>
            <family val="1"/>
            <charset val="136"/>
          </rPr>
          <t>YU Billy Fatong (余法通):
AP Manpower.</t>
        </r>
      </text>
    </comment>
    <comment ref="N17" authorId="1" shapeId="0" xr:uid="{F4359976-ED2C-47F9-A1A4-86044E357B9F}">
      <text>
        <r>
          <rPr>
            <sz val="12"/>
            <rFont val="新細明體"/>
            <family val="1"/>
            <charset val="136"/>
          </rPr>
          <t>YU Billy Fatong (余法通):
compensate 6/2</t>
        </r>
      </text>
    </comment>
    <comment ref="P17" authorId="1" shapeId="0" xr:uid="{12ACC3F2-E6A6-46D5-A189-7A3B0A3B08B0}">
      <text>
        <r>
          <rPr>
            <sz val="12"/>
            <rFont val="新細明體"/>
            <family val="1"/>
            <charset val="136"/>
          </rPr>
          <t>YU Billy Fatong (余法通):
update on 12/02/2026</t>
        </r>
      </text>
    </comment>
    <comment ref="T17" authorId="1" shapeId="0" xr:uid="{19EB0E66-6EC7-4E04-8C43-643E33F2B7CE}">
      <text>
        <r>
          <rPr>
            <sz val="12"/>
            <rFont val="新細明體"/>
            <family val="1"/>
            <charset val="136"/>
          </rPr>
          <t>YU Billy Fatong (余法通):
D16</t>
        </r>
      </text>
    </comment>
    <comment ref="U17" authorId="1" shapeId="0" xr:uid="{7E55F708-CE75-4DA8-AE80-5695F54509D7}">
      <text>
        <r>
          <rPr>
            <sz val="12"/>
            <rFont val="新細明體"/>
            <family val="1"/>
            <charset val="136"/>
          </rPr>
          <t>YU Billy Fatong (余法通):
D17</t>
        </r>
      </text>
    </comment>
    <comment ref="V17" authorId="1" shapeId="0" xr:uid="{EA779D6C-53E6-4EBE-89C5-2BA7B6185BB2}">
      <text>
        <r>
          <rPr>
            <sz val="12"/>
            <rFont val="新細明體"/>
            <family val="1"/>
            <charset val="136"/>
          </rPr>
          <t>YU Billy Fatong (余法通):
D1</t>
        </r>
      </text>
    </comment>
    <comment ref="W17" authorId="1" shapeId="0" xr:uid="{C398DBA8-2A31-42DF-8B1A-39BC3081A626}">
      <text>
        <r>
          <rPr>
            <sz val="12"/>
            <rFont val="新細明體"/>
            <family val="1"/>
            <charset val="136"/>
          </rPr>
          <t>YU Billy Fatong (余法通):
29/12 updates.</t>
        </r>
      </text>
    </comment>
    <comment ref="T19" authorId="1" shapeId="0" xr:uid="{9AA7EDA8-687B-42F2-AC76-0529E8D95513}">
      <text>
        <r>
          <rPr>
            <sz val="12"/>
            <rFont val="新細明體"/>
            <family val="1"/>
            <charset val="136"/>
          </rPr>
          <t>YU Billy Fatong (余法通):
18/12/2025 update</t>
        </r>
      </text>
    </comment>
    <comment ref="J20" authorId="1" shapeId="0" xr:uid="{38CE3077-9FFB-44C5-AF47-0BF5E08A865A}">
      <text>
        <r>
          <rPr>
            <sz val="12"/>
            <rFont val="新細明體"/>
            <family val="1"/>
            <charset val="136"/>
          </rPr>
          <t>YU Billy Fatong (余法通):
update on 06/02</t>
        </r>
      </text>
    </comment>
    <comment ref="P21" authorId="3" shapeId="0" xr:uid="{A71CA70C-9986-4C62-8F17-C6A3BC2E5729}">
      <text>
        <r>
          <rPr>
            <sz val="12"/>
            <rFont val="新細明體"/>
            <family val="1"/>
            <charset val="136"/>
          </rPr>
          <t>LING Jenny Yik Ting (凌奕婷):
09:00-17:00 OA Training Room A - Operations Training Centre-Citylink, 9/F., Citylink Plaza</t>
        </r>
      </text>
    </comment>
    <comment ref="T21" authorId="1" shapeId="0" xr:uid="{908EB7A0-C554-4EB9-A0DE-181986E5A871}">
      <text>
        <r>
          <rPr>
            <sz val="12"/>
            <rFont val="新細明體"/>
            <family val="1"/>
            <charset val="136"/>
          </rPr>
          <t>YU Billy Fatong (余法通):
D3</t>
        </r>
      </text>
    </comment>
    <comment ref="E22" authorId="4" shapeId="0" xr:uid="{5F7864DC-70BB-4A06-94A8-AAA611CF7C48}">
      <text>
        <r>
          <rPr>
            <sz val="12"/>
            <rFont val="新細明體"/>
            <family val="1"/>
            <charset val="136"/>
          </rPr>
          <t>CHAN CY Chun Yip (陳竣頁):
D1 01/01/2026
update 11/11/2025</t>
        </r>
      </text>
    </comment>
    <comment ref="F22" authorId="4" shapeId="0" xr:uid="{382188D5-63DE-4902-A566-FEA47583655F}">
      <text>
        <r>
          <rPr>
            <sz val="12"/>
            <rFont val="新細明體"/>
            <family val="1"/>
            <charset val="136"/>
          </rPr>
          <t>CHAN CY Chun Yip (陳竣頁):
D2 (17/02/2026)
update 11/11/2025</t>
        </r>
      </text>
    </comment>
    <comment ref="G22" authorId="4" shapeId="0" xr:uid="{5F60D5E7-381A-4C04-A83A-E988D85C5960}">
      <text>
        <r>
          <rPr>
            <sz val="12"/>
            <rFont val="新細明體"/>
            <family val="1"/>
            <charset val="136"/>
          </rPr>
          <t>CHAN CY Chun Yip (陳竣頁):
D3 (18/02/2026)
update 11/11/2025</t>
        </r>
      </text>
    </comment>
    <comment ref="H22" authorId="4" shapeId="0" xr:uid="{CD34154B-9C0E-4046-9E67-B57D37A34D65}">
      <text>
        <r>
          <rPr>
            <sz val="12"/>
            <rFont val="新細明體"/>
            <family val="1"/>
            <charset val="136"/>
          </rPr>
          <t>CHAN CY Chun Yip (陳竣頁):
D4 (19/02/2026)
update 11/11/2025</t>
        </r>
      </text>
    </comment>
    <comment ref="I22" authorId="4" shapeId="0" xr:uid="{F78B8709-3AAB-4334-9416-AFA24AE32663}">
      <text>
        <r>
          <rPr>
            <sz val="12"/>
            <rFont val="新細明體"/>
            <family val="1"/>
            <charset val="136"/>
          </rPr>
          <t>CHAN CY Chun Yip (陳竣頁):
update 15/11/2025</t>
        </r>
      </text>
    </comment>
    <comment ref="M22" authorId="0" shapeId="0" xr:uid="{9A2F47B1-7AD6-497B-8914-43EC25188605}">
      <text>
        <r>
          <rPr>
            <sz val="12"/>
            <rFont val="新細明體"/>
            <family val="1"/>
            <charset val="136"/>
          </rPr>
          <t>SIU YK Yung Kit (蕭勇潔):
D6 (04/4)</t>
        </r>
      </text>
    </comment>
    <comment ref="O22" authorId="3" shapeId="0" xr:uid="{0D63D49C-2A3B-4947-9C5A-B7C3E24CD2F0}">
      <text>
        <r>
          <rPr>
            <sz val="12"/>
            <rFont val="新細明體"/>
            <family val="1"/>
            <charset val="136"/>
          </rPr>
          <t>LING Jenny Yik Ting (凌奕婷):
08:45-16:45 
EMU136, 1/F OTC-PHD, Operations Training Centre 1/F, Main Building, MTR Pat Heung Depot</t>
        </r>
      </text>
    </comment>
    <comment ref="P22" authorId="3" shapeId="0" xr:uid="{62E9F23F-E67A-46C9-B1D4-5048225BD334}">
      <text>
        <r>
          <rPr>
            <sz val="12"/>
            <rFont val="新細明體"/>
            <family val="1"/>
            <charset val="136"/>
          </rPr>
          <t>LING Jenny Yik Ting (凌奕婷):
08:45-16:45 
EMU136, 1/F OTC-PHD, Operations Training Centre 1/F, Main Building, MTR Pat Heung Depot</t>
        </r>
      </text>
    </comment>
    <comment ref="Q22" authorId="3" shapeId="0" xr:uid="{A4DA93CE-6A70-447C-8C87-939BE7C7AF32}">
      <text>
        <r>
          <rPr>
            <sz val="12"/>
            <rFont val="新細明體"/>
            <family val="1"/>
            <charset val="136"/>
          </rPr>
          <t>LING Jenny Yik Ting (凌奕婷):
08:45-16:45 
EMU136, 1/F OTC-PHD, Operations Training Centre 1/F, Main Building, MTR Pat Heung Depot</t>
        </r>
      </text>
    </comment>
    <comment ref="T22" authorId="1" shapeId="0" xr:uid="{9BCEE8E8-4476-408D-9AB8-19C453CB9748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X22" authorId="0" shapeId="0" xr:uid="{10D3B91E-0DFC-4445-8A64-18B1A1AAB20F}">
      <text>
        <r>
          <rPr>
            <sz val="12"/>
            <rFont val="新細明體"/>
            <family val="1"/>
            <charset val="136"/>
          </rPr>
          <t>SIU YK Yung Kit (蕭勇潔):
D7 (06/4)</t>
        </r>
      </text>
    </comment>
    <comment ref="N23" authorId="3" shapeId="0" xr:uid="{675FB5A7-15ED-4C7B-A2C7-36690A99DCC2}">
      <text>
        <r>
          <rPr>
            <sz val="12"/>
            <rFont val="新細明體"/>
            <family val="1"/>
            <charset val="136"/>
          </rPr>
          <t>LING Jenny Yik Ting (凌奕婷):
1315-1400 Hung Shui Kiu Bus Depot</t>
        </r>
      </text>
    </comment>
    <comment ref="O23" authorId="0" shapeId="0" xr:uid="{B01A0E36-D0A3-4AF2-9B1F-1C6BEC80E6F0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T23" authorId="1" shapeId="0" xr:uid="{A2CD684F-696A-4B6C-B74B-94D15A8F57E5}">
      <text>
        <r>
          <rPr>
            <sz val="12"/>
            <rFont val="新細明體"/>
            <family val="1"/>
            <charset val="136"/>
          </rPr>
          <t>YU Billy Fatong (余法通):
D1</t>
        </r>
      </text>
    </comment>
    <comment ref="AD23" authorId="0" shapeId="0" xr:uid="{489ECAE0-A1D4-4C50-8854-B760BB70078C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M24" authorId="0" shapeId="0" xr:uid="{4B15BBDD-2220-46AF-984E-6762131374E1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T24" authorId="4" shapeId="0" xr:uid="{1D3D6C2D-7C58-4395-A64B-C36B75BE736E}">
      <text>
        <r>
          <rPr>
            <sz val="12"/>
            <rFont val="新細明體"/>
            <family val="1"/>
            <charset val="136"/>
          </rPr>
          <t>CHAN CY Chun Yip (陳竣頁):
D2 (17/02/2026)
update 06/01/2026</t>
        </r>
      </text>
    </comment>
    <comment ref="U26" authorId="4" shapeId="0" xr:uid="{4A2821C3-EB99-43B2-A185-B445F7C10401}">
      <text>
        <r>
          <rPr>
            <sz val="12"/>
            <rFont val="新細明體"/>
            <family val="1"/>
            <charset val="136"/>
          </rPr>
          <t>CHAN CY Chun Yip (陳竣頁):
D1 (01/01/2026)
update 05/01/2026</t>
        </r>
      </text>
    </comment>
    <comment ref="V26" authorId="4" shapeId="0" xr:uid="{2EA3A30E-5709-4D18-84A3-7F7CFC3BDAAC}">
      <text>
        <r>
          <rPr>
            <sz val="12"/>
            <rFont val="新細明體"/>
            <family val="1"/>
            <charset val="136"/>
          </rPr>
          <t>CHAN CY Chun Yip (陳竣頁):
D2 (17/02/2026)
update 05/01/2026</t>
        </r>
      </text>
    </comment>
    <comment ref="W26" authorId="4" shapeId="0" xr:uid="{AB7323D6-3324-4F06-948C-414E11C5A948}">
      <text>
        <r>
          <rPr>
            <sz val="12"/>
            <rFont val="新細明體"/>
            <family val="1"/>
            <charset val="136"/>
          </rPr>
          <t>CHAN CY Chun Yip (陳竣頁):
D3 (18/02/2026)
update 05/01/2026</t>
        </r>
      </text>
    </comment>
    <comment ref="X26" authorId="4" shapeId="0" xr:uid="{BF09CC53-2C63-489A-B059-5F685E004579}">
      <text>
        <r>
          <rPr>
            <sz val="12"/>
            <rFont val="新細明體"/>
            <family val="1"/>
            <charset val="136"/>
          </rPr>
          <t>CHAN CY Chun Yip (陳竣頁):
D4 (19/02/2026)
update 05/01/2026</t>
        </r>
      </text>
    </comment>
    <comment ref="Q27" authorId="4" shapeId="0" xr:uid="{60D3B249-26B2-4841-AD8B-901C1564D0CB}">
      <text>
        <r>
          <rPr>
            <sz val="12"/>
            <rFont val="新細明體"/>
            <family val="1"/>
            <charset val="136"/>
          </rPr>
          <t>CHAN CY Chun Yip (陳竣頁):
D1 (01/01/2026)
update 12/01/2026</t>
        </r>
      </text>
    </comment>
    <comment ref="T27" authorId="4" shapeId="0" xr:uid="{7027F54F-02C3-449A-AFE8-EBAC71179F23}">
      <text>
        <r>
          <rPr>
            <sz val="12"/>
            <rFont val="新細明體"/>
            <family val="1"/>
            <charset val="136"/>
          </rPr>
          <t>CHAN CY Chun Yip (陳竣頁):
update 31/12/2025</t>
        </r>
      </text>
    </comment>
    <comment ref="L28" authorId="4" shapeId="0" xr:uid="{142C0FC9-F36B-4599-8411-FD1BFB6E663F}">
      <text>
        <r>
          <rPr>
            <sz val="12"/>
            <rFont val="新細明體"/>
            <family val="1"/>
            <charset val="136"/>
          </rPr>
          <t>CHAN CY Chun Yip (陳竣頁):
D2 (17/02/2026)
update 09/12/2025</t>
        </r>
      </text>
    </comment>
    <comment ref="M28" authorId="4" shapeId="0" xr:uid="{F914D069-7C1D-4402-A132-BDF3ED1D46C7}">
      <text>
        <r>
          <rPr>
            <sz val="12"/>
            <rFont val="新細明體"/>
            <family val="1"/>
            <charset val="136"/>
          </rPr>
          <t>CHAN CY Chun Yip (陳竣頁):
D3 (18/02/2026)
update 09/12/2025</t>
        </r>
      </text>
    </comment>
    <comment ref="N28" authorId="4" shapeId="0" xr:uid="{E1A3D8DE-E1C8-4B2A-BA03-B25070A5C1F4}">
      <text>
        <r>
          <rPr>
            <sz val="12"/>
            <rFont val="新細明體"/>
            <family val="1"/>
            <charset val="136"/>
          </rPr>
          <t>CHAN CY Chun Yip (陳竣頁):
D4 (19/02/2026)
update 09/12/2025</t>
        </r>
      </text>
    </comment>
    <comment ref="O28" authorId="4" shapeId="0" xr:uid="{24987EAB-8E55-4622-8177-0CEB3C0F54E1}">
      <text>
        <r>
          <rPr>
            <sz val="12"/>
            <rFont val="新細明體"/>
            <family val="1"/>
            <charset val="136"/>
          </rPr>
          <t>CHAN CY Chun Yip (陳竣頁):
D5 (03/04/2026)
update 09/12/2025</t>
        </r>
      </text>
    </comment>
    <comment ref="P28" authorId="4" shapeId="0" xr:uid="{AA68BE6C-904E-423E-9B3B-CDF08826A4A3}">
      <text>
        <r>
          <rPr>
            <sz val="12"/>
            <rFont val="新細明體"/>
            <family val="1"/>
            <charset val="136"/>
          </rPr>
          <t>CHAN CY Chun Yip (陳竣頁):
D6 (04/04/2026)
update 09/12/2025</t>
        </r>
      </text>
    </comment>
    <comment ref="Q28" authorId="4" shapeId="0" xr:uid="{92DC832A-3899-4143-963A-05884CD6D3F0}">
      <text>
        <r>
          <rPr>
            <sz val="12"/>
            <rFont val="新細明體"/>
            <family val="1"/>
            <charset val="136"/>
          </rPr>
          <t>CHAN CY Chun Yip (陳竣頁):
D7 (06/04/2026)
update 09/12/2025</t>
        </r>
      </text>
    </comment>
    <comment ref="L29" authorId="4" shapeId="0" xr:uid="{955996A0-D1C4-4374-93AB-7CFC8627E5C7}">
      <text>
        <r>
          <rPr>
            <sz val="12"/>
            <rFont val="新細明體"/>
            <family val="1"/>
            <charset val="136"/>
          </rPr>
          <t>CHAN CY Chun Yip (陳竣頁):
D2 (17/02/2026)
update 09/12/2025</t>
        </r>
      </text>
    </comment>
    <comment ref="M29" authorId="4" shapeId="0" xr:uid="{B1C3734C-1179-4FE7-B43C-D7FB28BF8E18}">
      <text>
        <r>
          <rPr>
            <sz val="12"/>
            <rFont val="新細明體"/>
            <family val="1"/>
            <charset val="136"/>
          </rPr>
          <t>CHAN CY Chun Yip (陳竣頁):
D3 (18/02/2026)
update 09/12/2025</t>
        </r>
      </text>
    </comment>
    <comment ref="N29" authorId="4" shapeId="0" xr:uid="{5461C35E-D0A4-4729-840A-E51FAE2D938C}">
      <text>
        <r>
          <rPr>
            <sz val="12"/>
            <rFont val="新細明體"/>
            <family val="1"/>
            <charset val="136"/>
          </rPr>
          <t>CHAN CY Chun Yip (陳竣頁):
D4 (19/02/2026)
update 09/12/2025</t>
        </r>
      </text>
    </comment>
    <comment ref="O29" authorId="4" shapeId="0" xr:uid="{45433FCB-5481-4E5D-8AFB-28ACDC9A9E92}">
      <text>
        <r>
          <rPr>
            <sz val="12"/>
            <rFont val="新細明體"/>
            <family val="1"/>
            <charset val="136"/>
          </rPr>
          <t>CHAN CY Chun Yip (陳竣頁):
D5 (03/04/2026)
update 09/12/2025</t>
        </r>
      </text>
    </comment>
    <comment ref="P29" authorId="4" shapeId="0" xr:uid="{2093875C-D633-41F9-B90C-BE8C17BBD2B8}">
      <text>
        <r>
          <rPr>
            <sz val="12"/>
            <rFont val="新細明體"/>
            <family val="1"/>
            <charset val="136"/>
          </rPr>
          <t>CHAN CY Chun Yip (陳竣頁):
D6 (04/04/2026)
update 09/12/2025</t>
        </r>
      </text>
    </comment>
    <comment ref="Q29" authorId="4" shapeId="0" xr:uid="{0320F8F3-9799-4B91-8310-141D7175D752}">
      <text>
        <r>
          <rPr>
            <sz val="12"/>
            <rFont val="新細明體"/>
            <family val="1"/>
            <charset val="136"/>
          </rPr>
          <t>CHAN CY Chun Yip (陳竣頁):
D7 (06/04/2026)
update 09/12/2025</t>
        </r>
      </text>
    </comment>
    <comment ref="X29" authorId="3" shapeId="0" xr:uid="{74163150-DCC2-4499-AAE4-089A00779C7C}">
      <text>
        <r>
          <rPr>
            <sz val="12"/>
            <rFont val="新細明體"/>
            <family val="1"/>
            <charset val="136"/>
          </rPr>
          <t>LING Jenny Yik Ting (凌奕婷):
1030-1115
Hung Shui Kiu Bus Depot</t>
        </r>
      </text>
    </comment>
    <comment ref="J30" authorId="1" shapeId="0" xr:uid="{19771F3B-16A0-4162-8456-CB6523E768C6}">
      <text>
        <r>
          <rPr>
            <sz val="12"/>
            <rFont val="新細明體"/>
            <family val="1"/>
            <charset val="136"/>
          </rPr>
          <t>YU Billy Fatong (余法通):
Update on 06/2</t>
        </r>
      </text>
    </comment>
    <comment ref="T30" authorId="1" shapeId="0" xr:uid="{28E37C98-9E4F-45B7-9447-725E639F10A4}">
      <text>
        <r>
          <rPr>
            <sz val="12"/>
            <rFont val="新細明體"/>
            <family val="1"/>
            <charset val="136"/>
          </rPr>
          <t>YU Billy Fatong (余法通):
D17-2025</t>
        </r>
      </text>
    </comment>
    <comment ref="U30" authorId="1" shapeId="0" xr:uid="{D2FD96D8-BB1E-4D60-90B7-672CFC1798C2}">
      <text>
        <r>
          <rPr>
            <sz val="12"/>
            <rFont val="新細明體"/>
            <family val="1"/>
            <charset val="136"/>
          </rPr>
          <t>YU Billy Fatong (余法通):
D1</t>
        </r>
      </text>
    </comment>
    <comment ref="V30" authorId="1" shapeId="0" xr:uid="{D604008E-6BAC-46C1-9F92-612167B21305}">
      <text>
        <r>
          <rPr>
            <sz val="12"/>
            <rFont val="新細明體"/>
            <family val="1"/>
            <charset val="136"/>
          </rPr>
          <t>YU Billy Fatong (余法通):
10/1/2026</t>
        </r>
      </text>
    </comment>
    <comment ref="T31" authorId="4" shapeId="0" xr:uid="{FF9EA252-28C5-4ED2-93A9-8C4A7132D311}">
      <text>
        <r>
          <rPr>
            <sz val="12"/>
            <rFont val="新細明體"/>
            <family val="1"/>
            <charset val="136"/>
          </rPr>
          <t>CHAN CY Chun Yip (陳竣頁):
D5 (03/04/2026)
update 07/01/2026</t>
        </r>
      </text>
    </comment>
    <comment ref="U31" authorId="0" shapeId="0" xr:uid="{8AB9234D-4201-4D36-A2D8-1FE9814E9DA8}">
      <text>
        <r>
          <rPr>
            <sz val="12"/>
            <rFont val="新細明體"/>
            <family val="1"/>
            <charset val="136"/>
          </rPr>
          <t>SIU YK Yung Kit (蕭勇潔):
D2 (17/2/26)</t>
        </r>
      </text>
    </comment>
    <comment ref="V31" authorId="0" shapeId="0" xr:uid="{050D47AC-BA49-446F-9EE4-6195A300CFE9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W31" authorId="0" shapeId="0" xr:uid="{292A9C43-807A-4982-B0A0-A747FFF8DBEA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X31" authorId="4" shapeId="0" xr:uid="{CC0C37AD-2380-4029-B081-FB937084EEC1}">
      <text>
        <r>
          <rPr>
            <sz val="12"/>
            <rFont val="新細明體"/>
            <family val="1"/>
            <charset val="136"/>
          </rPr>
          <t>CHAN CY Chun Yip (陳竣頁):
D6 (04/04/2026)
update 07/01/2026</t>
        </r>
      </text>
    </comment>
    <comment ref="T32" authorId="1" shapeId="0" xr:uid="{AEA3DEFB-8226-44E0-9FEB-99F5341432CC}">
      <text>
        <r>
          <rPr>
            <sz val="12"/>
            <rFont val="新細明體"/>
            <family val="1"/>
            <charset val="136"/>
          </rPr>
          <t>YU Billy Fatong (余法通):
D2</t>
        </r>
      </text>
    </comment>
    <comment ref="U32" authorId="1" shapeId="0" xr:uid="{1C8B394B-448F-4EEC-A62E-306D198ED0FB}">
      <text>
        <r>
          <rPr>
            <sz val="12"/>
            <rFont val="新細明體"/>
            <family val="1"/>
            <charset val="136"/>
          </rPr>
          <t>YU Billy Fatong (余法通):
D3</t>
        </r>
      </text>
    </comment>
    <comment ref="V32" authorId="1" shapeId="0" xr:uid="{D3AC2304-42F4-476F-9862-670D2CB48C0D}">
      <text>
        <r>
          <rPr>
            <sz val="12"/>
            <rFont val="新細明體"/>
            <family val="1"/>
            <charset val="136"/>
          </rPr>
          <t>YU Billy Fatong (余法通):
D3</t>
        </r>
      </text>
    </comment>
    <comment ref="W32" authorId="2" shapeId="0" xr:uid="{42F850A1-AACB-470E-BA9F-A41901D98D8F}">
      <text>
        <r>
          <rPr>
            <sz val="12"/>
            <rFont val="新細明體"/>
            <family val="1"/>
            <charset val="136"/>
          </rPr>
          <t xml:space="preserve">LEE CY Chi Yiu (李志堯):
23/12/25
</t>
        </r>
      </text>
    </comment>
    <comment ref="X32" authorId="2" shapeId="0" xr:uid="{3483D5B6-F13F-47C5-8483-AAA81F27185D}">
      <text>
        <r>
          <rPr>
            <sz val="12"/>
            <rFont val="新細明體"/>
            <family val="1"/>
            <charset val="136"/>
          </rPr>
          <t xml:space="preserve">LEE CY Chi Yiu (李志堯):
23/12/25
</t>
        </r>
      </text>
    </comment>
    <comment ref="S34" authorId="4" shapeId="0" xr:uid="{D2C8850E-B30D-451B-B5C1-55F2D8C216FE}">
      <text>
        <r>
          <rPr>
            <sz val="12"/>
            <rFont val="新細明體"/>
            <family val="1"/>
            <charset val="136"/>
          </rPr>
          <t>CHAN CY Chun Yip (陳竣頁):
D1 (01/01/2026)
update 31/12/2025</t>
        </r>
      </text>
    </comment>
    <comment ref="T34" authorId="4" shapeId="0" xr:uid="{04B4C357-8A32-4086-8E0E-9394F3C1BD25}">
      <text>
        <r>
          <rPr>
            <sz val="12"/>
            <rFont val="新細明體"/>
            <family val="1"/>
            <charset val="136"/>
          </rPr>
          <t>CHAN CY Chun Yip (陳竣頁):
D2 (17/02/2026)
update 31/12/2025</t>
        </r>
      </text>
    </comment>
    <comment ref="U34" authorId="4" shapeId="0" xr:uid="{5CD7F8BC-1B53-4C89-971F-395CAACB6E65}">
      <text>
        <r>
          <rPr>
            <sz val="12"/>
            <rFont val="新細明體"/>
            <family val="1"/>
            <charset val="136"/>
          </rPr>
          <t>CHAN CY Chun Yip (陳竣頁):
D3 (18/02/2026)
update 31/12/2025</t>
        </r>
      </text>
    </comment>
    <comment ref="V34" authorId="4" shapeId="0" xr:uid="{AAD87863-2D6E-47FE-AAF6-F918F0CD0345}">
      <text>
        <r>
          <rPr>
            <sz val="12"/>
            <rFont val="新細明體"/>
            <family val="1"/>
            <charset val="136"/>
          </rPr>
          <t>CHAN CY Chun Yip (陳竣頁):
D4 (19/02/2026)
update 31/12/2025</t>
        </r>
      </text>
    </comment>
    <comment ref="W34" authorId="1" shapeId="0" xr:uid="{FEA98355-98C3-49FD-A5C7-512670E5E8B4}">
      <text>
        <r>
          <rPr>
            <sz val="12"/>
            <rFont val="新細明體"/>
            <family val="1"/>
            <charset val="136"/>
          </rPr>
          <t xml:space="preserve">YU Billy Fatong (余法通):
06/01/2026
</t>
        </r>
      </text>
    </comment>
    <comment ref="Q35" authorId="4" shapeId="0" xr:uid="{C55BED59-AE28-4C19-B0A9-A1766C67538B}">
      <text>
        <r>
          <rPr>
            <sz val="12"/>
            <rFont val="新細明體"/>
            <family val="1"/>
            <charset val="136"/>
          </rPr>
          <t>CHAN CY Chun Yip (陳竣頁):
D1 (01/01/2026)
update 31/12/2025</t>
        </r>
      </text>
    </comment>
    <comment ref="S35" authorId="4" shapeId="0" xr:uid="{78A85A58-501D-4F16-B214-3C37C1792552}">
      <text>
        <r>
          <rPr>
            <sz val="12"/>
            <rFont val="新細明體"/>
            <family val="1"/>
            <charset val="136"/>
          </rPr>
          <t>CHAN CY Chun Yip (陳竣頁):
D2 (17/02/2026)
update 31/12/2025</t>
        </r>
      </text>
    </comment>
    <comment ref="T35" authorId="4" shapeId="0" xr:uid="{0CEBC889-E45D-4FEE-A2A5-7660A172F172}">
      <text>
        <r>
          <rPr>
            <sz val="12"/>
            <rFont val="新細明體"/>
            <family val="1"/>
            <charset val="136"/>
          </rPr>
          <t>CHAN CY Chun Yip (陳竣頁):
D3 (18/02/2026)
update 31/12/2025</t>
        </r>
      </text>
    </comment>
    <comment ref="U35" authorId="4" shapeId="0" xr:uid="{9F0AC41D-CA26-4E28-8446-3300778F4532}">
      <text>
        <r>
          <rPr>
            <sz val="12"/>
            <rFont val="新細明體"/>
            <family val="1"/>
            <charset val="136"/>
          </rPr>
          <t>CHAN CY Chun Yip (陳竣頁):
D4 (19/02/2026)
update 31/12/2025</t>
        </r>
      </text>
    </comment>
    <comment ref="V35" authorId="1" shapeId="0" xr:uid="{5AC0D333-94B0-4BE5-8220-ECBB30D324EE}">
      <text>
        <r>
          <rPr>
            <sz val="12"/>
            <rFont val="新細明體"/>
            <family val="1"/>
            <charset val="136"/>
          </rPr>
          <t>YU Billy Fatong (余法通):
31/12/2025</t>
        </r>
      </text>
    </comment>
    <comment ref="S36" authorId="0" shapeId="0" xr:uid="{51F9E2DD-0F99-456C-8DC0-D14396C7ADE1}">
      <text>
        <r>
          <rPr>
            <sz val="12"/>
            <rFont val="新細明體"/>
            <family val="1"/>
            <charset val="136"/>
          </rPr>
          <t>SIU YK Yung Kit (蕭勇潔):
D16 (25/12/2025)</t>
        </r>
      </text>
    </comment>
    <comment ref="T36" authorId="0" shapeId="0" xr:uid="{33E593FB-8CDF-468B-B80C-86A2FFEB3D35}">
      <text>
        <r>
          <rPr>
            <sz val="12"/>
            <rFont val="新細明體"/>
            <family val="1"/>
            <charset val="136"/>
          </rPr>
          <t>SIU YK Yung Kit (蕭勇潔):
D17 (26/12/2025)</t>
        </r>
      </text>
    </comment>
    <comment ref="U36" authorId="0" shapeId="0" xr:uid="{E6D009CC-1B68-498E-8C9D-8C8261885784}">
      <text>
        <r>
          <rPr>
            <sz val="12"/>
            <rFont val="新細明體"/>
            <family val="1"/>
            <charset val="136"/>
          </rPr>
          <t>SIU YK Yung Kit (蕭勇潔):
D1 (01/01/2026)</t>
        </r>
      </text>
    </comment>
    <comment ref="V36" authorId="0" shapeId="0" xr:uid="{EB9811B0-40DF-4002-AAA8-5120C410E27E}">
      <text>
        <r>
          <rPr>
            <sz val="12"/>
            <rFont val="新細明體"/>
            <family val="1"/>
            <charset val="136"/>
          </rPr>
          <t>SIU YK Yung Kit (蕭勇潔):
D2 (17/2/26)</t>
        </r>
      </text>
    </comment>
    <comment ref="W36" authorId="0" shapeId="0" xr:uid="{F6B594B7-95C7-42D8-8F91-54AE056A222B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X36" authorId="0" shapeId="0" xr:uid="{EA3254CB-881F-4648-9296-E23E6BA90F52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O37" authorId="4" shapeId="0" xr:uid="{341705CD-1DE9-4431-8E91-F4CA4E3A02CE}">
      <text>
        <r>
          <rPr>
            <sz val="12"/>
            <rFont val="新細明體"/>
            <family val="1"/>
            <charset val="136"/>
          </rPr>
          <t>CHAN CY Chun Yip (陳竣頁):
D1 (01/01/2026)
update 05/01/2026</t>
        </r>
      </text>
    </comment>
    <comment ref="P37" authorId="4" shapeId="0" xr:uid="{0BB45061-0E8A-4BD9-A90C-6A6B934FD8A9}">
      <text>
        <r>
          <rPr>
            <sz val="12"/>
            <rFont val="新細明體"/>
            <family val="1"/>
            <charset val="136"/>
          </rPr>
          <t>CHAN CY Chun Yip (陳竣頁):
D2 (17/02/2026)
update 05/01/2026</t>
        </r>
      </text>
    </comment>
    <comment ref="Q37" authorId="4" shapeId="0" xr:uid="{DCF01999-EBD5-4088-9C79-37A4167E0C31}">
      <text>
        <r>
          <rPr>
            <sz val="12"/>
            <rFont val="新細明體"/>
            <family val="1"/>
            <charset val="136"/>
          </rPr>
          <t>CHAN CY Chun Yip (陳竣頁):
D3 (18/02/2026)
update 05/01/2026</t>
        </r>
      </text>
    </comment>
    <comment ref="T37" authorId="0" shapeId="0" xr:uid="{375A6896-0385-4943-8C6E-EA8A8F72FA70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AA37" authorId="1" shapeId="0" xr:uid="{50C9C1E9-8F23-4693-8E0A-63C57DB58B47}">
      <text>
        <r>
          <rPr>
            <sz val="12"/>
            <rFont val="新細明體"/>
            <family val="1"/>
            <charset val="136"/>
          </rPr>
          <t>YU Billy Fatong (余法通):
23/02/2026 update</t>
        </r>
      </text>
    </comment>
    <comment ref="T38" authorId="0" shapeId="0" xr:uid="{3AACA715-B954-40CB-BFDB-8716373482BA}">
      <text>
        <r>
          <rPr>
            <sz val="12"/>
            <rFont val="新細明體"/>
            <family val="1"/>
            <charset val="136"/>
          </rPr>
          <t>SIU YK Yung Kit (蕭勇潔):
D17 of 2025 (26/12/2025)</t>
        </r>
      </text>
    </comment>
    <comment ref="AA38" authorId="1" shapeId="0" xr:uid="{5A61FA28-41AE-4DC6-9713-A44570A4672D}">
      <text>
        <r>
          <rPr>
            <sz val="12"/>
            <rFont val="新細明體"/>
            <family val="1"/>
            <charset val="136"/>
          </rPr>
          <t xml:space="preserve">YU Billy Fatong (余法通):
23/02/2026
</t>
        </r>
      </text>
    </comment>
    <comment ref="AC38" authorId="0" shapeId="0" xr:uid="{7250E107-8A82-41E0-858D-F5CBA82D4047}">
      <text>
        <r>
          <rPr>
            <sz val="12"/>
            <rFont val="新細明體"/>
            <family val="1"/>
            <charset val="136"/>
          </rPr>
          <t>SIU YK Yung Kit (蕭勇潔):
D1 (01/01/2026)</t>
        </r>
      </text>
    </comment>
    <comment ref="AD38" authorId="0" shapeId="0" xr:uid="{D2584B04-0752-492F-8F57-1764ADFA4A17}">
      <text>
        <r>
          <rPr>
            <sz val="12"/>
            <rFont val="新細明體"/>
            <family val="1"/>
            <charset val="136"/>
          </rPr>
          <t>SIU YK Yung Kit (蕭勇潔):
D2 (17/2/26)</t>
        </r>
      </text>
    </comment>
    <comment ref="AE38" authorId="0" shapeId="0" xr:uid="{A71282A8-64F0-4D99-99F8-8A99A9A51790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T39" authorId="4" shapeId="0" xr:uid="{C2D0D303-1D80-45CE-8DFE-C335CD22393D}">
      <text>
        <r>
          <rPr>
            <sz val="12"/>
            <rFont val="新細明體"/>
            <family val="1"/>
            <charset val="136"/>
          </rPr>
          <t>CHAN CY Chun Yip (陳竣頁):
D1 (01/01/2026)
update 31/12/2025</t>
        </r>
      </text>
    </comment>
    <comment ref="AC39" authorId="3" shapeId="0" xr:uid="{74FD72BC-E0C8-4EDD-B688-E0129AB929DA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AD39" authorId="3" shapeId="0" xr:uid="{B9155176-6E11-4581-9B6B-939BE949F639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AE39" authorId="3" shapeId="0" xr:uid="{E1EE9C16-FEA0-437A-AF23-5039BFF23DAF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F41" authorId="1" shapeId="0" xr:uid="{110685BD-9952-4039-885D-79C36B278333}">
      <text>
        <r>
          <rPr>
            <sz val="12"/>
            <rFont val="新細明體"/>
            <family val="1"/>
            <charset val="136"/>
          </rPr>
          <t xml:space="preserve">YU Billy Fatong (余法通):
D1
</t>
        </r>
      </text>
    </comment>
    <comment ref="T41" authorId="1" shapeId="0" xr:uid="{DA350482-53ED-47EB-A80D-498712D83467}">
      <text>
        <r>
          <rPr>
            <sz val="12"/>
            <rFont val="新細明體"/>
            <family val="1"/>
            <charset val="136"/>
          </rPr>
          <t xml:space="preserve">YU Billy Fatong (余法通):
D2
</t>
        </r>
      </text>
    </comment>
    <comment ref="S42" authorId="0" shapeId="0" xr:uid="{D1F1AC47-7F07-4ADF-BBD1-C7D1B105EAD4}">
      <text>
        <r>
          <rPr>
            <sz val="12"/>
            <rFont val="新細明體"/>
            <family val="1"/>
            <charset val="136"/>
          </rPr>
          <t>SIU YK Yung Kit (蕭勇潔):
D17 (26/12/2025)</t>
        </r>
      </text>
    </comment>
    <comment ref="T42" authorId="0" shapeId="0" xr:uid="{07F7EFBE-80FE-4C58-98E9-F2CF7C8FC2BC}">
      <text>
        <r>
          <rPr>
            <sz val="12"/>
            <rFont val="新細明體"/>
            <family val="1"/>
            <charset val="136"/>
          </rPr>
          <t>SIU YK Yung Kit (蕭勇潔):
D1 (01/01/2026)</t>
        </r>
      </text>
    </comment>
    <comment ref="U42" authorId="0" shapeId="0" xr:uid="{A51242BD-178E-4C7C-A041-2F0836C35991}">
      <text>
        <r>
          <rPr>
            <sz val="12"/>
            <rFont val="新細明體"/>
            <family val="1"/>
            <charset val="136"/>
          </rPr>
          <t>SIU YK Yung Kit (蕭勇潔):
D2 (17/2/26)</t>
        </r>
      </text>
    </comment>
    <comment ref="V42" authorId="0" shapeId="0" xr:uid="{4401E9A4-CB0F-4096-977A-4D57F8C6B843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W42" authorId="1" shapeId="0" xr:uid="{92C1995D-39D8-431E-AEDB-58E4305E8ECB}">
      <text>
        <r>
          <rPr>
            <sz val="12"/>
            <rFont val="新細明體"/>
            <family val="1"/>
            <charset val="136"/>
          </rPr>
          <t>YU Billy Fatong (余法通):
09/01/2026</t>
        </r>
      </text>
    </comment>
    <comment ref="AE42" authorId="0" shapeId="0" xr:uid="{D19241CA-62A8-432C-BFAD-1E5BDD8737C8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S43" authorId="1" shapeId="0" xr:uid="{B977657E-CBCE-43BC-86F7-3D98B1CF30AD}">
      <text>
        <r>
          <rPr>
            <sz val="12"/>
            <rFont val="新細明體"/>
            <family val="1"/>
            <charset val="136"/>
          </rPr>
          <t>YU Billy Fatong (余法通):
29/12 update</t>
        </r>
      </text>
    </comment>
    <comment ref="M44" authorId="4" shapeId="0" xr:uid="{43AC0883-D6FB-4348-92C3-7DFF46E2D888}">
      <text>
        <r>
          <rPr>
            <sz val="12"/>
            <rFont val="新細明體"/>
            <family val="1"/>
            <charset val="136"/>
          </rPr>
          <t>CHAN CY Chun Yip (陳竣頁):
D1 (01/01/2026)
update 08/12/2025</t>
        </r>
      </text>
    </comment>
    <comment ref="N44" authorId="4" shapeId="0" xr:uid="{5D3A0516-808C-416D-88FD-6E0185A0DFE4}">
      <text>
        <r>
          <rPr>
            <sz val="12"/>
            <rFont val="新細明體"/>
            <family val="1"/>
            <charset val="136"/>
          </rPr>
          <t>CHAN CY Chun Yip (陳竣頁):
D2 (17/02/2026)
update 08/12/2025</t>
        </r>
      </text>
    </comment>
    <comment ref="O44" authorId="4" shapeId="0" xr:uid="{B6986C9F-F8EF-4CC6-AD58-3C9569D6EA45}">
      <text>
        <r>
          <rPr>
            <sz val="12"/>
            <rFont val="新細明體"/>
            <family val="1"/>
            <charset val="136"/>
          </rPr>
          <t>CHAN CY Chun Yip (陳竣頁):
D3 (18/02/2026)
update 08/12/2025</t>
        </r>
      </text>
    </comment>
    <comment ref="P44" authorId="4" shapeId="0" xr:uid="{F7971E87-5789-4673-8DD3-268F134799F8}">
      <text>
        <r>
          <rPr>
            <sz val="12"/>
            <rFont val="新細明體"/>
            <family val="1"/>
            <charset val="136"/>
          </rPr>
          <t>CHAN CY Chun Yip (陳竣頁):
D4 (19/02/2026)
update 08/12/2025</t>
        </r>
      </text>
    </comment>
    <comment ref="Q44" authorId="4" shapeId="0" xr:uid="{1C0CC00E-ED10-44AB-91F5-971CF8D2A391}">
      <text>
        <r>
          <rPr>
            <sz val="12"/>
            <rFont val="新細明體"/>
            <family val="1"/>
            <charset val="136"/>
          </rPr>
          <t>CHAN CY Chun Yip (陳竣頁):
D5 (03/04/2026)
update 08/12/2025</t>
        </r>
      </text>
    </comment>
    <comment ref="S44" authorId="4" shapeId="0" xr:uid="{223CE9F0-D6F6-4159-829C-58DF3693BCEB}">
      <text>
        <r>
          <rPr>
            <sz val="12"/>
            <rFont val="新細明體"/>
            <family val="1"/>
            <charset val="136"/>
          </rPr>
          <t>CHAN CY Chun Yip (陳竣頁):
D6 (04/04/2026)
update 08/12/2025</t>
        </r>
      </text>
    </comment>
    <comment ref="T44" authorId="4" shapeId="0" xr:uid="{8A7DAE2C-1910-4043-8175-6CDE13E5F1F8}">
      <text>
        <r>
          <rPr>
            <sz val="12"/>
            <rFont val="新細明體"/>
            <family val="1"/>
            <charset val="136"/>
          </rPr>
          <t>CHAN CY Chun Yip (陳竣頁):
D7 (06/04/2026)
update 08/12/2025</t>
        </r>
      </text>
    </comment>
    <comment ref="U44" authorId="4" shapeId="0" xr:uid="{8C49B36F-88B4-4B14-8015-8505C78F0D4F}">
      <text>
        <r>
          <rPr>
            <sz val="12"/>
            <rFont val="新細明體"/>
            <family val="1"/>
            <charset val="136"/>
          </rPr>
          <t>CHAN CY Chun Yip (陳竣頁):
D8 (07/04/2026)
update 08/12/2025</t>
        </r>
      </text>
    </comment>
    <comment ref="V44" authorId="4" shapeId="0" xr:uid="{0C5D7A14-FDA0-4663-BD28-27C59EF31062}">
      <text>
        <r>
          <rPr>
            <sz val="12"/>
            <rFont val="新細明體"/>
            <family val="1"/>
            <charset val="136"/>
          </rPr>
          <t>CHAN CY Chun Yip (陳竣頁):
update 09/12/2025</t>
        </r>
      </text>
    </comment>
    <comment ref="S45" authorId="1" shapeId="0" xr:uid="{B322F59E-3451-4F7C-9228-5EEEAA8555B8}">
      <text>
        <r>
          <rPr>
            <sz val="12"/>
            <rFont val="新細明體"/>
            <family val="1"/>
            <charset val="136"/>
          </rPr>
          <t>YU Billy Fatong (余法通):
7.63 hrs CL Claim</t>
        </r>
      </text>
    </comment>
    <comment ref="T45" authorId="1" shapeId="0" xr:uid="{F6146DF2-A2DE-436D-80EE-6C49D2CDCB67}">
      <text>
        <r>
          <rPr>
            <sz val="12"/>
            <rFont val="新細明體"/>
            <family val="1"/>
            <charset val="136"/>
          </rPr>
          <t>YU Billy Fatong (余法通):
CL 7.63hrs Claim</t>
        </r>
      </text>
    </comment>
    <comment ref="S46" authorId="0" shapeId="0" xr:uid="{566DD4D1-41CA-466C-86A0-E43D8F91E81A}">
      <text>
        <r>
          <rPr>
            <sz val="12"/>
            <rFont val="新細明體"/>
            <family val="1"/>
            <charset val="136"/>
          </rPr>
          <t>SIU YK Yung Kit (蕭勇潔):
D17 (26/12/2025)</t>
        </r>
      </text>
    </comment>
    <comment ref="T46" authorId="0" shapeId="0" xr:uid="{FD9FE8E6-3108-40A0-9596-B9A942AD9FD4}">
      <text>
        <r>
          <rPr>
            <sz val="12"/>
            <rFont val="新細明體"/>
            <family val="1"/>
            <charset val="136"/>
          </rPr>
          <t>SIU YK Yung Kit (蕭勇潔):
D1 (01/01/2026)</t>
        </r>
      </text>
    </comment>
    <comment ref="U46" authorId="0" shapeId="0" xr:uid="{2C6589DB-18E4-430E-9E81-25EA3A8AC9DC}">
      <text>
        <r>
          <rPr>
            <sz val="12"/>
            <rFont val="新細明體"/>
            <family val="1"/>
            <charset val="136"/>
          </rPr>
          <t>SIU YK Yung Kit (蕭勇潔):
D2 (17/2/26)</t>
        </r>
      </text>
    </comment>
    <comment ref="V46" authorId="0" shapeId="0" xr:uid="{AC9FDF71-FF7C-46D7-9942-AC8EB8FC5FB9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W46" authorId="0" shapeId="0" xr:uid="{9A813B72-FE7D-45C7-9C52-3DCDDA1A95DA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X46" authorId="0" shapeId="0" xr:uid="{ADA32B26-8A6C-4D53-B610-54FF1382EB80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J47" authorId="1" shapeId="0" xr:uid="{D0F9BF42-2EB1-4BAF-8D91-4F7225C0ABCD}">
      <text>
        <r>
          <rPr>
            <sz val="12"/>
            <rFont val="新細明體"/>
            <family val="1"/>
            <charset val="136"/>
          </rPr>
          <t>YU Billy Fatong (余法通):
06/02/2026</t>
        </r>
      </text>
    </comment>
    <comment ref="S47" authorId="0" shapeId="0" xr:uid="{9410B9A5-3463-4389-BC01-F9A826376D6A}">
      <text>
        <r>
          <rPr>
            <sz val="12"/>
            <rFont val="新細明體"/>
            <family val="1"/>
            <charset val="136"/>
          </rPr>
          <t>SIU YK Yung Kit (蕭勇潔):
D2 (17/2/26)</t>
        </r>
      </text>
    </comment>
    <comment ref="T47" authorId="0" shapeId="0" xr:uid="{C41A5E94-4939-4AB7-A813-69D2E2D02BC7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V47" authorId="1" shapeId="0" xr:uid="{7BB6F68D-61E0-467E-90CD-A55CC31583CB}">
      <text>
        <r>
          <rPr>
            <sz val="12"/>
            <rFont val="新細明體"/>
            <family val="1"/>
            <charset val="136"/>
          </rPr>
          <t>YU Billy Fatong (余法通):
D04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 Billy Fatong (余法通)</author>
    <author>SIU YK Yung Kit (蕭勇潔)</author>
    <author>LING Jenny Yik Ting (凌奕婷)</author>
    <author>LEE CY Chi Yiu (李志堯)</author>
  </authors>
  <commentList>
    <comment ref="E5" authorId="0" shapeId="0" xr:uid="{F9596EE4-E3A6-4938-98FD-51CF7D1A95D4}">
      <text>
        <r>
          <rPr>
            <sz val="12"/>
            <rFont val="新細明體"/>
            <family val="1"/>
            <charset val="136"/>
          </rPr>
          <t>YU Billy Fatong (余法通):
KBD 01/03/2026 TH
Replace KBD913 Motorized isolator control box
OT - 8hrs  
S4 + S5 TOTAL 5x Staffs  
KH Tong, KK Lau, 
MR Yu, MF Ngai, CS Yau</t>
        </r>
      </text>
    </comment>
    <comment ref="V8" authorId="0" shapeId="0" xr:uid="{04958C0A-5381-4E92-8139-068EB7678D76}">
      <text>
        <r>
          <rPr>
            <sz val="12"/>
            <rFont val="新細明體"/>
            <family val="1"/>
            <charset val="136"/>
          </rPr>
          <t xml:space="preserve">YU Billy Fatong (余法通):
Theatre, FTRH
18 Mar, Wed
0900-1030
</t>
        </r>
      </text>
    </comment>
    <comment ref="V9" authorId="0" shapeId="0" xr:uid="{5156C5D1-6D84-4E51-9710-E88E3D190C2C}">
      <text>
        <r>
          <rPr>
            <sz val="12"/>
            <rFont val="新細明體"/>
            <family val="1"/>
            <charset val="136"/>
          </rPr>
          <t xml:space="preserve">YU Billy Fatong (余法通):
Theatre, FTRH
18 Mar, Wed
0900-1030
</t>
        </r>
      </text>
    </comment>
    <comment ref="M10" authorId="1" shapeId="0" xr:uid="{50656B57-376C-41F4-B53F-DB4F0A69BD35}">
      <text>
        <r>
          <rPr>
            <sz val="12"/>
            <rFont val="新細明體"/>
            <family val="1"/>
            <charset val="136"/>
          </rPr>
          <t>SIU YK Yung Kit (蕭勇潔):
D2 (17/2)</t>
        </r>
      </text>
    </comment>
    <comment ref="N10" authorId="1" shapeId="0" xr:uid="{9C058265-2912-41E0-9B35-57B3A0CAD582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Q10" authorId="2" shapeId="0" xr:uid="{EA5F6B61-AF49-41A4-86B3-020E638A2939}">
      <text>
        <r>
          <rPr>
            <sz val="12"/>
            <rFont val="新細明體"/>
            <family val="1"/>
            <charset val="136"/>
          </rPr>
          <t>LING Jenny Yik Ting (凌奕婷):
08:45-16:45 
EMU139, 1/F OTC-PHD, Operations Training Centre 1/F, Main Building, MTR Pat Heung Depot</t>
        </r>
      </text>
    </comment>
    <comment ref="E11" authorId="0" shapeId="0" xr:uid="{37051F14-F6D3-4481-B04C-5ABA8F860BBC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K11" authorId="0" shapeId="0" xr:uid="{DFD77BC1-880E-4358-8D2F-CF5E024F35B8}">
      <text>
        <r>
          <rPr>
            <sz val="12"/>
            <rFont val="新細明體"/>
            <family val="1"/>
            <charset val="136"/>
          </rPr>
          <t>YU Billy Fatong (余法通):
S7 &gt; RD</t>
        </r>
      </text>
    </comment>
    <comment ref="R11" authorId="0" shapeId="0" xr:uid="{F2096C89-F6EC-4C5E-A1CF-E0B41A378734}">
      <text>
        <r>
          <rPr>
            <sz val="12"/>
            <rFont val="新細明體"/>
            <family val="1"/>
            <charset val="136"/>
          </rPr>
          <t>YU Billy Fatong (余法通):
S7&gt;RD</t>
        </r>
      </text>
    </comment>
    <comment ref="AH11" authorId="0" shapeId="0" xr:uid="{01634BFE-7E70-4159-BDAB-C2F3888B299F}">
      <text>
        <r>
          <rPr>
            <sz val="12"/>
            <rFont val="新細明體"/>
            <family val="1"/>
            <charset val="136"/>
          </rPr>
          <t>YU Billy Fatong (余法通):
20/03</t>
        </r>
      </text>
    </comment>
    <comment ref="AI11" authorId="0" shapeId="0" xr:uid="{97540DB2-6C22-4571-A428-E8A406CB615F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M13" authorId="2" shapeId="0" xr:uid="{59535890-E170-43BB-B67F-79823DDEC79A}">
      <text>
        <r>
          <rPr>
            <sz val="12"/>
            <rFont val="新細明體"/>
            <family val="1"/>
            <charset val="136"/>
          </rPr>
          <t>LING Jenny Yik Ting (凌奕婷):
1030-1130
at KBD OTD TC Remote Earthing Training System</t>
        </r>
      </text>
    </comment>
    <comment ref="N13" authorId="2" shapeId="0" xr:uid="{14C4A1C4-A029-4213-BF8A-7D04038F40A9}">
      <text>
        <r>
          <rPr>
            <sz val="12"/>
            <rFont val="新細明體"/>
            <family val="1"/>
            <charset val="136"/>
          </rPr>
          <t>LING Jenny Yik Ting (凌奕婷):
1030-1130</t>
        </r>
      </text>
    </comment>
    <comment ref="V13" authorId="0" shapeId="0" xr:uid="{AFA6BDA4-26B4-43C2-BC24-124031A22585}">
      <text>
        <r>
          <rPr>
            <sz val="12"/>
            <rFont val="新細明體"/>
            <family val="1"/>
            <charset val="136"/>
          </rPr>
          <t xml:space="preserve">YU Billy Fatong (余法通):
Auditorium, HQ
18 Mar, Wed
0900-1030
</t>
        </r>
      </text>
    </comment>
    <comment ref="F15" authorId="0" shapeId="0" xr:uid="{38179D59-45D2-4879-ACE0-F2140B83D7A2}">
      <text>
        <r>
          <rPr>
            <sz val="12"/>
            <rFont val="新細明體"/>
            <family val="1"/>
            <charset val="136"/>
          </rPr>
          <t xml:space="preserve">YU Billy Fatong (余法通):
</t>
        </r>
      </text>
    </comment>
    <comment ref="G15" authorId="0" shapeId="0" xr:uid="{70C0858F-E6C5-4F9C-8EA2-298898AF8569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H15" authorId="0" shapeId="0" xr:uid="{F4B80DBE-2189-4EAD-A3E0-7C6A836A70BE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I15" authorId="0" shapeId="0" xr:uid="{E4D6155C-7571-43E5-9EA8-EF10AB9EB7E3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J15" authorId="0" shapeId="0" xr:uid="{81741405-3CE7-4891-93CE-50C683F0C6DA}">
      <text>
        <r>
          <rPr>
            <sz val="12"/>
            <rFont val="新細明體"/>
            <family val="1"/>
            <charset val="136"/>
          </rPr>
          <t xml:space="preserve">YU Billy Fatong (余法通):
D7
</t>
        </r>
      </text>
    </comment>
    <comment ref="AD15" authorId="0" shapeId="0" xr:uid="{656B3AA3-2E0E-4747-95E6-575FAE3AB75D}">
      <text>
        <r>
          <rPr>
            <sz val="12"/>
            <rFont val="新細明體"/>
            <family val="1"/>
            <charset val="136"/>
          </rPr>
          <t>YU Billy Fatong (余法通):
28/3</t>
        </r>
      </text>
    </comment>
    <comment ref="AE15" authorId="0" shapeId="0" xr:uid="{34C53993-0CE1-47F2-85D7-0E59023AA75F}">
      <text>
        <r>
          <rPr>
            <sz val="12"/>
            <rFont val="新細明體"/>
            <family val="1"/>
            <charset val="136"/>
          </rPr>
          <t xml:space="preserve">YU Billy Fatong (余法通):
Auditorium, HQ
27 Mar, Fri
0900-1030
</t>
        </r>
      </text>
    </comment>
    <comment ref="M17" authorId="2" shapeId="0" xr:uid="{790EADD3-BBB8-4954-99F5-F2E22BFD8009}">
      <text>
        <r>
          <rPr>
            <sz val="12"/>
            <rFont val="新細明體"/>
            <family val="1"/>
            <charset val="136"/>
          </rPr>
          <t>LING Jenny Yik Ting (凌奕婷):
1030-1130
at KBD OTD TC Remote Earthing Training System</t>
        </r>
      </text>
    </comment>
    <comment ref="N17" authorId="2" shapeId="0" xr:uid="{9706C728-8DB8-42FD-95C5-5767182FE7D2}">
      <text>
        <r>
          <rPr>
            <sz val="12"/>
            <rFont val="新細明體"/>
            <family val="1"/>
            <charset val="136"/>
          </rPr>
          <t>LING Jenny Yik Ting (凌奕婷):
1030-1130</t>
        </r>
      </text>
    </comment>
    <comment ref="V17" authorId="0" shapeId="0" xr:uid="{38DBA768-DB21-482B-AF4A-9E7700D17482}">
      <text>
        <r>
          <rPr>
            <sz val="12"/>
            <rFont val="新細明體"/>
            <family val="1"/>
            <charset val="136"/>
          </rPr>
          <t xml:space="preserve">YU Billy Fatong (余法通):
Auditorium, HQ
18 Mar, Wed
0900-1030
</t>
        </r>
      </text>
    </comment>
    <comment ref="W17" authorId="1" shapeId="0" xr:uid="{958618B6-A9B2-4911-96D3-2AB2FAF5B5AE}">
      <text>
        <r>
          <rPr>
            <sz val="12"/>
            <rFont val="新細明體"/>
            <family val="1"/>
            <charset val="136"/>
          </rPr>
          <t>SIU YK Yung Kit (蕭勇潔):
D2 (17/2)</t>
        </r>
      </text>
    </comment>
    <comment ref="X17" authorId="0" shapeId="0" xr:uid="{9BE912D9-6716-417D-9A48-00187314A6A1}">
      <text>
        <r>
          <rPr>
            <sz val="12"/>
            <rFont val="新細明體"/>
            <family val="1"/>
            <charset val="136"/>
          </rPr>
          <t xml:space="preserve">YU Billy Fatong (余法通):
D3
</t>
        </r>
      </text>
    </comment>
    <comment ref="AA17" authorId="0" shapeId="0" xr:uid="{BF4A5ACA-3CFE-4A11-87BB-6C29B0B83A95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E19" authorId="0" shapeId="0" xr:uid="{12CD6F11-8A8C-4F5E-9C63-60DD32CBD848}">
      <text>
        <r>
          <rPr>
            <sz val="12"/>
            <rFont val="新細明體"/>
            <family val="1"/>
            <charset val="136"/>
          </rPr>
          <t>YU Billy Fatong (余法通):
D2</t>
        </r>
      </text>
    </comment>
    <comment ref="F19" authorId="2" shapeId="0" xr:uid="{30A87C2B-C30E-4230-AD85-60E487A25B77}">
      <text>
        <r>
          <rPr>
            <sz val="12"/>
            <rFont val="新細明體"/>
            <family val="1"/>
            <charset val="136"/>
          </rPr>
          <t>LING Jenny Yik Ting (凌奕婷):
08:45-16:45 
Room C4, 9/F Citylink, 9/F, Citylink Plaza,</t>
        </r>
      </text>
    </comment>
    <comment ref="G19" authorId="2" shapeId="0" xr:uid="{117EB58F-B7EE-4FE2-A97A-E1A088C3E597}">
      <text>
        <r>
          <rPr>
            <sz val="12"/>
            <rFont val="新細明體"/>
            <family val="1"/>
            <charset val="136"/>
          </rPr>
          <t>LING Jenny Yik Ting (凌奕婷):
08:45-16:45 
Room C4, 9/F Citylink, 9/F, Citylink Plaza,</t>
        </r>
      </text>
    </comment>
    <comment ref="H19" authorId="0" shapeId="0" xr:uid="{F75C63A9-302A-472B-8147-03D77745E470}">
      <text>
        <r>
          <rPr>
            <sz val="12"/>
            <rFont val="新細明體"/>
            <family val="1"/>
            <charset val="136"/>
          </rPr>
          <t xml:space="preserve">YU Billy Fatong (余法通):
update 04/03/2026 </t>
        </r>
      </text>
    </comment>
    <comment ref="J19" authorId="1" shapeId="0" xr:uid="{231A7002-3470-49F6-9959-D1407ED81983}">
      <text>
        <r>
          <rPr>
            <sz val="12"/>
            <rFont val="新細明體"/>
            <family val="1"/>
            <charset val="136"/>
          </rPr>
          <t>SIU YK Yung Kit (蕭勇潔):
Updated on 06/3/2026</t>
        </r>
      </text>
    </comment>
    <comment ref="AC19" authorId="1" shapeId="0" xr:uid="{C7CA403F-4928-4F16-8E0A-3E36BE2F1E4E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AE20" authorId="1" shapeId="0" xr:uid="{1715B4DE-1026-4382-92B6-EBADADA99CA9}">
      <text>
        <r>
          <rPr>
            <sz val="12"/>
            <rFont val="新細明體"/>
            <family val="1"/>
            <charset val="136"/>
          </rPr>
          <t>SIU YK Yung Kit (蕭勇潔):
Updated on 12/3/2026</t>
        </r>
      </text>
    </comment>
    <comment ref="M22" authorId="2" shapeId="0" xr:uid="{4F9E08F0-7113-4293-B89F-4A600D8A5252}">
      <text>
        <r>
          <rPr>
            <sz val="12"/>
            <rFont val="新細明體"/>
            <family val="1"/>
            <charset val="136"/>
          </rPr>
          <t>LING Jenny Yik Ting (凌奕婷):
08:45-16:45 
Room C10, 9/F Citylink, 9/F, Citylink Plaza</t>
        </r>
      </text>
    </comment>
    <comment ref="N22" authorId="2" shapeId="0" xr:uid="{29021C6B-6D40-48EA-A84C-B9CDC4FD67DC}">
      <text>
        <r>
          <rPr>
            <sz val="12"/>
            <rFont val="新細明體"/>
            <family val="1"/>
            <charset val="136"/>
          </rPr>
          <t>LING Jenny Yik Ting (凌奕婷):
08:45-12:00
Operations Training Centre MTR Kowloon Bay Depot</t>
        </r>
      </text>
    </comment>
    <comment ref="E23" authorId="1" shapeId="0" xr:uid="{72242684-57D2-4939-B2E7-EECCB2EF0B79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V26" authorId="0" shapeId="0" xr:uid="{A7FC5E09-3F34-4B25-B07F-D7A0A1D273CA}">
      <text>
        <r>
          <rPr>
            <sz val="12"/>
            <rFont val="新細明體"/>
            <family val="1"/>
            <charset val="136"/>
          </rPr>
          <t xml:space="preserve">YU Billy Fatong (余法通):
Auditorium, HQ
18 Mar, Wed
0900-1030
</t>
        </r>
      </text>
    </comment>
    <comment ref="X26" authorId="1" shapeId="0" xr:uid="{2E2DDE6F-6309-4F26-8642-ABE0812D2112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V27" authorId="0" shapeId="0" xr:uid="{64B54CF1-D446-4EC3-823B-1E4A66B80521}">
      <text>
        <r>
          <rPr>
            <sz val="12"/>
            <rFont val="新細明體"/>
            <family val="1"/>
            <charset val="136"/>
          </rPr>
          <t xml:space="preserve">YU Billy Fatong (余法通):
Auditorium, HQ
18 Mar, Wed
0900-1030
</t>
        </r>
      </text>
    </comment>
    <comment ref="W27" authorId="1" shapeId="0" xr:uid="{8C00AC0D-F41E-4E50-B3A8-B853B33DDFD9}">
      <text>
        <r>
          <rPr>
            <sz val="12"/>
            <rFont val="新細明體"/>
            <family val="1"/>
            <charset val="136"/>
          </rPr>
          <t>SIU YK Yung Kit (蕭勇潔):
D2 (17/2)</t>
        </r>
      </text>
    </comment>
    <comment ref="X27" authorId="1" shapeId="0" xr:uid="{F5A48603-EE5D-408F-AB10-C66D82B865CF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M29" authorId="0" shapeId="0" xr:uid="{FF685EF2-282F-4A30-82C7-BB55D9D3EA89}">
      <text>
        <r>
          <rPr>
            <sz val="12"/>
            <rFont val="新細明體"/>
            <family val="1"/>
            <charset val="136"/>
          </rPr>
          <t>YU Billy Fatong (余法通):
09/03/2026</t>
        </r>
      </text>
    </comment>
    <comment ref="AA29" authorId="1" shapeId="0" xr:uid="{88A70443-5A80-4118-8433-DA955D108D05}">
      <text>
        <r>
          <rPr>
            <sz val="12"/>
            <rFont val="新細明體"/>
            <family val="1"/>
            <charset val="136"/>
          </rPr>
          <t>SIU YK Yung Kit (蕭勇潔):
D8 (07/4)</t>
        </r>
      </text>
    </comment>
    <comment ref="AB29" authorId="1" shapeId="0" xr:uid="{9E87FB15-F4D9-4925-9E5F-F7E4BD91D966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AC29" authorId="1" shapeId="0" xr:uid="{888782CE-DD88-48B2-8C3C-1E8B0DC0AA70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AD29" authorId="1" shapeId="0" xr:uid="{F8D67B0A-1104-4049-8E21-E0D3C65BCA0D}">
      <text>
        <r>
          <rPr>
            <sz val="12"/>
            <rFont val="新細明體"/>
            <family val="1"/>
            <charset val="136"/>
          </rPr>
          <t>SIU YK Yung Kit (蕭勇潔):
Update on 02/3/2026</t>
        </r>
      </text>
    </comment>
    <comment ref="J30" authorId="1" shapeId="0" xr:uid="{1428DB81-7B57-45A9-863A-EA5E8BBEAC19}">
      <text>
        <r>
          <rPr>
            <sz val="12"/>
            <rFont val="新細明體"/>
            <family val="1"/>
            <charset val="136"/>
          </rPr>
          <t>SIU YK Yung Kit (蕭勇潔):
D2 (17/2)</t>
        </r>
      </text>
    </comment>
    <comment ref="T30" authorId="2" shapeId="0" xr:uid="{51CB1651-D270-4227-B56F-1302281F0F17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AG30" authorId="1" shapeId="0" xr:uid="{8199490B-40DC-4FDF-9596-986115C95A33}">
      <text>
        <r>
          <rPr>
            <sz val="12"/>
            <rFont val="新細明體"/>
            <family val="1"/>
            <charset val="136"/>
          </rPr>
          <t>SIU YK Yung Kit (蕭勇潔):
D3 (18/2)</t>
        </r>
      </text>
    </comment>
    <comment ref="V31" authorId="2" shapeId="0" xr:uid="{60DC28FC-4FF1-43D8-B536-BE5B77298C9D}">
      <text>
        <r>
          <rPr>
            <sz val="12"/>
            <rFont val="新細明體"/>
            <family val="1"/>
            <charset val="136"/>
          </rPr>
          <t xml:space="preserve">LING Jenny Yik Ting (凌奕婷):
13:30 - 17:00
Room 802, Management Training &amp; Development Centre, 8/F, MTR Headquarters Building, Kowloon Bay
</t>
        </r>
      </text>
    </comment>
    <comment ref="AG32" authorId="0" shapeId="0" xr:uid="{45E8132D-A89A-4724-BF20-0F92CFC1FE82}">
      <text>
        <r>
          <rPr>
            <sz val="12"/>
            <rFont val="新細明體"/>
            <family val="1"/>
            <charset val="136"/>
          </rPr>
          <t xml:space="preserve">YU Billy Fatong (余法通):
21/03/2026
</t>
        </r>
      </text>
    </comment>
    <comment ref="AA34" authorId="0" shapeId="0" xr:uid="{7F00C346-7637-4D65-9CC9-964C378FD349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AE34" authorId="0" shapeId="0" xr:uid="{B02A3DBF-BA0F-431B-92CC-2945F94A0F95}">
      <text>
        <r>
          <rPr>
            <sz val="12"/>
            <rFont val="新細明體"/>
            <family val="1"/>
            <charset val="136"/>
          </rPr>
          <t xml:space="preserve">YU Billy Fatong (余法通):
Auditorium, HQ
27 Mar, Fri
0900-1030
</t>
        </r>
      </text>
    </comment>
    <comment ref="X35" authorId="0" shapeId="0" xr:uid="{C14D2AD2-01F9-4DBE-96FC-AC0CC4616545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AE35" authorId="0" shapeId="0" xr:uid="{65AB874F-5396-45E3-8F33-D6AA232014BE}">
      <text>
        <r>
          <rPr>
            <sz val="12"/>
            <rFont val="新細明體"/>
            <family val="1"/>
            <charset val="136"/>
          </rPr>
          <t xml:space="preserve">YU Billy Fatong (余法通):
Auditorium, HQ
27 Mar, Fri
0900-1030
</t>
        </r>
      </text>
    </comment>
    <comment ref="AE36" authorId="0" shapeId="0" xr:uid="{F7751279-EE84-4DC7-9907-2659EE5E5AD8}">
      <text>
        <r>
          <rPr>
            <sz val="12"/>
            <rFont val="新細明體"/>
            <family val="1"/>
            <charset val="136"/>
          </rPr>
          <t>YU Billy Fatong (余法通):
18 Mar (Wed)
08:00 - 08:45 a.m.
Auditorium HQ</t>
        </r>
      </text>
    </comment>
    <comment ref="AE37" authorId="0" shapeId="0" xr:uid="{A9B4A5F4-88AE-4E86-A7BA-35FB148FE7A7}">
      <text>
        <r>
          <rPr>
            <sz val="12"/>
            <rFont val="新細明體"/>
            <family val="1"/>
            <charset val="136"/>
          </rPr>
          <t>YU Billy Fatong (余法通):
18 Mar (Wed)
08:00 - 08:45 a.m.
Auditorium HQ</t>
        </r>
      </text>
    </comment>
    <comment ref="AE38" authorId="0" shapeId="0" xr:uid="{8D4F9C20-B196-4D56-919E-46049DAB4956}">
      <text>
        <r>
          <rPr>
            <sz val="12"/>
            <rFont val="新細明體"/>
            <family val="1"/>
            <charset val="136"/>
          </rPr>
          <t>YU Billy Fatong (余法通):
18 Mar (Wed)
08:00 - 08:45 a.m.
Auditorium HQ</t>
        </r>
      </text>
    </comment>
    <comment ref="Q39" authorId="0" shapeId="0" xr:uid="{D8B52764-0484-4F27-834B-FB1C8103BF1A}">
      <text>
        <r>
          <rPr>
            <sz val="12"/>
            <rFont val="新細明體"/>
            <family val="1"/>
            <charset val="136"/>
          </rPr>
          <t>YU Billy Fatong (余法通):
13/03/2026</t>
        </r>
      </text>
    </comment>
    <comment ref="S39" authorId="1" shapeId="0" xr:uid="{9107F15A-5239-44A2-BD5D-6DB29E7B0345}">
      <text>
        <r>
          <rPr>
            <sz val="12"/>
            <rFont val="新細明體"/>
            <family val="1"/>
            <charset val="136"/>
          </rPr>
          <t>SIU YK Yung Kit (蕭勇潔):
updated on 09/02/2026</t>
        </r>
      </text>
    </comment>
    <comment ref="AD39" authorId="2" shapeId="0" xr:uid="{8517B073-AACE-4255-A61D-019B865B854E}">
      <text>
        <r>
          <rPr>
            <sz val="12"/>
            <rFont val="新細明體"/>
            <family val="1"/>
            <charset val="136"/>
          </rPr>
          <t>LING Jenny Yik Ting (凌奕婷):
08:45-16:45 
Room C4, 9/F Citylink, 9/F, Citylink Plaza</t>
        </r>
      </text>
    </comment>
    <comment ref="AE39" authorId="2" shapeId="0" xr:uid="{6FEB03A2-5450-4899-9724-8610A9278161}">
      <text>
        <r>
          <rPr>
            <sz val="12"/>
            <rFont val="新細明體"/>
            <family val="1"/>
            <charset val="136"/>
          </rPr>
          <t>LING Jenny Yik Ting (凌奕婷):
08:45-12:00 
Operations Training Centre MTR Kowloon Bay Depot</t>
        </r>
      </text>
    </comment>
    <comment ref="F41" authorId="0" shapeId="0" xr:uid="{FE1D3039-4C2A-4C41-9B9E-5EADB736BE2D}">
      <text>
        <r>
          <rPr>
            <sz val="12"/>
            <rFont val="新細明體"/>
            <family val="1"/>
            <charset val="136"/>
          </rPr>
          <t xml:space="preserve">YU Billy Fatong (余法通):
02/03/2026
</t>
        </r>
      </text>
    </comment>
    <comment ref="H41" authorId="0" shapeId="0" xr:uid="{5A3E1F45-E473-409C-BD2E-3E9ECA171049}">
      <text>
        <r>
          <rPr>
            <sz val="12"/>
            <rFont val="新細明體"/>
            <family val="1"/>
            <charset val="136"/>
          </rPr>
          <t>YU Billy Fatong (余法通):
D3</t>
        </r>
      </text>
    </comment>
    <comment ref="I41" authorId="0" shapeId="0" xr:uid="{737FCA63-0D40-4A44-A5A5-584ED12A9C55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J41" authorId="0" shapeId="0" xr:uid="{7C08CB53-C685-476A-B6CD-64A270320980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F42" authorId="1" shapeId="0" xr:uid="{17BAB210-B0DC-438C-8C08-20C37C8903BA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M42" authorId="1" shapeId="0" xr:uid="{C54A9E46-8965-42BF-BA4B-D2FD0685B983}">
      <text>
        <r>
          <rPr>
            <sz val="12"/>
            <rFont val="新細明體"/>
            <family val="1"/>
            <charset val="136"/>
          </rPr>
          <t>SIU YK Yung Kit (蕭勇潔):
D6 (04/4)</t>
        </r>
      </text>
    </comment>
    <comment ref="N42" authorId="1" shapeId="0" xr:uid="{D5E3AAE5-DADE-4D7D-A4EA-C49B320F1136}">
      <text>
        <r>
          <rPr>
            <sz val="12"/>
            <rFont val="新細明體"/>
            <family val="1"/>
            <charset val="136"/>
          </rPr>
          <t>SIU YK Yung Kit (蕭勇潔):
D7 (06/4)</t>
        </r>
      </text>
    </comment>
    <comment ref="J43" authorId="0" shapeId="0" xr:uid="{6AB9CF7E-CB39-41F2-B7B4-6BCB0A574847}">
      <text>
        <r>
          <rPr>
            <sz val="12"/>
            <rFont val="新細明體"/>
            <family val="1"/>
            <charset val="136"/>
          </rPr>
          <t>YU Billy Fatong (余法通):
D3</t>
        </r>
      </text>
    </comment>
    <comment ref="J44" authorId="0" shapeId="0" xr:uid="{F0727AAC-557F-4AE8-971A-C008C37ABF4F}">
      <text>
        <r>
          <rPr>
            <sz val="12"/>
            <rFont val="新細明體"/>
            <family val="1"/>
            <charset val="136"/>
          </rPr>
          <t>YU Billy Fatong (余法通):
06/03/2026</t>
        </r>
      </text>
    </comment>
    <comment ref="Q45" authorId="0" shapeId="0" xr:uid="{AFBF7FB2-F9E1-43B9-9A4A-10C75D87C5CA}">
      <text>
        <r>
          <rPr>
            <sz val="12"/>
            <rFont val="新細明體"/>
            <family val="1"/>
            <charset val="136"/>
          </rPr>
          <t>YU Billy Fatong (余法通):
13/03/2026</t>
        </r>
      </text>
    </comment>
    <comment ref="F47" authorId="0" shapeId="0" xr:uid="{171E0987-9071-4B53-8363-0DCF7150B7EF}">
      <text>
        <r>
          <rPr>
            <sz val="12"/>
            <rFont val="新細明體"/>
            <family val="1"/>
            <charset val="136"/>
          </rPr>
          <t>YU Billy Fatong (余法通):
D1</t>
        </r>
      </text>
    </comment>
    <comment ref="AH47" authorId="0" shapeId="0" xr:uid="{DED59892-DB62-469E-9898-0D3423B31B3A}">
      <text>
        <r>
          <rPr>
            <sz val="12"/>
            <rFont val="新細明體"/>
            <family val="1"/>
            <charset val="136"/>
          </rPr>
          <t>YU Billy Fatong (余法通):
06/03/2026</t>
        </r>
      </text>
    </comment>
    <comment ref="AE49" authorId="0" shapeId="0" xr:uid="{2E440FDA-2F3D-4B20-A5B5-3D402014594D}">
      <text>
        <r>
          <rPr>
            <sz val="12"/>
            <rFont val="新細明體"/>
            <family val="1"/>
            <charset val="136"/>
          </rPr>
          <t>YU Billy Fatong (余法通):
18 Mar (Wed)
08:00 - 08:45 a.m.
FTH</t>
        </r>
      </text>
    </comment>
    <comment ref="AH49" authorId="3" shapeId="0" xr:uid="{3893BCB3-036E-482C-B5F5-586524BC6814}">
      <text>
        <r>
          <rPr>
            <sz val="12"/>
            <rFont val="新細明體"/>
            <family val="1"/>
            <charset val="136"/>
          </rPr>
          <t xml:space="preserve">LEE CY Chi Yiu (李志堯):
09/03/2026
</t>
        </r>
      </text>
    </comment>
    <comment ref="AI49" authorId="3" shapeId="0" xr:uid="{8B6508B7-81C2-4462-A365-F4CE1F91FCCE}">
      <text>
        <r>
          <rPr>
            <sz val="12"/>
            <rFont val="新細明體"/>
            <family val="1"/>
            <charset val="136"/>
          </rPr>
          <t>LEE CY Chi Yiu (李志堯):
09/03/2026</t>
        </r>
      </text>
    </comment>
    <comment ref="AF55" authorId="0" shapeId="0" xr:uid="{7C4A9B39-3559-42B2-A4E7-CE74192E948E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SIU YK Yung Kit (蕭勇潔)</author>
    <author>LEE CY Chi Yiu (李志堯)</author>
    <author>YU Billy Fatong (余法通)</author>
    <author>LING Jenny Yik Ting (凌奕婷)</author>
  </authors>
  <commentList>
    <comment ref="G5" authorId="0" shapeId="0" xr:uid="{181D7119-A390-459D-9340-2BEADFF80533}">
      <text>
        <r>
          <rPr>
            <sz val="12"/>
            <rFont val="新細明體"/>
            <family val="1"/>
            <charset val="136"/>
          </rPr>
          <t>SIU YK Yung Kit (蕭勇潔):
D5
復活節 &amp; 清明節</t>
        </r>
      </text>
    </comment>
    <comment ref="H5" authorId="0" shapeId="0" xr:uid="{14770C6B-BA4D-41A4-9253-0F762079B644}">
      <text>
        <r>
          <rPr>
            <sz val="12"/>
            <rFont val="新細明體"/>
            <family val="1"/>
            <charset val="136"/>
          </rPr>
          <t>SIU YK Yung Kit (蕭勇潔):
D6</t>
        </r>
      </text>
    </comment>
    <comment ref="I5" authorId="0" shapeId="0" xr:uid="{E0473596-8F3C-4E09-91FA-64B9579892F7}">
      <text>
        <r>
          <rPr>
            <sz val="12"/>
            <rFont val="新細明體"/>
            <family val="1"/>
            <charset val="136"/>
          </rPr>
          <t>SIU YK Yung Kit (蕭勇潔):
清明節</t>
        </r>
      </text>
    </comment>
    <comment ref="J5" authorId="0" shapeId="0" xr:uid="{06CE74BB-B566-4D43-AAAD-8CA591D21ADB}">
      <text>
        <r>
          <rPr>
            <sz val="12"/>
            <rFont val="新細明體"/>
            <family val="1"/>
            <charset val="136"/>
          </rPr>
          <t>SIU YK Yung Kit (蕭勇潔):
D7</t>
        </r>
      </text>
    </comment>
    <comment ref="K5" authorId="0" shapeId="0" xr:uid="{C2C2FB1E-DCE7-4958-A5A1-236D600A728F}">
      <text>
        <r>
          <rPr>
            <sz val="12"/>
            <rFont val="新細明體"/>
            <family val="1"/>
            <charset val="136"/>
          </rPr>
          <t>SIU YK Yung Kit (蕭勇潔):
D8</t>
        </r>
      </text>
    </comment>
    <comment ref="F8" authorId="1" shapeId="0" xr:uid="{3B4CCBBB-27D0-4BA5-8B04-B6FCB853EC58}">
      <text>
        <r>
          <rPr>
            <sz val="12"/>
            <rFont val="新細明體"/>
            <family val="1"/>
            <charset val="136"/>
          </rPr>
          <t xml:space="preserve">LEE CY Chi Yiu (李志堯):
30/03/2026
</t>
        </r>
      </text>
    </comment>
    <comment ref="J10" authorId="0" shapeId="0" xr:uid="{7F4A34F0-3334-4D3C-AB40-E5E553C145E9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K10" authorId="0" shapeId="0" xr:uid="{FCABE7E6-1849-42C2-BDAD-EF02AF424621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AE10" authorId="1" shapeId="0" xr:uid="{A6650CBD-04C2-41A1-9798-8A025006AFBF}">
      <text>
        <r>
          <rPr>
            <sz val="12"/>
            <rFont val="新細明體"/>
            <family val="1"/>
            <charset val="136"/>
          </rPr>
          <t>LEE CY Chi Yiu (李志堯):
23/03/2026</t>
        </r>
      </text>
    </comment>
    <comment ref="AF10" authorId="1" shapeId="0" xr:uid="{D1BEE411-483B-465C-BCF6-42159C4EB89A}">
      <text>
        <r>
          <rPr>
            <sz val="12"/>
            <rFont val="新細明體"/>
            <family val="1"/>
            <charset val="136"/>
          </rPr>
          <t>LEE CY Chi Yiu (李志堯):
23/03/2026</t>
        </r>
      </text>
    </comment>
    <comment ref="AG10" authorId="1" shapeId="0" xr:uid="{F88C985C-E769-45D4-A6E9-D7D97E71C4FD}">
      <text>
        <r>
          <rPr>
            <sz val="12"/>
            <rFont val="新細明體"/>
            <family val="1"/>
            <charset val="136"/>
          </rPr>
          <t>LEE CY Chi Yiu (李志堯):
23/03/2026</t>
        </r>
      </text>
    </comment>
    <comment ref="AH10" authorId="1" shapeId="0" xr:uid="{BC401632-B1E1-4079-A974-F24D8F311024}">
      <text>
        <r>
          <rPr>
            <sz val="12"/>
            <rFont val="新細明體"/>
            <family val="1"/>
            <charset val="136"/>
          </rPr>
          <t>LEE CY Chi Yiu (李志堯):
23/03/2026</t>
        </r>
      </text>
    </comment>
    <comment ref="E11" authorId="2" shapeId="0" xr:uid="{1371810D-8666-41BD-BFB9-9E02E6501E57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G11" authorId="2" shapeId="0" xr:uid="{AA3FC325-9F38-4A88-9283-26E93DED80C1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X11" authorId="2" shapeId="0" xr:uid="{84BCEBDA-ED9C-490A-9C22-31B95965DBDC}">
      <text>
        <r>
          <rPr>
            <sz val="12"/>
            <rFont val="新細明體"/>
            <family val="1"/>
            <charset val="136"/>
          </rPr>
          <t xml:space="preserve">YU Billy Fatong (余法通):
D8 - 17/04/2026
</t>
        </r>
      </text>
    </comment>
    <comment ref="Q13" authorId="2" shapeId="0" xr:uid="{10FBE451-7243-4371-B8EA-4BDFC92E2904}">
      <text>
        <r>
          <rPr>
            <sz val="12"/>
            <rFont val="新細明體"/>
            <family val="1"/>
            <charset val="136"/>
          </rPr>
          <t>YU Billy Fatong (余法通):
AP manpower</t>
        </r>
      </text>
    </comment>
    <comment ref="R13" authorId="2" shapeId="0" xr:uid="{74BA94F9-0160-4D24-BE69-50B4AC964474}">
      <text>
        <r>
          <rPr>
            <sz val="12"/>
            <rFont val="新細明體"/>
            <family val="1"/>
            <charset val="136"/>
          </rPr>
          <t>YU Billy Fatong (余法通):
04/04/2026</t>
        </r>
      </text>
    </comment>
    <comment ref="U13" authorId="2" shapeId="0" xr:uid="{78BFD92E-5F65-42B3-AE7D-E8B609F1907A}">
      <text>
        <r>
          <rPr>
            <sz val="12"/>
            <rFont val="新細明體"/>
            <family val="1"/>
            <charset val="136"/>
          </rPr>
          <t>YU Billy Fatong (余法通):
19/04/2026</t>
        </r>
      </text>
    </comment>
    <comment ref="X13" authorId="2" shapeId="0" xr:uid="{33019914-4822-4284-8764-A42D87C904F4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Y13" authorId="2" shapeId="0" xr:uid="{12959D5A-CE90-403A-BCF1-04B5779CA56C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Z13" authorId="2" shapeId="0" xr:uid="{75C65B4B-48CA-418E-8CDD-288F177B4E93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AA13" authorId="2" shapeId="0" xr:uid="{49C9A541-F663-4024-AEC2-E6837102B5AC}">
      <text>
        <r>
          <rPr>
            <sz val="12"/>
            <rFont val="新細明體"/>
            <family val="1"/>
            <charset val="136"/>
          </rPr>
          <t xml:space="preserve">YU Billy Fatong (余法通):
D7
</t>
        </r>
      </text>
    </comment>
    <comment ref="AB13" authorId="2" shapeId="0" xr:uid="{355FE1A3-EB20-450F-9A76-A1EDAC8FC0B7}">
      <text>
        <r>
          <rPr>
            <sz val="12"/>
            <rFont val="新細明體"/>
            <family val="1"/>
            <charset val="136"/>
          </rPr>
          <t xml:space="preserve">YU Billy Fatong (余法通):
D8
</t>
        </r>
      </text>
    </comment>
    <comment ref="AC15" authorId="2" shapeId="0" xr:uid="{B8B18C16-2AFB-4A9E-98AC-B56FE6B5EC87}">
      <text>
        <r>
          <rPr>
            <sz val="12"/>
            <rFont val="新細明體"/>
            <family val="1"/>
            <charset val="136"/>
          </rPr>
          <t>YU Billy Fatong (余法通):
D8</t>
        </r>
      </text>
    </comment>
    <comment ref="Q17" authorId="2" shapeId="0" xr:uid="{BD2E8166-0457-443B-8003-41950894FC42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R17" authorId="2" shapeId="0" xr:uid="{14BC5CB2-9218-4B41-90BC-3498627C3E6F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S17" authorId="2" shapeId="0" xr:uid="{F6B1C8D1-E70B-4F93-80EC-08972EFE6B67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T17" authorId="2" shapeId="0" xr:uid="{5251A966-FA06-4F72-9306-83339BC6E4C6}">
      <text>
        <r>
          <rPr>
            <sz val="12"/>
            <rFont val="新細明體"/>
            <family val="1"/>
            <charset val="136"/>
          </rPr>
          <t>YU Billy Fatong (余法通):
update 04/03</t>
        </r>
      </text>
    </comment>
    <comment ref="AE17" authorId="3" shapeId="0" xr:uid="{C02BC48C-F6BC-42A6-9A81-D34403ED9FBD}">
      <text>
        <r>
          <rPr>
            <sz val="12"/>
            <rFont val="新細明體"/>
            <family val="1"/>
            <charset val="136"/>
          </rPr>
          <t>LING Jenny Yik Ting (凌奕婷):
08:45 16:45
Room C4, 9/F Citylink, 9/F, Citylink Plaza</t>
        </r>
      </text>
    </comment>
    <comment ref="AF17" authorId="3" shapeId="0" xr:uid="{058B9C5D-2718-4FF5-8497-F6E2BD63072D}">
      <text>
        <r>
          <rPr>
            <sz val="12"/>
            <rFont val="新細明體"/>
            <family val="1"/>
            <charset val="136"/>
          </rPr>
          <t>LING Jenny Yik Ting (凌奕婷):
08:45 16:45
Room C4, 9/F Citylink, 9/F, Citylink Plaza</t>
        </r>
      </text>
    </comment>
    <comment ref="Q19" authorId="0" shapeId="0" xr:uid="{68EDF290-D3F8-462F-9C79-EC1E3811F50F}">
      <text>
        <r>
          <rPr>
            <sz val="12"/>
            <rFont val="新細明體"/>
            <family val="1"/>
            <charset val="136"/>
          </rPr>
          <t>SIU YK Yung Kit (蕭勇潔):
D6 (04/4)</t>
        </r>
      </text>
    </comment>
    <comment ref="G20" authorId="0" shapeId="0" xr:uid="{50A52BFA-5DD4-4978-8F7D-629BE8E3CFC3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J20" authorId="0" shapeId="0" xr:uid="{1FD4EF14-6B1F-4B20-AF26-CB5C1283ACA9}">
      <text>
        <r>
          <rPr>
            <sz val="12"/>
            <rFont val="新細明體"/>
            <family val="1"/>
            <charset val="136"/>
          </rPr>
          <t>SIU YK Yung Kit (蕭勇潔):
Updated on 22/01</t>
        </r>
      </text>
    </comment>
    <comment ref="G21" authorId="0" shapeId="0" xr:uid="{102C1A06-F076-428F-B55E-1B81D0CEDBB9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J21" authorId="0" shapeId="0" xr:uid="{D88ACDE3-D91D-4062-AE8F-AE5C128A5D7D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K21" authorId="0" shapeId="0" xr:uid="{85FD2890-36B8-4C8D-BA0A-EA993C389096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L21" authorId="0" shapeId="0" xr:uid="{0910742E-BE61-43D1-8E16-A610C4651090}">
      <text>
        <r>
          <rPr>
            <sz val="12"/>
            <rFont val="新細明體"/>
            <family val="1"/>
            <charset val="136"/>
          </rPr>
          <t>SIU YK Yung Kit (蕭勇潔):
D7 
(06/4)</t>
        </r>
      </text>
    </comment>
    <comment ref="M21" authorId="0" shapeId="0" xr:uid="{26A39179-9ECD-4CB0-9F74-54BDCC7A9DC7}">
      <text>
        <r>
          <rPr>
            <sz val="12"/>
            <rFont val="新細明體"/>
            <family val="1"/>
            <charset val="136"/>
          </rPr>
          <t>SIU YK Yung Kit (蕭勇潔):
D7 (06/4)</t>
        </r>
      </text>
    </comment>
    <comment ref="N21" authorId="0" shapeId="0" xr:uid="{65FBF6F1-60AC-42C6-82EB-435E192D717D}">
      <text>
        <r>
          <rPr>
            <sz val="12"/>
            <rFont val="新細明體"/>
            <family val="1"/>
            <charset val="136"/>
          </rPr>
          <t>SIU YK Yung Kit (蕭勇潔):
D8 (07/4)</t>
        </r>
      </text>
    </comment>
    <comment ref="Q21" authorId="2" shapeId="0" xr:uid="{E8E05EC5-2005-4029-8285-9128906A1096}">
      <text>
        <r>
          <rPr>
            <sz val="12"/>
            <rFont val="新細明體"/>
            <family val="1"/>
            <charset val="136"/>
          </rPr>
          <t xml:space="preserve">YU Billy Fatong (余法通):
13/04/2026
</t>
        </r>
      </text>
    </comment>
    <comment ref="S21" authorId="3" shapeId="0" xr:uid="{561EA480-6082-461A-A4D3-A73321E76799}">
      <text>
        <r>
          <rPr>
            <sz val="12"/>
            <rFont val="新細明體"/>
            <family val="1"/>
            <charset val="136"/>
          </rPr>
          <t xml:space="preserve">LING Jenny Yik Ting (凌奕婷):
09:00 – 17:00
Room 801, 8/F Management Training &amp; Development Centre, MTR HQs
</t>
        </r>
      </text>
    </comment>
    <comment ref="U21" authorId="2" shapeId="0" xr:uid="{09F53F9D-B9DA-40A6-A78C-17EED857E2E6}">
      <text>
        <r>
          <rPr>
            <sz val="12"/>
            <rFont val="新細明體"/>
            <family val="1"/>
            <charset val="136"/>
          </rPr>
          <t>YU Billy Fatong (余法通):
Confirmed
MT&amp;D Centre, 8/F HQs  
Room 801, 8/F HQs 
09:00 – 17:00</t>
        </r>
      </text>
    </comment>
    <comment ref="AB21" authorId="2" shapeId="0" xr:uid="{23987BEF-58EB-45F7-86CB-D8BA34DFDB98}">
      <text>
        <r>
          <rPr>
            <sz val="12"/>
            <rFont val="新細明體"/>
            <family val="1"/>
            <charset val="136"/>
          </rPr>
          <t>LING Jenny Yik Ting (凌奕婷):
09:00 – 17:00
Room 201, 2/F Fo Tan Railway House</t>
        </r>
      </text>
    </comment>
    <comment ref="W22" authorId="0" shapeId="0" xr:uid="{8B4CE386-4C81-4453-842C-92CB96EB7A01}">
      <text>
        <r>
          <rPr>
            <sz val="12"/>
            <rFont val="新細明體"/>
            <family val="1"/>
            <charset val="136"/>
          </rPr>
          <t>SIU YK Yung Kit (蕭勇潔):
D8 (07/4)</t>
        </r>
      </text>
    </comment>
    <comment ref="X22" authorId="0" shapeId="0" xr:uid="{8497055C-E86B-43F8-AB50-33FDEC3EB180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Y22" authorId="3" shapeId="0" xr:uid="{8FDA60E3-B8F0-4BDB-BE20-9328AA751152}">
      <text>
        <r>
          <rPr>
            <sz val="12"/>
            <rFont val="新細明體"/>
            <family val="1"/>
            <charset val="136"/>
          </rPr>
          <t>LING Jenny Yik Ting (凌奕婷):
13:30 – 17:00
Room 801, 8/F Management Training &amp; Development Centre, HQs</t>
        </r>
      </text>
    </comment>
    <comment ref="AD22" authorId="0" shapeId="0" xr:uid="{5124F142-CB5B-43FB-8AA5-04F8B3C10A7B}">
      <text>
        <r>
          <rPr>
            <sz val="12"/>
            <rFont val="新細明體"/>
            <family val="1"/>
            <charset val="136"/>
          </rPr>
          <t>SIU YK Yung Kit (蕭勇潔):
RD on 09/5/2026</t>
        </r>
      </text>
    </comment>
    <comment ref="AF22" authorId="2" shapeId="0" xr:uid="{8E095876-996E-454F-A840-D68E9A1A3914}">
      <text>
        <r>
          <rPr>
            <sz val="12"/>
            <rFont val="新細明體"/>
            <family val="1"/>
            <charset val="136"/>
          </rPr>
          <t xml:space="preserve">YU Billy Fatong (余法通):
confirmed 
Room 802, 8/F HQs 
MT&amp;D Centre, 8/F HQs  </t>
        </r>
      </text>
    </comment>
    <comment ref="J23" authorId="2" shapeId="0" xr:uid="{395F0E92-C4D8-420A-A6C5-3F4C3283A1A0}">
      <text>
        <r>
          <rPr>
            <sz val="12"/>
            <rFont val="新細明體"/>
            <family val="1"/>
            <charset val="136"/>
          </rPr>
          <t>YU Billy Fatong (余法通):
D2</t>
        </r>
      </text>
    </comment>
    <comment ref="K23" authorId="2" shapeId="0" xr:uid="{511D741E-79FA-45A1-AA3D-8D145C052AA4}">
      <text>
        <r>
          <rPr>
            <sz val="12"/>
            <rFont val="新細明體"/>
            <family val="1"/>
            <charset val="136"/>
          </rPr>
          <t>YU Billy Fatong (余法通):
D3</t>
        </r>
      </text>
    </comment>
    <comment ref="L23" authorId="2" shapeId="0" xr:uid="{9BE1D0B4-63BA-4C4C-93B8-108A9ABEFC99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M23" authorId="2" shapeId="0" xr:uid="{BB6180B4-5E64-44C4-9276-75ED84A41464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N23" authorId="2" shapeId="0" xr:uid="{9B5A2F44-955C-4673-984A-766F7184ED64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J24" authorId="2" shapeId="0" xr:uid="{E53F71DC-8284-4DDC-848A-59A791FBD0A7}">
      <text>
        <r>
          <rPr>
            <sz val="12"/>
            <rFont val="新細明體"/>
            <family val="1"/>
            <charset val="136"/>
          </rPr>
          <t>YU Billy Fatong (余法通):
D3</t>
        </r>
      </text>
    </comment>
    <comment ref="K24" authorId="2" shapeId="0" xr:uid="{8DC6A759-9A25-453F-9F09-007C12CD2EF8}">
      <text>
        <r>
          <rPr>
            <sz val="12"/>
            <rFont val="新細明體"/>
            <family val="1"/>
            <charset val="136"/>
          </rPr>
          <t xml:space="preserve">YU Billy Fatong (余法通):
D4
</t>
        </r>
      </text>
    </comment>
    <comment ref="R26" authorId="3" shapeId="0" xr:uid="{849C1541-7F24-4A39-BE34-71F9671E952C}">
      <text>
        <r>
          <rPr>
            <sz val="12"/>
            <rFont val="新細明體"/>
            <family val="1"/>
            <charset val="136"/>
          </rPr>
          <t>LING Jenny Yik Ting (凌奕婷):
08:45-16:45
Room C9, 9/F Citylink, 9/F, Citylink Plaza</t>
        </r>
      </text>
    </comment>
    <comment ref="S26" authorId="3" shapeId="0" xr:uid="{2BEADE4E-38AF-4736-B0D1-8F756244BE9C}">
      <text>
        <r>
          <rPr>
            <sz val="12"/>
            <rFont val="新細明體"/>
            <family val="1"/>
            <charset val="136"/>
          </rPr>
          <t>LING Jenny Yik Ting (凌奕婷):
08:45-16:45
Room C9, 9/F Citylink, 9/F, Citylink Plaza</t>
        </r>
      </text>
    </comment>
    <comment ref="T26" authorId="2" shapeId="0" xr:uid="{5A8A346D-943A-41F3-8600-2156C8DCA408}">
      <text>
        <r>
          <rPr>
            <sz val="12"/>
            <rFont val="新細明體"/>
            <family val="1"/>
            <charset val="136"/>
          </rPr>
          <t>YU Billy Fatong (余法通):
16/04/2026</t>
        </r>
      </text>
    </comment>
    <comment ref="T27" authorId="2" shapeId="0" xr:uid="{CE829579-5E6E-44F3-8B2F-8F63298C9387}">
      <text>
        <r>
          <rPr>
            <sz val="12"/>
            <rFont val="新細明體"/>
            <family val="1"/>
            <charset val="136"/>
          </rPr>
          <t xml:space="preserve">YU Billy Fatong (余法通):
Confirmed
09:00 – 17:00
MT&amp;D Centre, 8/F HQs  
Room 806, 8/F HQs  </t>
        </r>
      </text>
    </comment>
    <comment ref="U27" authorId="0" shapeId="0" xr:uid="{3B40699D-43F8-4E61-B638-9AB27AA8E8B1}">
      <text>
        <r>
          <rPr>
            <sz val="12"/>
            <rFont val="新細明體"/>
            <family val="1"/>
            <charset val="136"/>
          </rPr>
          <t>SIU YK Yung Kit (蕭勇潔):
D4 (19/2)</t>
        </r>
      </text>
    </comment>
    <comment ref="G28" authorId="0" shapeId="0" xr:uid="{5A32F8F9-2609-4A30-A265-8CAEE922C73E}">
      <text>
        <r>
          <rPr>
            <sz val="12"/>
            <rFont val="新細明體"/>
            <family val="1"/>
            <charset val="136"/>
          </rPr>
          <t>SIU YK Yung Kit (蕭勇潔):
Updated on 02/3/2026</t>
        </r>
      </text>
    </comment>
    <comment ref="I28" authorId="0" shapeId="0" xr:uid="{212D4D5D-7D33-410C-A4BC-3EA168902A4C}">
      <text>
        <r>
          <rPr>
            <sz val="12"/>
            <rFont val="新細明體"/>
            <family val="1"/>
            <charset val="136"/>
          </rPr>
          <t>SIU YK Yung Kit (蕭勇潔):
Updated on 02/3/2026</t>
        </r>
      </text>
    </comment>
    <comment ref="L28" authorId="0" shapeId="0" xr:uid="{908FD7AC-87DC-418F-B620-CD1F3D7323A0}">
      <text>
        <r>
          <rPr>
            <sz val="12"/>
            <rFont val="新細明體"/>
            <family val="1"/>
            <charset val="136"/>
          </rPr>
          <t>SIU YK Yung Kit (蕭勇潔):
D8 (07/4)</t>
        </r>
      </text>
    </comment>
    <comment ref="M28" authorId="0" shapeId="0" xr:uid="{6F2BACE1-454D-41C5-BD3F-7B66E3E9E592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N28" authorId="0" shapeId="0" xr:uid="{8891BDB3-4B70-40AD-964D-407A0F0EA6BA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R28" authorId="2" shapeId="0" xr:uid="{407C9ED8-6693-4D23-8F94-FB28360F12AA}">
      <text>
        <r>
          <rPr>
            <sz val="12"/>
            <rFont val="新細明體"/>
            <family val="1"/>
            <charset val="136"/>
          </rPr>
          <t xml:space="preserve">YU Billy Fatong (余法通):
Confirmed 1400-1700 
Virtual Class </t>
        </r>
      </text>
    </comment>
    <comment ref="R29" authorId="3" shapeId="0" xr:uid="{9642D46D-07B5-4D21-B349-7625C45C33DB}">
      <text>
        <r>
          <rPr>
            <sz val="12"/>
            <rFont val="新細明體"/>
            <family val="1"/>
            <charset val="136"/>
          </rPr>
          <t xml:space="preserve">LING Jenny Yik Ting (凌奕婷):
09:00 – 17:00
Room 802, 8/F Management Training &amp; Development Centre, MTR </t>
        </r>
      </text>
    </comment>
    <comment ref="S29" authorId="3" shapeId="0" xr:uid="{D16665A4-1501-4B78-BEF9-C5A440A2D94D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T29" authorId="3" shapeId="0" xr:uid="{1F66C683-FDAC-477B-A0EE-F5065B5A04CC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U29" authorId="3" shapeId="0" xr:uid="{4248194B-FA13-4E0A-B21A-10881166257B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Q30" authorId="0" shapeId="0" xr:uid="{4ED298A7-1A6B-4CF7-917C-BACCE8A3E17C}">
      <text>
        <r>
          <rPr>
            <sz val="12"/>
            <rFont val="新細明體"/>
            <family val="1"/>
            <charset val="136"/>
          </rPr>
          <t>SIU YK Yung Kit (蕭勇潔):
D7 
(06/4)</t>
        </r>
      </text>
    </comment>
    <comment ref="R30" authorId="0" shapeId="0" xr:uid="{A334F80F-D429-44B6-82B6-65136F2BF770}">
      <text>
        <r>
          <rPr>
            <sz val="12"/>
            <rFont val="新細明體"/>
            <family val="1"/>
            <charset val="136"/>
          </rPr>
          <t>SIU YK Yung Kit (蕭勇潔):
D8 (07/4)</t>
        </r>
      </text>
    </comment>
    <comment ref="S30" authorId="0" shapeId="0" xr:uid="{8EB2BA7D-E4CD-4DDF-ADBA-E53971C12E1B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T30" authorId="0" shapeId="0" xr:uid="{3B24A1CB-47BB-480E-AB4D-237A98534515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U30" authorId="0" shapeId="0" xr:uid="{AEDADE27-318E-48EF-9B63-22CCDB1A5327}">
      <text>
        <r>
          <rPr>
            <sz val="12"/>
            <rFont val="新細明體"/>
            <family val="1"/>
            <charset val="136"/>
          </rPr>
          <t>SIU YK Yung Kit (蕭勇潔):
Updated on 02/3/2026</t>
        </r>
      </text>
    </comment>
    <comment ref="I31" authorId="0" shapeId="0" xr:uid="{C81DA1C1-5624-4C2B-944C-7DC2946F40B0}">
      <text>
        <r>
          <rPr>
            <sz val="12"/>
            <rFont val="新細明體"/>
            <family val="1"/>
            <charset val="136"/>
          </rPr>
          <t>SIU YK Yung Kit (蕭勇潔):
D5 (03/47)</t>
        </r>
      </text>
    </comment>
    <comment ref="J31" authorId="0" shapeId="0" xr:uid="{9D93BE4C-68F8-405C-B57B-17FAA36E52C1}">
      <text>
        <r>
          <rPr>
            <sz val="12"/>
            <rFont val="新細明體"/>
            <family val="1"/>
            <charset val="136"/>
          </rPr>
          <t>SIU YK Yung Kit (蕭勇潔):
D6 (04/4)</t>
        </r>
      </text>
    </comment>
    <comment ref="R32" authorId="2" shapeId="0" xr:uid="{6C55AFBF-DC2A-4D5B-BB6A-D587A39C0136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S32" authorId="3" shapeId="0" xr:uid="{E084DDF1-1653-489F-BDCE-62D87556CD0D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T32" authorId="3" shapeId="0" xr:uid="{DEA1A7C1-8B96-40D7-8842-E40621187603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U32" authorId="3" shapeId="0" xr:uid="{2C86B5C6-D17A-4451-ACD1-1DDCF4C3C548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U34" authorId="2" shapeId="0" xr:uid="{AB087D28-D1AC-437C-80F4-E7BA953BFAB2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Q35" authorId="0" shapeId="0" xr:uid="{9D671087-4159-4DD7-98F0-9DA4DBF4AD59}">
      <text>
        <r>
          <rPr>
            <sz val="12"/>
            <rFont val="新細明體"/>
            <family val="1"/>
            <charset val="136"/>
          </rPr>
          <t>SIU YK Yung Kit (蕭勇潔):
Updated on 17/3/26</t>
        </r>
      </text>
    </comment>
    <comment ref="Y36" authorId="3" shapeId="0" xr:uid="{B436BB70-926F-4299-8826-58EE07F806A3}">
      <text>
        <r>
          <rPr>
            <sz val="12"/>
            <rFont val="新細明體"/>
            <family val="1"/>
            <charset val="136"/>
          </rPr>
          <t>LING Jenny Yik Ting (凌奕婷):
13:00-16:30
EMU130, 1/F OTC-PHD, Operations Training Centre 1/F, Main Building, MTR Pat Heung Depot</t>
        </r>
      </text>
    </comment>
    <comment ref="X37" authorId="2" shapeId="0" xr:uid="{AB736E28-D05D-4875-8FDD-83D464831BA9}">
      <text>
        <r>
          <rPr>
            <sz val="12"/>
            <rFont val="新細明體"/>
            <family val="1"/>
            <charset val="136"/>
          </rPr>
          <t xml:space="preserve">YU Billy Fatong (余法通):
D4
</t>
        </r>
      </text>
    </comment>
    <comment ref="AA37" authorId="2" shapeId="0" xr:uid="{94DDD449-E828-4B11-A02A-B8E97C8CB917}">
      <text>
        <r>
          <rPr>
            <sz val="12"/>
            <rFont val="新細明體"/>
            <family val="1"/>
            <charset val="136"/>
          </rPr>
          <t>YU Billy Fatong (余法通):
Confirmed</t>
        </r>
      </text>
    </comment>
    <comment ref="X38" authorId="2" shapeId="0" xr:uid="{366E9CC2-7D27-4563-BEE9-211FF4A08C6D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Y38" authorId="2" shapeId="0" xr:uid="{1CF48038-3785-4C60-9BEE-1577252F9266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Z38" authorId="3" shapeId="0" xr:uid="{C124CCAA-E1EB-4133-953D-00636DC5D36F}">
      <text>
        <r>
          <rPr>
            <sz val="12"/>
            <rFont val="新細明體"/>
            <family val="1"/>
            <charset val="136"/>
          </rPr>
          <t>LING Jenny Yik Ting (凌奕婷):
Confirmed on 2/4
14:30-17:00</t>
        </r>
      </text>
    </comment>
    <comment ref="AA38" authorId="2" shapeId="0" xr:uid="{FD9453F1-CDC3-4975-B1D4-94D1410501AF}">
      <text>
        <r>
          <rPr>
            <sz val="12"/>
            <rFont val="新細明體"/>
            <family val="1"/>
            <charset val="136"/>
          </rPr>
          <t>YU Billy Fatong (余法通):
Confirmed</t>
        </r>
      </text>
    </comment>
    <comment ref="AB38" authorId="2" shapeId="0" xr:uid="{06DA1B6F-33A3-42A3-93C9-14262C773650}">
      <text>
        <r>
          <rPr>
            <sz val="12"/>
            <rFont val="新細明體"/>
            <family val="1"/>
            <charset val="136"/>
          </rPr>
          <t>YU Billy Fatong (余法通):
Confirmed</t>
        </r>
      </text>
    </comment>
    <comment ref="T39" authorId="2" shapeId="0" xr:uid="{070A1B98-0B25-43CD-B3E2-A0A482754C11}">
      <text>
        <r>
          <rPr>
            <sz val="12"/>
            <rFont val="新細明體"/>
            <family val="1"/>
            <charset val="136"/>
          </rPr>
          <t>YU Billy Fatong (余法通):
D2</t>
        </r>
      </text>
    </comment>
    <comment ref="U39" authorId="2" shapeId="0" xr:uid="{07D1A39A-D228-4244-8FE3-A1E5FA7D7237}">
      <text>
        <r>
          <rPr>
            <sz val="12"/>
            <rFont val="新細明體"/>
            <family val="1"/>
            <charset val="136"/>
          </rPr>
          <t>YU Billy Fatong (余法通):
D3</t>
        </r>
      </text>
    </comment>
    <comment ref="X39" authorId="2" shapeId="0" xr:uid="{92E10BE2-1037-42BD-84FC-EDF3E206EDAC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Z39" authorId="3" shapeId="0" xr:uid="{C9C3D44E-44D5-4438-9E76-4572F948DAD0}">
      <text>
        <r>
          <rPr>
            <sz val="12"/>
            <rFont val="新細明體"/>
            <family val="1"/>
            <charset val="136"/>
          </rPr>
          <t>LING Jenny Yik Ting (凌奕婷):
Confirmed on 2/4
14:30-17:00</t>
        </r>
      </text>
    </comment>
    <comment ref="AA39" authorId="2" shapeId="0" xr:uid="{B55E8FA1-9816-4151-A78E-AE64AE31D3B1}">
      <text>
        <r>
          <rPr>
            <sz val="12"/>
            <rFont val="新細明體"/>
            <family val="1"/>
            <charset val="136"/>
          </rPr>
          <t>YU Billy Fatong (余法通):
Confirmed</t>
        </r>
      </text>
    </comment>
    <comment ref="AB39" authorId="2" shapeId="0" xr:uid="{35E74BED-9C38-4F6E-8C01-A7D62CF5C9E1}">
      <text>
        <r>
          <rPr>
            <sz val="12"/>
            <rFont val="新細明體"/>
            <family val="1"/>
            <charset val="136"/>
          </rPr>
          <t>YU Billy Fatong (余法通):
Confirmed</t>
        </r>
      </text>
    </comment>
    <comment ref="AE41" authorId="2" shapeId="0" xr:uid="{C1D902FC-E0B2-41A1-A659-1288083A629D}">
      <text>
        <r>
          <rPr>
            <sz val="12"/>
            <rFont val="新細明體"/>
            <family val="1"/>
            <charset val="136"/>
          </rPr>
          <t>YU Billy Fatong (余法通):
14/03/2026</t>
        </r>
      </text>
    </comment>
    <comment ref="AB42" authorId="3" shapeId="0" xr:uid="{B7FA801C-91D9-4E8D-AF07-316762B9DEBE}">
      <text>
        <r>
          <rPr>
            <sz val="12"/>
            <rFont val="新細明體"/>
            <family val="1"/>
            <charset val="136"/>
          </rPr>
          <t>LING Jenny Yik Ting (凌奕婷):
09:00 – 17:00
Room 201, 2/F Fo Tan Railway House</t>
        </r>
      </text>
    </comment>
    <comment ref="AE42" authorId="3" shapeId="0" xr:uid="{CB03257D-46DE-43B7-ADD2-A62B9C4937A2}">
      <text>
        <r>
          <rPr>
            <sz val="12"/>
            <rFont val="新細明體"/>
            <family val="1"/>
            <charset val="136"/>
          </rPr>
          <t>LING Jenny Yik Ting (凌奕婷):
09:00 12:30 
Room 801, 8/F HQs, MT&amp;D Centre, 8/F HQs</t>
        </r>
      </text>
    </comment>
    <comment ref="AF42" authorId="2" shapeId="0" xr:uid="{2DB552BA-1C74-4B86-874F-BC767379A4BD}">
      <text>
        <r>
          <rPr>
            <sz val="12"/>
            <rFont val="新細明體"/>
            <family val="1"/>
            <charset val="136"/>
          </rPr>
          <t xml:space="preserve">YU Billy Fatong (余法通):
Confirmed 
MT&amp;D Centre, 8/F HQs 
Room802 8/F HQs </t>
        </r>
      </text>
    </comment>
    <comment ref="G43" authorId="0" shapeId="0" xr:uid="{072BC71C-1791-4E0D-A60D-86411C4EB12C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J43" authorId="2" shapeId="0" xr:uid="{BB4A2958-30E4-47EB-9937-11B5F9EA6ADD}">
      <text>
        <r>
          <rPr>
            <sz val="12"/>
            <rFont val="新細明體"/>
            <family val="1"/>
            <charset val="136"/>
          </rPr>
          <t>YU Billy Fatong (余法通):
D4</t>
        </r>
      </text>
    </comment>
    <comment ref="K43" authorId="2" shapeId="0" xr:uid="{4D0475D1-36E4-4CA6-96A6-508D44B440CA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AE43" authorId="3" shapeId="0" xr:uid="{43EB5BEE-9945-40A4-B285-5C59A65657DD}">
      <text>
        <r>
          <rPr>
            <sz val="12"/>
            <rFont val="新細明體"/>
            <family val="1"/>
            <charset val="136"/>
          </rPr>
          <t>LING Jenny Yik Ting (凌奕婷):
09:00 12:30 
Room 801, 8/F HQs, MT&amp;D Centre, 8/F HQs</t>
        </r>
      </text>
    </comment>
    <comment ref="J44" authorId="2" shapeId="0" xr:uid="{CA546377-6E2C-4AC0-8D08-E89E245448C8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K44" authorId="2" shapeId="0" xr:uid="{5755D1BB-09A7-4B59-A6F9-FDBFD2824C20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L44" authorId="2" shapeId="0" xr:uid="{B56796E4-D025-4E7F-96D3-17BA40832331}">
      <text>
        <r>
          <rPr>
            <sz val="12"/>
            <rFont val="新細明體"/>
            <family val="1"/>
            <charset val="136"/>
          </rPr>
          <t>YU Billy Fatong (余法通):
12/03/2026</t>
        </r>
      </text>
    </comment>
    <comment ref="AE44" authorId="3" shapeId="0" xr:uid="{FE08566D-2528-41F6-9720-E72B51572963}">
      <text>
        <r>
          <rPr>
            <sz val="12"/>
            <rFont val="新細明體"/>
            <family val="1"/>
            <charset val="136"/>
          </rPr>
          <t>LING Jenny Yik Ting (凌奕婷):
13:30 – 17:00
Room 806, 8/F Management Training &amp; Development Centre, MTR HQs</t>
        </r>
      </text>
    </comment>
    <comment ref="AH44" authorId="2" shapeId="0" xr:uid="{3FF6FC88-29AD-4CE2-A987-E02AC34C8FF3}">
      <text>
        <r>
          <rPr>
            <sz val="12"/>
            <rFont val="新細明體"/>
            <family val="1"/>
            <charset val="136"/>
          </rPr>
          <t>YU Billy Fatong (余法通):
30/04/2026</t>
        </r>
      </text>
    </comment>
    <comment ref="G45" authorId="2" shapeId="0" xr:uid="{B36ECCED-A552-4E1E-BDF6-71A941E547EE}">
      <text>
        <r>
          <rPr>
            <sz val="12"/>
            <rFont val="新細明體"/>
            <family val="1"/>
            <charset val="136"/>
          </rPr>
          <t>YU Billy Fatong (余法通):
25/03</t>
        </r>
      </text>
    </comment>
    <comment ref="AB45" authorId="0" shapeId="0" xr:uid="{79BE21A1-3E78-4AF0-A21A-66FE33BB61C0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AE45" authorId="3" shapeId="0" xr:uid="{49483C80-B6B3-4F70-92C3-32EC7A0ECBA6}">
      <text>
        <r>
          <rPr>
            <sz val="12"/>
            <rFont val="新細明體"/>
            <family val="1"/>
            <charset val="136"/>
          </rPr>
          <t>LING Jenny Yik Ting (凌奕婷):
13:30 – 17:00
Room 806, 8/F Management Training &amp; Development Centre, MTR HQs</t>
        </r>
      </text>
    </comment>
    <comment ref="G46" authorId="2" shapeId="0" xr:uid="{74C5FE70-E3F1-4F3B-9A8E-D16E4CB366AB}">
      <text>
        <r>
          <rPr>
            <sz val="12"/>
            <rFont val="新細明體"/>
            <family val="1"/>
            <charset val="136"/>
          </rPr>
          <t xml:space="preserve">YU Billy Fatong (余法通):
D3
</t>
        </r>
      </text>
    </comment>
    <comment ref="AE47" authorId="2" shapeId="0" xr:uid="{9ED721AD-E142-4DB9-895D-5138D5D18987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AG47" authorId="2" shapeId="0" xr:uid="{EE73BF39-97BD-42A7-A39E-F4D60D6D953A}">
      <text>
        <r>
          <rPr>
            <sz val="12"/>
            <rFont val="新細明體"/>
            <family val="1"/>
            <charset val="136"/>
          </rPr>
          <t xml:space="preserve">YU Billy Fatong (余法通):
OTC-TAD, Rm 4
ODA meeting. 
1400-1700
</t>
        </r>
      </text>
    </comment>
    <comment ref="E49" authorId="1" shapeId="0" xr:uid="{FF80914C-BA53-49D2-9C04-B715C322AA0B}">
      <text>
        <r>
          <rPr>
            <sz val="12"/>
            <rFont val="新細明體"/>
            <family val="1"/>
            <charset val="136"/>
          </rPr>
          <t>LEE CY Chi Yiu (李志堯):
09/03/2026</t>
        </r>
      </text>
    </comment>
    <comment ref="F49" authorId="1" shapeId="0" xr:uid="{000B8095-CDDD-4F5F-BE5A-2966B1A2E6C0}">
      <text>
        <r>
          <rPr>
            <sz val="12"/>
            <rFont val="新細明體"/>
            <family val="1"/>
            <charset val="136"/>
          </rPr>
          <t>LEE CY Chi Yiu (李志堯):
09/03/2026</t>
        </r>
      </text>
    </comment>
    <comment ref="G50" authorId="2" shapeId="0" xr:uid="{E4376D9F-0069-43C5-B8C5-078684F0B520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SIU YK Yung Kit (蕭勇潔)</author>
    <author>YU Billy Fatong (余法通)</author>
    <author>LING Jenny Yik Ting (凌奕婷)</author>
    <author>LEE CY Chi Yiu (李志堯)</author>
  </authors>
  <commentList>
    <comment ref="E5" authorId="0" shapeId="0" xr:uid="{1F7C9FB5-59B6-4E47-B2E7-443C2A756687}">
      <text>
        <r>
          <rPr>
            <sz val="12"/>
            <rFont val="新細明體"/>
            <family val="1"/>
            <charset val="136"/>
          </rPr>
          <t>SIU YK Yung Kit (蕭勇潔):
勞動節</t>
        </r>
      </text>
    </comment>
    <comment ref="Q5" authorId="1" shapeId="0" xr:uid="{30079453-FF6C-433B-A58A-E4E5FC76E307}">
      <text>
        <r>
          <rPr>
            <sz val="12"/>
            <rFont val="新細明體"/>
            <family val="1"/>
            <charset val="136"/>
          </rPr>
          <t>YU Billy Fatong (余法通):
C9456 TL452 (N1 of N4)</t>
        </r>
      </text>
    </comment>
    <comment ref="AC5" authorId="0" shapeId="0" xr:uid="{2795183C-ADB1-4CAE-8C3D-B3634A385CDF}">
      <text>
        <r>
          <rPr>
            <sz val="12"/>
            <rFont val="新細明體"/>
            <family val="1"/>
            <charset val="136"/>
          </rPr>
          <t>SIU YK Yung Kit (蕭勇潔):
佛誕</t>
        </r>
      </text>
    </comment>
    <comment ref="E10" authorId="0" shapeId="0" xr:uid="{040A5478-45E9-4336-85BE-6AD209948D9C}">
      <text>
        <r>
          <rPr>
            <sz val="12"/>
            <rFont val="新細明體"/>
            <family val="1"/>
            <charset val="136"/>
          </rPr>
          <t>SIU YK Yung Kit (蕭勇潔):
D6 (04/4)</t>
        </r>
      </text>
    </comment>
    <comment ref="AC10" authorId="0" shapeId="0" xr:uid="{F6DC5752-B5F1-47CB-B96B-CC8F54483613}">
      <text>
        <r>
          <rPr>
            <sz val="12"/>
            <rFont val="新細明體"/>
            <family val="1"/>
            <charset val="136"/>
          </rPr>
          <t>SIU YK Yung Kit (蕭勇潔):
D7 (06/4)</t>
        </r>
      </text>
    </comment>
    <comment ref="F11" authorId="1" shapeId="0" xr:uid="{E2B2E168-2AC3-4066-800B-80A002BA16EA}">
      <text>
        <r>
          <rPr>
            <sz val="12"/>
            <rFont val="新細明體"/>
            <family val="1"/>
            <charset val="136"/>
          </rPr>
          <t>YU Billy Fatong (余法通):
03/5 RD</t>
        </r>
      </text>
    </comment>
    <comment ref="T11" authorId="1" shapeId="0" xr:uid="{0A617AAC-8A76-4E63-B9EE-2FC52189F9A3}">
      <text>
        <r>
          <rPr>
            <sz val="12"/>
            <rFont val="新細明體"/>
            <family val="1"/>
            <charset val="136"/>
          </rPr>
          <t>YU Billy Fatong (余法通):
03/5 RD</t>
        </r>
      </text>
    </comment>
    <comment ref="F13" authorId="1" shapeId="0" xr:uid="{D84FFD00-325E-4C9D-A855-3D5381D8530D}">
      <text>
        <r>
          <rPr>
            <sz val="12"/>
            <rFont val="新細明體"/>
            <family val="1"/>
            <charset val="136"/>
          </rPr>
          <t xml:space="preserve">YU Billy Fatong (余法通):
TOV
</t>
        </r>
      </text>
    </comment>
    <comment ref="H13" authorId="1" shapeId="0" xr:uid="{BF07EA87-2A1C-478D-A037-33A5F1925846}">
      <text>
        <r>
          <rPr>
            <sz val="12"/>
            <rFont val="新細明體"/>
            <family val="1"/>
            <charset val="136"/>
          </rPr>
          <t xml:space="preserve">YU Billy Fatong (余法通):
02/05/2026
</t>
        </r>
      </text>
    </comment>
    <comment ref="S13" authorId="1" shapeId="0" xr:uid="{E60C5E04-311D-4F33-ABB9-B60E53F661E6}">
      <text>
        <r>
          <rPr>
            <sz val="12"/>
            <rFont val="新細明體"/>
            <family val="1"/>
            <charset val="136"/>
          </rPr>
          <t>YU Billy Fatong (余法通):
7.63hrs</t>
        </r>
      </text>
    </comment>
    <comment ref="K15" authorId="1" shapeId="0" xr:uid="{78C2A448-AB42-4CBF-9335-4F951C1C76D3}">
      <text>
        <r>
          <rPr>
            <sz val="12"/>
            <rFont val="新細明體"/>
            <family val="1"/>
            <charset val="136"/>
          </rPr>
          <t xml:space="preserve">YU Billy Fatong (余法通):
</t>
        </r>
      </text>
    </comment>
    <comment ref="L15" authorId="1" shapeId="0" xr:uid="{7EE9FEF6-7AFB-4ACC-91FC-166C4945DFCD}">
      <text>
        <r>
          <rPr>
            <sz val="12"/>
            <rFont val="新細明體"/>
            <family val="1"/>
            <charset val="136"/>
          </rPr>
          <t xml:space="preserve">YU Billy Fatong (余法通):
</t>
        </r>
      </text>
    </comment>
    <comment ref="AE15" authorId="2" shapeId="0" xr:uid="{D39AC1F2-8489-42E4-A2A1-F6C9C4176374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P17" authorId="1" shapeId="0" xr:uid="{AD6A3D15-4571-439C-9DD7-0C079BA5EC4A}">
      <text>
        <r>
          <rPr>
            <sz val="12"/>
            <rFont val="新細明體"/>
            <family val="1"/>
            <charset val="136"/>
          </rPr>
          <t>YU Billy Fatong (余法通):
23/04/2026</t>
        </r>
      </text>
    </comment>
    <comment ref="AE17" authorId="2" shapeId="0" xr:uid="{8D9E3706-B948-486C-8699-954DF0595C1B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I19" authorId="0" shapeId="0" xr:uid="{8AA572EE-BDB6-441B-A49F-9D08D2081397}">
      <text>
        <r>
          <rPr>
            <sz val="12"/>
            <rFont val="新細明體"/>
            <family val="1"/>
            <charset val="136"/>
          </rPr>
          <t>SIU YK Yung Kit (蕭勇潔):
D7 (6/4)</t>
        </r>
      </text>
    </comment>
    <comment ref="L19" authorId="0" shapeId="0" xr:uid="{4E0794C9-973B-4EFE-A87F-587A5FC6230C}">
      <text>
        <r>
          <rPr>
            <sz val="12"/>
            <rFont val="新細明體"/>
            <family val="1"/>
            <charset val="136"/>
          </rPr>
          <t>SIU YK Yung Kit (蕭勇潔):
D8 (7/4)</t>
        </r>
      </text>
    </comment>
    <comment ref="Z19" authorId="1" shapeId="0" xr:uid="{41EF6C37-C877-4AE6-AEC6-793C04FB04D4}">
      <text>
        <r>
          <rPr>
            <sz val="12"/>
            <rFont val="新細明體"/>
            <family val="1"/>
            <charset val="136"/>
          </rPr>
          <t>YU Billy Fatong (余法通):
03/05/2026</t>
        </r>
      </text>
    </comment>
    <comment ref="H20" authorId="2" shapeId="0" xr:uid="{FD64BC5F-78CA-4C42-89A6-573309263F38}">
      <text>
        <r>
          <rPr>
            <sz val="12"/>
            <rFont val="新細明體"/>
            <family val="1"/>
            <charset val="136"/>
          </rPr>
          <t>LING Jenny Yik Ting (凌奕婷):
08:45-16:45 
Room C7, 9/F Citylink</t>
        </r>
      </text>
    </comment>
    <comment ref="I20" authorId="2" shapeId="0" xr:uid="{F361725B-43D8-477E-97DC-34261AA503FE}">
      <text>
        <r>
          <rPr>
            <sz val="12"/>
            <rFont val="新細明體"/>
            <family val="1"/>
            <charset val="136"/>
          </rPr>
          <t>LING Jenny Yik Ting (凌奕婷):
08:45-16:45 
Room C9, 9/F Citylink</t>
        </r>
      </text>
    </comment>
    <comment ref="T20" authorId="1" shapeId="0" xr:uid="{8D1D6C23-6A81-4794-AEC0-AB73B058DEAB}">
      <text>
        <r>
          <rPr>
            <sz val="12"/>
            <rFont val="新細明體"/>
            <family val="1"/>
            <charset val="136"/>
          </rPr>
          <t xml:space="preserve">YU Billy Fatong (余法通):
C3036
</t>
        </r>
      </text>
    </comment>
    <comment ref="Y20" authorId="0" shapeId="0" xr:uid="{A5F89DF2-16B1-48C4-938A-AF66164B09D8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Z20" authorId="0" shapeId="0" xr:uid="{370086B1-8AD7-4A11-911B-A2621FBEC98C}">
      <text>
        <r>
          <rPr>
            <sz val="12"/>
            <rFont val="新細明體"/>
            <family val="1"/>
            <charset val="136"/>
          </rPr>
          <t>SIU YK Yung Kit (蕭勇潔):
D6 (04/4)</t>
        </r>
      </text>
    </comment>
    <comment ref="AB20" authorId="0" shapeId="0" xr:uid="{C5E536CA-1690-419D-AF0E-58381F27ADD4}">
      <text>
        <r>
          <rPr>
            <sz val="12"/>
            <rFont val="新細明體"/>
            <family val="1"/>
            <charset val="136"/>
          </rPr>
          <t>SIU YK Yung Kit (蕭勇潔):
D7 (06/4)</t>
        </r>
      </text>
    </comment>
    <comment ref="AC20" authorId="0" shapeId="0" xr:uid="{EB5C4276-BF64-4000-AAA1-A5522CE58A3B}">
      <text>
        <r>
          <rPr>
            <sz val="12"/>
            <rFont val="新細明體"/>
            <family val="1"/>
            <charset val="136"/>
          </rPr>
          <t>SIU YK Yung Kit (蕭勇潔):
D8 (047/4)</t>
        </r>
      </text>
    </comment>
    <comment ref="AD20" authorId="0" shapeId="0" xr:uid="{BC34E374-EDD5-4009-A0C5-7370ABE02A9C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AE20" authorId="0" shapeId="0" xr:uid="{D70C7B02-277D-4F3F-91A8-A9E7625C955A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AF20" authorId="0" shapeId="0" xr:uid="{52364495-0DAD-43B6-A692-BE1217298717}">
      <text>
        <r>
          <rPr>
            <sz val="12"/>
            <rFont val="新細明體"/>
            <family val="1"/>
            <charset val="136"/>
          </rPr>
          <t>SIU YK Yung Kit (蕭勇潔):
D11 (19/6)</t>
        </r>
      </text>
    </comment>
    <comment ref="AG20" authorId="0" shapeId="0" xr:uid="{8663CD27-E6A9-4106-A973-1521BD81592E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J21" authorId="2" shapeId="0" xr:uid="{459006A8-BA6A-4C32-A90B-04F5BDCB62CC}">
      <text>
        <r>
          <rPr>
            <sz val="12"/>
            <rFont val="新細明體"/>
            <family val="1"/>
            <charset val="136"/>
          </rPr>
          <t>LING Jenny Yik Ting (凌奕婷):
08:45-16:45
Operations Training Centre MTR Kowloon Bay</t>
        </r>
      </text>
    </comment>
    <comment ref="K21" authorId="2" shapeId="0" xr:uid="{060ADD07-6E81-4411-9A4A-8989306E0CDA}">
      <text>
        <r>
          <rPr>
            <sz val="12"/>
            <rFont val="新細明體"/>
            <family val="1"/>
            <charset val="136"/>
          </rPr>
          <t>LING Jenny Yik Ting (凌奕婷):
08:45-16:45 
Operations Training Centre MTR Kowloon Bay</t>
        </r>
      </text>
    </comment>
    <comment ref="O21" authorId="2" shapeId="0" xr:uid="{CA29FA78-47D8-4A9E-921D-AC038C2C0644}">
      <text>
        <r>
          <rPr>
            <sz val="12"/>
            <rFont val="新細明體"/>
            <family val="1"/>
            <charset val="136"/>
          </rPr>
          <t>LING Jenny Yik Ting (凌奕婷):
08:45-16:45
9/F, Citylink Plaza</t>
        </r>
      </text>
    </comment>
    <comment ref="P21" authorId="2" shapeId="0" xr:uid="{92DBB7BB-E840-4511-B939-72439B807E0F}">
      <text>
        <r>
          <rPr>
            <sz val="12"/>
            <rFont val="新細明體"/>
            <family val="1"/>
            <charset val="136"/>
          </rPr>
          <t>LING Jenny Yik Ting (凌奕婷):
T05 : 08:45-12:00
9/F, Citylink Plaza
T06 : 13:30-16:45 
9/F, Citylink Plaza</t>
        </r>
      </text>
    </comment>
    <comment ref="R21" authorId="2" shapeId="0" xr:uid="{0146A419-F2EC-4EF0-A48F-E6C1C759FB16}">
      <text>
        <r>
          <rPr>
            <sz val="12"/>
            <rFont val="新細明體"/>
            <family val="1"/>
            <charset val="136"/>
          </rPr>
          <t>LING Jenny Yik Ting (凌奕婷):
09:00-17:00 
Room 201, 2/F FTRH,</t>
        </r>
      </text>
    </comment>
    <comment ref="H22" authorId="2" shapeId="0" xr:uid="{2D559EF4-E12B-472D-8261-4F486A4A25D2}">
      <text>
        <r>
          <rPr>
            <sz val="12"/>
            <rFont val="新細明體"/>
            <family val="1"/>
            <charset val="136"/>
          </rPr>
          <t>LING Jenny Yik Ting (凌奕婷):
09:00 - 17:00
Room 802, 8/F Management Training &amp; Development Centre, MTR HQs</t>
        </r>
      </text>
    </comment>
    <comment ref="L22" authorId="0" shapeId="0" xr:uid="{BEE44C14-B28F-4372-9C71-7C6E0C92336B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H23" authorId="1" shapeId="0" xr:uid="{280C508C-BD1E-4007-8436-66F7BC56EF30}">
      <text>
        <r>
          <rPr>
            <sz val="12"/>
            <rFont val="新細明體"/>
            <family val="1"/>
            <charset val="136"/>
          </rPr>
          <t>YU Billy Fatong (余法通):
30/04/2026</t>
        </r>
      </text>
    </comment>
    <comment ref="AC23" authorId="0" shapeId="0" xr:uid="{5C03D787-01EE-4D89-8AAF-2DC154CC17F0}">
      <text>
        <r>
          <rPr>
            <sz val="12"/>
            <rFont val="新細明體"/>
            <family val="1"/>
            <charset val="136"/>
          </rPr>
          <t>SIU YK Yung Kit (蕭勇潔):
D7 (06/4)</t>
        </r>
      </text>
    </comment>
    <comment ref="AD23" authorId="0" shapeId="0" xr:uid="{BF1B7DD8-22F6-4E23-8081-1DBCDFFCCF08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J24" authorId="1" shapeId="0" xr:uid="{4C38995A-3928-4D37-BB9C-CB7468F0EB23}">
      <text>
        <r>
          <rPr>
            <sz val="12"/>
            <rFont val="新細明體"/>
            <family val="1"/>
            <charset val="136"/>
          </rPr>
          <t xml:space="preserve">YU Billy Fatong (余法通):
Confirmed
13:30-17:00
Room 801, 8/F HQs 
MT&amp;D Centre, 8/F HQs  </t>
        </r>
      </text>
    </comment>
    <comment ref="U26" authorId="3" shapeId="0" xr:uid="{827C2F6B-37BE-4A5C-AD10-FD79D86DB44B}">
      <text>
        <r>
          <rPr>
            <sz val="12"/>
            <rFont val="新細明體"/>
            <family val="1"/>
            <charset val="136"/>
          </rPr>
          <t>LEE CY Chi Yiu (李志堯):
C1844 - MI box KBD907 replacement (0830 - 1708)</t>
        </r>
      </text>
    </comment>
    <comment ref="O27" authorId="1" shapeId="0" xr:uid="{4AE8DD85-495E-48C4-B9F9-66DD88284586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R27" authorId="2" shapeId="0" xr:uid="{B841013E-52B0-40CD-B6F6-AD453CC99CA5}">
      <text>
        <r>
          <rPr>
            <sz val="12"/>
            <rFont val="新細明體"/>
            <family val="1"/>
            <charset val="136"/>
          </rPr>
          <t>LING Jenny Yik Ting (凌奕婷):
09:00-17:00 
Room 801, 8/F HQs, MT&amp;D Centre, 8/F HQs</t>
        </r>
      </text>
    </comment>
    <comment ref="S27" authorId="1" shapeId="0" xr:uid="{59911F26-EABA-47DD-97D4-6E111CBFBC20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U27" authorId="3" shapeId="0" xr:uid="{27B636AB-0D16-4B41-B7F6-C4A6EDA10232}">
      <text>
        <r>
          <rPr>
            <sz val="12"/>
            <rFont val="新細明體"/>
            <family val="1"/>
            <charset val="136"/>
          </rPr>
          <t>LEE CY Chi Yiu (李志堯):
C1844 - MI box KBD907 replacement (0830 - 1708)</t>
        </r>
      </text>
    </comment>
    <comment ref="R28" authorId="2" shapeId="0" xr:uid="{83E3B0C5-B363-49DB-A371-A51CA30F33B9}">
      <text>
        <r>
          <rPr>
            <sz val="12"/>
            <rFont val="新細明體"/>
            <family val="1"/>
            <charset val="136"/>
          </rPr>
          <t>LING Jenny Yik Ting (凌奕婷):
13:30-16:45 
Operations Training Centre MTR Kowloon Bay Depot</t>
        </r>
      </text>
    </comment>
    <comment ref="AF28" authorId="0" shapeId="0" xr:uid="{E9827716-E164-4EFA-8A1C-4FB013723659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J29" authorId="0" shapeId="0" xr:uid="{A2D4077B-B05C-49F2-9840-2F205C59D7E6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O29" authorId="2" shapeId="0" xr:uid="{B03206C0-FD10-4170-98AF-2B478F8A45B1}">
      <text>
        <r>
          <rPr>
            <sz val="12"/>
            <rFont val="新細明體"/>
            <family val="1"/>
            <charset val="136"/>
          </rPr>
          <t>LING Jenny Yik Ting (凌奕婷):
08:45-16:45 
9/F, Citylink Plaza</t>
        </r>
      </text>
    </comment>
    <comment ref="P29" authorId="2" shapeId="0" xr:uid="{83F0D79D-72A3-4A4C-8CC1-F174889849A7}">
      <text>
        <r>
          <rPr>
            <sz val="12"/>
            <rFont val="新細明體"/>
            <family val="1"/>
            <charset val="136"/>
          </rPr>
          <t>LING Jenny Yik Ting (凌奕婷):
T05 : 08:45-12:00
9/F, Citylink Plaza
T06 : 13:30-16:45 
9/F, Citylink Plaza</t>
        </r>
      </text>
    </comment>
    <comment ref="R29" authorId="2" shapeId="0" xr:uid="{222A0F22-EECB-47AE-B9D9-D59C25C3F3B7}">
      <text>
        <r>
          <rPr>
            <sz val="12"/>
            <rFont val="新細明體"/>
            <family val="1"/>
            <charset val="136"/>
          </rPr>
          <t>LING Jenny Yik Ting (凌奕婷):
T07 : 13:30-16:45 
Operations Training Centre MTR Kowloon Bay Depot</t>
        </r>
      </text>
    </comment>
    <comment ref="U29" authorId="3" shapeId="0" xr:uid="{B251885E-BD9B-4790-8EC9-8318339843F0}">
      <text>
        <r>
          <rPr>
            <sz val="12"/>
            <rFont val="新細明體"/>
            <family val="1"/>
            <charset val="136"/>
          </rPr>
          <t>LEE CY Chi Yiu (李志堯):
C1844 - MI box KBD907 replacement (0830 - 1708)</t>
        </r>
      </text>
    </comment>
    <comment ref="V30" authorId="0" shapeId="0" xr:uid="{00EC6E63-9706-439F-865B-781ED00C736E}">
      <text>
        <r>
          <rPr>
            <sz val="12"/>
            <rFont val="新細明體"/>
            <family val="1"/>
            <charset val="136"/>
          </rPr>
          <t>SIU YK Yung Kit (蕭勇潔):
Updated on 08/4</t>
        </r>
      </text>
    </comment>
    <comment ref="AB30" authorId="0" shapeId="0" xr:uid="{3F5B068B-95D6-4133-A8B5-B414391B4C14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O31" authorId="1" shapeId="0" xr:uid="{87BDBB07-253C-41FB-BF7C-5C6CEC587125}">
      <text>
        <r>
          <rPr>
            <sz val="12"/>
            <rFont val="新細明體"/>
            <family val="1"/>
            <charset val="136"/>
          </rPr>
          <t xml:space="preserve">YU Billy Fatong (余法通):
JD0119 3.3kV Switchgear appreciation &amp; operation (EAL &amp;TML)
 </t>
        </r>
      </text>
    </comment>
    <comment ref="P31" authorId="1" shapeId="0" xr:uid="{71322033-C2A2-4E5E-843E-A3C444303B21}">
      <text>
        <r>
          <rPr>
            <sz val="12"/>
            <rFont val="新細明體"/>
            <family val="1"/>
            <charset val="136"/>
          </rPr>
          <t>YU Billy Fatong (余法通):
JD0119 3.3kV Switchgear appreciation &amp; operation (EAL &amp;TML)</t>
        </r>
      </text>
    </comment>
    <comment ref="Y31" authorId="1" shapeId="0" xr:uid="{47384E90-0026-47EA-BC05-2D756A55487C}">
      <text>
        <r>
          <rPr>
            <sz val="12"/>
            <rFont val="新細明體"/>
            <family val="1"/>
            <charset val="136"/>
          </rPr>
          <t>YU Billy Fatong (余法通):
OTD meeting at p.m.</t>
        </r>
      </text>
    </comment>
    <comment ref="AF31" authorId="3" shapeId="0" xr:uid="{28F79DF1-B067-44C6-A1E7-C0F1C2375FAB}">
      <text>
        <r>
          <rPr>
            <sz val="12"/>
            <rFont val="新細明體"/>
            <family val="1"/>
            <charset val="136"/>
          </rPr>
          <t>LEE CY Chi Yiu 李志堯):
Approved on 19/05/2026</t>
        </r>
      </text>
    </comment>
    <comment ref="AG31" authorId="1" shapeId="0" xr:uid="{552085CE-A126-44F5-906E-409BCCF91B5D}">
      <text>
        <r>
          <rPr>
            <sz val="12"/>
            <rFont val="新細明體"/>
            <family val="1"/>
            <charset val="136"/>
          </rPr>
          <t xml:space="preserve">YU Billy Fatong (余法通):
D7
</t>
        </r>
      </text>
    </comment>
    <comment ref="AI31" authorId="1" shapeId="0" xr:uid="{735117C1-7C5E-4FC5-8813-FC56D854D76D}">
      <text>
        <r>
          <rPr>
            <sz val="12"/>
            <rFont val="新細明體"/>
            <family val="1"/>
            <charset val="136"/>
          </rPr>
          <t xml:space="preserve">YU Billy Fatong (余法通):
D8
</t>
        </r>
      </text>
    </comment>
    <comment ref="P32" authorId="2" shapeId="0" xr:uid="{017E52FF-6151-42EC-BD4D-D68FD18C4C26}">
      <text>
        <r>
          <rPr>
            <sz val="12"/>
            <rFont val="新細明體"/>
            <family val="1"/>
            <charset val="136"/>
          </rPr>
          <t>LING Jenny Yik Ting (凌奕婷):
T06 : 13:30-16:45 
9/F, Citylink Plaza</t>
        </r>
      </text>
    </comment>
    <comment ref="Q32" authorId="2" shapeId="0" xr:uid="{FB3ADFC5-ED98-454E-AB07-7DFD40E7534E}">
      <text>
        <r>
          <rPr>
            <sz val="12"/>
            <rFont val="新細明體"/>
            <family val="1"/>
            <charset val="136"/>
          </rPr>
          <t>LING Jenny Yik Ting (凌奕婷):
08:45-16:45 
Operations Training Centre MTR Kowloon Bay Depot</t>
        </r>
      </text>
    </comment>
    <comment ref="R32" authorId="2" shapeId="0" xr:uid="{E5BEFF7F-4B12-44C1-9E8E-70BB22E9CCE9}">
      <text>
        <r>
          <rPr>
            <sz val="12"/>
            <rFont val="新細明體"/>
            <family val="1"/>
            <charset val="136"/>
          </rPr>
          <t>LING Jenny Yik Ting (凌奕婷):
T08 : 08:45-12:00
Operations Training Centre MTR Kowloon Bay Depot</t>
        </r>
      </text>
    </comment>
    <comment ref="S32" authorId="2" shapeId="0" xr:uid="{EB30172D-E7F3-4EE9-9BE0-4AA12A6C10F0}">
      <text>
        <r>
          <rPr>
            <sz val="12"/>
            <rFont val="新細明體"/>
            <family val="1"/>
            <charset val="136"/>
          </rPr>
          <t>LING Jenny Yik Ting (凌奕婷):
08:45-12:00 
C Hall B, 9/F Citylink, 9/F, Citylink Plaza</t>
        </r>
      </text>
    </comment>
    <comment ref="AB32" authorId="0" shapeId="0" xr:uid="{CA3BECAC-801B-49C6-AFC3-8B94ACA60262}">
      <text>
        <r>
          <rPr>
            <sz val="12"/>
            <rFont val="新細明體"/>
            <family val="1"/>
            <charset val="136"/>
          </rPr>
          <t>SIU YK Yung Kit (蕭勇潔):
Updated on 13/4</t>
        </r>
      </text>
    </comment>
    <comment ref="AE32" authorId="0" shapeId="0" xr:uid="{D7E7020F-19BA-4154-8747-2AFB3B0AAB16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AF32" authorId="0" shapeId="0" xr:uid="{1A27FDE6-6650-428D-9803-75CC83632C70}">
      <text>
        <r>
          <rPr>
            <sz val="12"/>
            <rFont val="新細明體"/>
            <family val="1"/>
            <charset val="136"/>
          </rPr>
          <t>SIU YK Yung Kit (蕭勇潔):
D6 (04/4)</t>
        </r>
      </text>
    </comment>
    <comment ref="AG32" authorId="0" shapeId="0" xr:uid="{80475B9C-E859-4755-A0A8-95666243B8B4}">
      <text>
        <r>
          <rPr>
            <sz val="12"/>
            <rFont val="新細明體"/>
            <family val="1"/>
            <charset val="136"/>
          </rPr>
          <t>SIU YK Yung Kit (蕭勇潔):
D7 (06/4)</t>
        </r>
      </text>
    </comment>
    <comment ref="AI32" authorId="0" shapeId="0" xr:uid="{79D7A8AA-8466-481B-9BA4-C82ADC0503B1}">
      <text>
        <r>
          <rPr>
            <sz val="12"/>
            <rFont val="新細明體"/>
            <family val="1"/>
            <charset val="136"/>
          </rPr>
          <t>SIU YK Yung Kit (蕭勇潔):
D8 (07/4)</t>
        </r>
      </text>
    </comment>
    <comment ref="S34" authorId="1" shapeId="0" xr:uid="{0FEE9851-9611-463E-825F-684590DDFDE1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U34" authorId="3" shapeId="0" xr:uid="{E46E7975-3088-411F-B5E4-21F63C1347FF}">
      <text>
        <r>
          <rPr>
            <sz val="12"/>
            <rFont val="新細明體"/>
            <family val="1"/>
            <charset val="136"/>
          </rPr>
          <t>LEE CY Chi Yiu (李志堯):
C1844 - MI box KBD907 replacement (0830 - 1708)</t>
        </r>
      </text>
    </comment>
    <comment ref="Z34" authorId="1" shapeId="0" xr:uid="{ABBB36F5-E0BA-45BE-84EE-97410351A74E}">
      <text>
        <r>
          <rPr>
            <sz val="12"/>
            <rFont val="新細明體"/>
            <family val="1"/>
            <charset val="136"/>
          </rPr>
          <t xml:space="preserve">YU Billy Fatong (余法通):
D8
</t>
        </r>
      </text>
    </comment>
    <comment ref="X35" authorId="1" shapeId="0" xr:uid="{FB859A00-9932-4971-AA56-A4D826E7DFAD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Y35" authorId="1" shapeId="0" xr:uid="{3E19612C-6E79-4520-B5AE-D36F855AACED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Z35" authorId="1" shapeId="0" xr:uid="{1080B7FF-6043-489A-9245-F6752E9FCC97}">
      <text>
        <r>
          <rPr>
            <sz val="12"/>
            <rFont val="新細明體"/>
            <family val="1"/>
            <charset val="136"/>
          </rPr>
          <t>YU Billy Fatong (余法通):
D8</t>
        </r>
      </text>
    </comment>
    <comment ref="G36" authorId="1" shapeId="0" xr:uid="{6DCAABC3-D1C6-41A6-A705-F0403B0ED71D}">
      <text>
        <r>
          <rPr>
            <sz val="12"/>
            <rFont val="新細明體"/>
            <family val="1"/>
            <charset val="136"/>
          </rPr>
          <t>YU Billy Fatong (余法通):
03/05/2026</t>
        </r>
      </text>
    </comment>
    <comment ref="V36" authorId="1" shapeId="0" xr:uid="{59224B91-014C-4F2B-83ED-D037C9F876B9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W36" authorId="2" shapeId="0" xr:uid="{85594FB8-EC46-4A6D-9CFE-F031A3D84FC7}">
      <text>
        <r>
          <rPr>
            <sz val="12"/>
            <rFont val="新細明體"/>
            <family val="1"/>
            <charset val="136"/>
          </rPr>
          <t xml:space="preserve">LING Jenny Yik Ting (凌奕婷):
9:00 a.m. – 5:00 p.m.
Room 806, 8/F Management Training &amp; Development Centre, MTR Headquarters Building
</t>
        </r>
      </text>
    </comment>
    <comment ref="X36" authorId="2" shapeId="0" xr:uid="{26C70493-8FEC-45BA-A2B6-6DF9910A03E4}">
      <text>
        <r>
          <rPr>
            <sz val="12"/>
            <rFont val="新細明體"/>
            <family val="1"/>
            <charset val="136"/>
          </rPr>
          <t xml:space="preserve">LING Jenny Yik Ting (凌奕婷):
9:00 a.m. – 12:00 p.m.
Room 806, 8/F Management Training &amp; Development Centre, MTR Headquarters Building
</t>
        </r>
      </text>
    </comment>
    <comment ref="Y36" authorId="1" shapeId="0" xr:uid="{4E588DEB-4ADA-4BD6-BB0E-7EF974AC91C6}">
      <text>
        <r>
          <rPr>
            <sz val="12"/>
            <rFont val="新細明體"/>
            <family val="1"/>
            <charset val="136"/>
          </rPr>
          <t xml:space="preserve">YU Billy Fatong (余法通):
D6
</t>
        </r>
      </text>
    </comment>
    <comment ref="Z36" authorId="2" shapeId="0" xr:uid="{79DB7C75-0C38-4F08-B753-FF987A14F71F}">
      <text>
        <r>
          <rPr>
            <sz val="12"/>
            <rFont val="新細明體"/>
            <family val="1"/>
            <charset val="136"/>
          </rPr>
          <t>LING Jenny Yik Ting (凌奕婷):
1400-1700 
Virtual class</t>
        </r>
      </text>
    </comment>
    <comment ref="K37" authorId="0" shapeId="0" xr:uid="{D2D7D0A9-D9EC-4917-B281-048616D77E58}">
      <text>
        <r>
          <rPr>
            <sz val="12"/>
            <rFont val="新細明體"/>
            <family val="1"/>
            <charset val="136"/>
          </rPr>
          <t>SIU YK Yung Kit (蕭勇潔):
D5 (03/4)</t>
        </r>
      </text>
    </comment>
    <comment ref="L37" authorId="0" shapeId="0" xr:uid="{A4D9A1E8-6FE7-4B35-8A2A-52199B3700DA}">
      <text>
        <r>
          <rPr>
            <sz val="12"/>
            <rFont val="新細明體"/>
            <family val="1"/>
            <charset val="136"/>
          </rPr>
          <t>SIU YK Yung Kit (蕭勇潔):
D6 (04/4)</t>
        </r>
      </text>
    </comment>
    <comment ref="N37" authorId="0" shapeId="0" xr:uid="{48A8155B-8CBE-4C29-8B88-9B0354FFFB40}">
      <text>
        <r>
          <rPr>
            <sz val="12"/>
            <rFont val="新細明體"/>
            <family val="1"/>
            <charset val="136"/>
          </rPr>
          <t>SIU YK Yung Kit (蕭勇潔):
D7 (06/4)</t>
        </r>
      </text>
    </comment>
    <comment ref="O37" authorId="0" shapeId="0" xr:uid="{91D2B220-A20A-4CC0-A178-AE6CB22A06C0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P37" authorId="0" shapeId="0" xr:uid="{262D0C09-8C9F-4676-B484-FAA7050C188D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Q37" authorId="0" shapeId="0" xr:uid="{8A4A63DF-9ED1-42FA-AED2-2DFB533E851F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U37" authorId="3" shapeId="0" xr:uid="{40CC8A03-DB35-4647-BB17-BD61F4F5DE8E}">
      <text>
        <r>
          <rPr>
            <sz val="12"/>
            <rFont val="新細明體"/>
            <family val="1"/>
            <charset val="136"/>
          </rPr>
          <t>LEE CY Chi Yiu (李志堯):
C1844 - MI box KBD907 replacement (0830 - 1708)</t>
        </r>
      </text>
    </comment>
    <comment ref="W37" authorId="2" shapeId="0" xr:uid="{D771099A-02D6-4DF1-A914-1B5EBD7B3472}">
      <text>
        <r>
          <rPr>
            <sz val="12"/>
            <rFont val="新細明體"/>
            <family val="1"/>
            <charset val="136"/>
          </rPr>
          <t xml:space="preserve">LING Jenny Yik Ting (凌奕婷):
9:00 a.m. – 5:00 p.m.
Room 806, 8/F Management Training &amp; Development Centre, MTR Headquarters Building
</t>
        </r>
      </text>
    </comment>
    <comment ref="X37" authorId="2" shapeId="0" xr:uid="{D780EE20-C4FF-435A-B9D0-974522E99DC7}">
      <text>
        <r>
          <rPr>
            <sz val="12"/>
            <rFont val="新細明體"/>
            <family val="1"/>
            <charset val="136"/>
          </rPr>
          <t xml:space="preserve">LING Jenny Yik Ting (凌奕婷):
9:00 a.m. – 12:00 p.m.
Room 806, 8/F Management Training &amp; Development Centre, MTR Headquarters Building
</t>
        </r>
      </text>
    </comment>
    <comment ref="Z37" authorId="2" shapeId="0" xr:uid="{C0B89490-1D27-436F-B1A8-8405E0207DE9}">
      <text>
        <r>
          <rPr>
            <sz val="12"/>
            <rFont val="新細明體"/>
            <family val="1"/>
            <charset val="136"/>
          </rPr>
          <t>LING Jenny Yik Ting (凌奕婷):
1400-1700 
Virtual class</t>
        </r>
      </text>
    </comment>
    <comment ref="AG37" authorId="1" shapeId="0" xr:uid="{29055371-5A44-4625-940D-12E5472ADBA5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AI37" authorId="1" shapeId="0" xr:uid="{C5CD39E1-FDC9-4331-B8E0-97F9BFBD23D3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V38" authorId="2" shapeId="0" xr:uid="{6D5BADF6-5873-49E0-8D16-023615626D0D}">
      <text>
        <r>
          <rPr>
            <sz val="12"/>
            <rFont val="新細明體"/>
            <family val="1"/>
            <charset val="136"/>
          </rPr>
          <t>LING Jenny Yik Ting (凌奕婷):
08:45-16:45 
K18 - AFC Eqpt Rm, 1/F OTC-KBD, Operations Training Centre MTR Kowloon Bay Depot</t>
        </r>
      </text>
    </comment>
    <comment ref="W38" authorId="2" shapeId="0" xr:uid="{621FCFBC-C75B-48C8-84CF-6AEE1B66040A}">
      <text>
        <r>
          <rPr>
            <sz val="12"/>
            <rFont val="新細明體"/>
            <family val="1"/>
            <charset val="136"/>
          </rPr>
          <t>LING Jenny Yik Ting (凌奕婷):
08:45-16:45 
K18 - AFC Eqpt Rm, 1/F OTC-KBD, Operations Training Centre MTR Kowloon Bay Depot</t>
        </r>
      </text>
    </comment>
    <comment ref="X38" authorId="1" shapeId="0" xr:uid="{43B019E3-0989-4275-B99D-7FDA11496E60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Y38" authorId="1" shapeId="0" xr:uid="{C016004B-8ABA-4CBE-8504-228200FA8021}">
      <text>
        <r>
          <rPr>
            <sz val="12"/>
            <rFont val="新細明體"/>
            <family val="1"/>
            <charset val="136"/>
          </rPr>
          <t xml:space="preserve">YU Billy Fatong (余法通):
D7
</t>
        </r>
      </text>
    </comment>
    <comment ref="Z38" authorId="2" shapeId="0" xr:uid="{11E8E291-EB1E-4BD8-B698-491F7D4D3EC5}">
      <text>
        <r>
          <rPr>
            <sz val="12"/>
            <rFont val="新細明體"/>
            <family val="1"/>
            <charset val="136"/>
          </rPr>
          <t>LING Jenny Yik Ting (凌奕婷):
1400-1700 
Virtual class</t>
        </r>
      </text>
    </comment>
    <comment ref="AF38" authorId="0" shapeId="0" xr:uid="{D2369322-0D95-4A6C-8FA0-E7E1E511E03D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AI39" authorId="1" shapeId="0" xr:uid="{9E2FBA19-5FE1-4B94-A8E0-16F766EFA3DB}">
      <text>
        <r>
          <rPr>
            <sz val="12"/>
            <rFont val="新細明體"/>
            <family val="1"/>
            <charset val="136"/>
          </rPr>
          <t>YU Billy Fatong (余法通):
D5</t>
        </r>
      </text>
    </comment>
    <comment ref="E41" authorId="1" shapeId="0" xr:uid="{A9C665D8-3C10-428F-828F-D9E12AB4769B}">
      <text>
        <r>
          <rPr>
            <sz val="12"/>
            <rFont val="新細明體"/>
            <family val="1"/>
            <charset val="136"/>
          </rPr>
          <t>YU Billy Fatong (余法通):
14/03/2026</t>
        </r>
      </text>
    </comment>
    <comment ref="T41" authorId="1" shapeId="0" xr:uid="{AE5FFE13-2BFE-4679-A336-D7F5F03B8833}">
      <text>
        <r>
          <rPr>
            <sz val="12"/>
            <rFont val="新細明體"/>
            <family val="1"/>
            <charset val="136"/>
          </rPr>
          <t xml:space="preserve">YU Billy Fatong (余法通):
C3036
</t>
        </r>
      </text>
    </comment>
    <comment ref="AC41" authorId="1" shapeId="0" xr:uid="{F8ABDE2E-6605-4F56-8ABA-DDA570D5BF26}">
      <text>
        <r>
          <rPr>
            <sz val="12"/>
            <rFont val="新細明體"/>
            <family val="1"/>
            <charset val="136"/>
          </rPr>
          <t>YU Billy Fatong (余法通):
09/04</t>
        </r>
      </text>
    </comment>
    <comment ref="AE41" authorId="1" shapeId="0" xr:uid="{BFB1A591-B3E1-42A0-B4E3-9FEAF1F33D28}">
      <text>
        <r>
          <rPr>
            <sz val="12"/>
            <rFont val="新細明體"/>
            <family val="1"/>
            <charset val="136"/>
          </rPr>
          <t xml:space="preserve">YU Billy Fatong (余法通):
D6
</t>
        </r>
      </text>
    </comment>
    <comment ref="AF41" authorId="1" shapeId="0" xr:uid="{829F9631-FB48-4F40-BEA3-AB96A9A8E7CA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AG41" authorId="1" shapeId="0" xr:uid="{B416A5F7-845E-403A-8E22-E4FA48F321A9}">
      <text>
        <r>
          <rPr>
            <sz val="12"/>
            <rFont val="新細明體"/>
            <family val="1"/>
            <charset val="136"/>
          </rPr>
          <t>YU Billy Fatong (余法通):
D8</t>
        </r>
      </text>
    </comment>
    <comment ref="AE42" authorId="2" shapeId="0" xr:uid="{A0A30424-4730-464A-B7BB-6CE74F4E83B9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E43" authorId="1" shapeId="0" xr:uid="{212509B0-D32B-4945-9D8D-32B020C79EDA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AE43" authorId="2" shapeId="0" xr:uid="{F0E8FAA7-759B-46B2-8073-41FC2CC270F7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AF43" authorId="1" shapeId="0" xr:uid="{F102055E-86A6-44D9-9E0D-2063E76D8E30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AG43" authorId="1" shapeId="0" xr:uid="{46EA557F-EA8E-455E-8719-156DCFFD89CE}">
      <text>
        <r>
          <rPr>
            <sz val="12"/>
            <rFont val="新細明體"/>
            <family val="1"/>
            <charset val="136"/>
          </rPr>
          <t>YU Billy Fatong (余法通):
D8</t>
        </r>
      </text>
    </comment>
    <comment ref="E44" authorId="1" shapeId="0" xr:uid="{4C5B4C00-0F68-4D25-83DF-F71CBEC1213E}">
      <text>
        <r>
          <rPr>
            <sz val="12"/>
            <rFont val="新細明體"/>
            <family val="1"/>
            <charset val="136"/>
          </rPr>
          <t>YU Billy Fatong (余法通):
13/04</t>
        </r>
      </text>
    </comment>
    <comment ref="AD44" authorId="2" shapeId="0" xr:uid="{AB90747B-5010-41FA-BF59-F262B0938A51}">
      <text>
        <r>
          <rPr>
            <sz val="12"/>
            <rFont val="新細明體"/>
            <family val="1"/>
            <charset val="136"/>
          </rPr>
          <t>LING Jenny Yik Ting (凌奕婷):
09:00-17:00 
Room 801, 8/F HQs, MT&amp;D Centre, 8/F HQs</t>
        </r>
      </text>
    </comment>
    <comment ref="AE44" authorId="2" shapeId="0" xr:uid="{52EB1C7F-467B-40CE-B763-124F36D0B3DD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AG44" authorId="2" shapeId="0" xr:uid="{7C41A3CF-1AC7-4805-99C9-60A9AF68FA07}">
      <text>
        <r>
          <rPr>
            <sz val="12"/>
            <rFont val="新細明體"/>
            <family val="1"/>
            <charset val="136"/>
          </rPr>
          <t>LING Jenny Yik Ting (凌奕婷):
13:45 16:45
C Hall B, 9/F Citylink, 9/F, Citylink Plaza</t>
        </r>
      </text>
    </comment>
    <comment ref="AD45" authorId="2" shapeId="0" xr:uid="{AD582405-1C63-443B-AA59-7359FD8C9A7D}">
      <text>
        <r>
          <rPr>
            <sz val="12"/>
            <rFont val="新細明體"/>
            <family val="1"/>
            <charset val="136"/>
          </rPr>
          <t>LING Jenny Yik Ting (凌奕婷):
09:00-17:00 
Room 801, 8/F HQs, MT&amp;D Centre, 8/F HQs</t>
        </r>
      </text>
    </comment>
    <comment ref="AE45" authorId="2" shapeId="0" xr:uid="{C6D0A26B-5AAE-467A-B679-598813C63F6C}">
      <text>
        <r>
          <rPr>
            <sz val="12"/>
            <rFont val="新細明體"/>
            <family val="1"/>
            <charset val="136"/>
          </rPr>
          <t>LING Jenny Yik Ting (凌奕婷):
09:00-17:00 
Room 806, 8/F HQs, MT&amp;D Centre, 8/F HQs</t>
        </r>
      </text>
    </comment>
    <comment ref="AC46" authorId="1" shapeId="0" xr:uid="{B54EB248-1DC0-4107-83A7-AA7EE5572879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AD46" authorId="1" shapeId="0" xr:uid="{3841FB65-2E78-414A-A609-13C6AF147917}">
      <text>
        <r>
          <rPr>
            <sz val="12"/>
            <rFont val="新細明體"/>
            <family val="1"/>
            <charset val="136"/>
          </rPr>
          <t>YU Billy Fatong (余法通):
D8</t>
        </r>
      </text>
    </comment>
    <comment ref="AE46" authorId="1" shapeId="0" xr:uid="{703E9A84-3553-4C1B-BA31-A70807D29D5C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AF46" authorId="1" shapeId="0" xr:uid="{75EC4943-2A62-4DE2-9650-A129864B282D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AG46" authorId="1" shapeId="0" xr:uid="{98578F2B-30A6-480F-A350-FE3AF82AF118}">
      <text>
        <r>
          <rPr>
            <sz val="12"/>
            <rFont val="新細明體"/>
            <family val="1"/>
            <charset val="136"/>
          </rPr>
          <t xml:space="preserve">YU Billy Fatong (余法通):
D11
</t>
        </r>
      </text>
    </comment>
    <comment ref="N47" authorId="1" shapeId="0" xr:uid="{15FF5065-AEDC-4CEC-AA02-751412CDC5F2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O47" authorId="1" shapeId="0" xr:uid="{43B7D230-B30B-4D95-BFCF-109E72F9DD29}">
      <text>
        <r>
          <rPr>
            <sz val="12"/>
            <rFont val="新細明體"/>
            <family val="1"/>
            <charset val="136"/>
          </rPr>
          <t>YU Billy Fatong (余法通):
EK7011 Regular Meeting
11/05/2026	0900-1200
K12, Electrical Workshop, KBD OTC</t>
        </r>
      </text>
    </comment>
    <comment ref="AC47" authorId="1" shapeId="0" xr:uid="{D3DF9517-D6AB-4F42-ADCD-49D78D19FAC1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AE49" authorId="3" shapeId="0" xr:uid="{C4E09DAB-BB2F-4144-A1B7-F431D7023535}">
      <text>
        <r>
          <rPr>
            <sz val="12"/>
            <rFont val="新細明體"/>
            <family val="1"/>
            <charset val="136"/>
          </rPr>
          <t>LEE CY Chi Yiu (李志堯):
22/05/2026</t>
        </r>
      </text>
    </comment>
    <comment ref="AF49" authorId="3" shapeId="0" xr:uid="{B93F6EE4-371E-4CAC-A550-8E16C5BB7CA5}">
      <text>
        <r>
          <rPr>
            <sz val="12"/>
            <rFont val="新細明體"/>
            <family val="1"/>
            <charset val="136"/>
          </rPr>
          <t>LEE CY Chi Yiu (李志堯):
22/02/2026</t>
        </r>
      </text>
    </comment>
    <comment ref="AG51" authorId="1" shapeId="0" xr:uid="{3F50B024-A00B-4CED-9864-80C199026C99}">
      <text>
        <r>
          <rPr>
            <sz val="12"/>
            <rFont val="新細明體"/>
            <family val="1"/>
            <charset val="136"/>
          </rPr>
          <t xml:space="preserve">YU Billy Fatong (余法通):
活動：室內歷奇團隊建立訓練日營
主辦單位：香港青年協會x 港鐵學院
日期：29-05-2026 (五)   
時間：09:20 - 16:30
場地：香港青年協會荃灣青年空間 - 3樓室內歷奇設施
地址：新界荃灣區海盛路祈德尊新村商業中心2樓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 Billy Fatong (余法通)</author>
    <author>SIU YK Yung Kit (蕭勇潔)</author>
    <author>LEE CY Chi Yiu (李志堯)</author>
    <author>LING Jenny Yik Ting (凌奕婷)</author>
  </authors>
  <commentList>
    <comment ref="M5" authorId="0" shapeId="0" xr:uid="{CD627AA7-DB03-4B3B-B563-448B6D8ABB80}">
      <text>
        <r>
          <rPr>
            <sz val="12"/>
            <rFont val="新細明體"/>
            <family val="1"/>
            <charset val="136"/>
          </rPr>
          <t>YU Billy Fatong (余法通):
C9456 -TL452 N2 of N4</t>
        </r>
      </text>
    </comment>
    <comment ref="V5" authorId="0" shapeId="0" xr:uid="{D38BCAC6-BDAB-4361-878D-61834C6BDDDF}">
      <text>
        <r>
          <rPr>
            <sz val="12"/>
            <rFont val="新細明體"/>
            <family val="1"/>
            <charset val="136"/>
          </rPr>
          <t>YU Billy Fatong (余法通):
C9456 - TL452 (N3 of N4)</t>
        </r>
      </text>
    </comment>
    <comment ref="W5" authorId="1" shapeId="0" xr:uid="{81C09BF1-E3A3-4DE8-8781-006F0B440992}">
      <text>
        <r>
          <rPr>
            <sz val="12"/>
            <rFont val="新細明體"/>
            <family val="1"/>
            <charset val="136"/>
          </rPr>
          <t>SIU YK Yung Kit (蕭勇潔):
端午節</t>
        </r>
      </text>
    </comment>
    <comment ref="AH5" authorId="0" shapeId="0" xr:uid="{B2B8025C-6B32-45E0-9C6E-417CD08CEC2E}">
      <text>
        <r>
          <rPr>
            <sz val="12"/>
            <rFont val="新細明體"/>
            <family val="1"/>
            <charset val="136"/>
          </rPr>
          <t xml:space="preserve">YU Billy Fatong (余法通):
IMD Management &amp; Supervisory Forum Q2 2026 
Assembly Hall, HQ
30 Jun, Tue
0830-1000
</t>
        </r>
      </text>
    </comment>
    <comment ref="E10" authorId="1" shapeId="0" xr:uid="{9B9DB8CD-A1EC-44EF-B2CA-15C3242235B1}">
      <text>
        <r>
          <rPr>
            <sz val="12"/>
            <rFont val="新細明體"/>
            <family val="1"/>
            <charset val="136"/>
          </rPr>
          <t>SIU YK Yung Kit (蕭勇潔):
D8 (07/4)</t>
        </r>
      </text>
    </comment>
    <comment ref="F10" authorId="1" shapeId="0" xr:uid="{C52D321A-3E9A-46DF-A048-B2A973735F33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G10" authorId="1" shapeId="0" xr:uid="{67AB8AFB-F349-40BE-9C62-5E8B0642F347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H10" authorId="1" shapeId="0" xr:uid="{ECC57765-E1B4-4D87-B460-B9269B6AFA87}">
      <text>
        <r>
          <rPr>
            <sz val="12"/>
            <rFont val="新細明體"/>
            <family val="1"/>
            <charset val="136"/>
          </rPr>
          <t>SIU YK Yung Kit (蕭勇潔):
D11 (19/6)</t>
        </r>
      </text>
    </comment>
    <comment ref="AG10" authorId="2" shapeId="0" xr:uid="{E4C388D6-B096-4FB0-AF3E-711F1B27A539}">
      <text>
        <r>
          <rPr>
            <sz val="12"/>
            <rFont val="新細明體"/>
            <family val="1"/>
            <charset val="136"/>
          </rPr>
          <t xml:space="preserve">LEE CY Chi Yiu (李志堯):
16/06/2026
</t>
        </r>
      </text>
    </comment>
    <comment ref="AH10" authorId="2" shapeId="0" xr:uid="{3C22961E-8C03-4241-BFF8-C9A5D5D28726}">
      <text>
        <r>
          <rPr>
            <sz val="12"/>
            <rFont val="新細明體"/>
            <family val="1"/>
            <charset val="136"/>
          </rPr>
          <t>LEE CY Chi Yiu (李志堯):
16/06/2026</t>
        </r>
      </text>
    </comment>
    <comment ref="W11" authorId="2" shapeId="0" xr:uid="{F96F49D9-8918-4DCF-8027-0AC205017AEA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AE11" authorId="2" shapeId="0" xr:uid="{A1BFFB6E-5F6A-439F-A120-4C6B5D534ABC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P13" authorId="0" shapeId="0" xr:uid="{02D468C2-5ABA-4C63-B944-6A858739E899}">
      <text>
        <r>
          <rPr>
            <sz val="12"/>
            <rFont val="新細明體"/>
            <family val="1"/>
            <charset val="136"/>
          </rPr>
          <t xml:space="preserve">YU Billy Fatong (余法通):
C7731 AP
</t>
        </r>
      </text>
    </comment>
    <comment ref="AE13" authorId="0" shapeId="0" xr:uid="{AA204F70-3F61-47F8-89A8-9DCE142C4D8D}">
      <text>
        <r>
          <rPr>
            <sz val="12"/>
            <rFont val="新細明體"/>
            <family val="1"/>
            <charset val="136"/>
          </rPr>
          <t xml:space="preserve">YU Billy Fatong (余法通):
TOV 1050
</t>
        </r>
      </text>
    </comment>
    <comment ref="AG13" authorId="0" shapeId="0" xr:uid="{3FCC7FDC-9E5A-48E4-81D8-330A9914F348}">
      <text>
        <r>
          <rPr>
            <sz val="12"/>
            <rFont val="新細明體"/>
            <family val="1"/>
            <charset val="136"/>
          </rPr>
          <t xml:space="preserve">YU Billy Fatong (余法通):
D9
</t>
        </r>
      </text>
    </comment>
    <comment ref="AH13" authorId="3" shapeId="0" xr:uid="{789CD009-B360-4750-9CF8-AEE71855E9D1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AD15" authorId="0" shapeId="0" xr:uid="{2575BFA3-8217-48FD-88DA-10762A71F6AE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AG15" authorId="0" shapeId="0" xr:uid="{A74426C5-C729-4087-87A8-11E74D66BA4D}">
      <text>
        <r>
          <rPr>
            <sz val="12"/>
            <rFont val="新細明體"/>
            <family val="1"/>
            <charset val="136"/>
          </rPr>
          <t xml:space="preserve">YU Billy Fatong (余法通):
D10
</t>
        </r>
      </text>
    </comment>
    <comment ref="H17" authorId="0" shapeId="0" xr:uid="{2EC58D74-B3A6-4DBC-951F-3008B978DA1B}">
      <text>
        <r>
          <rPr>
            <sz val="12"/>
            <rFont val="新細明體"/>
            <family val="1"/>
            <charset val="136"/>
          </rPr>
          <t>YU Billy Fatong (余法通):
04/06/2026</t>
        </r>
      </text>
    </comment>
    <comment ref="U17" authorId="0" shapeId="0" xr:uid="{EAC4BACE-88A0-4D57-9B92-5BB7CEF7FD98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E19" authorId="1" shapeId="0" xr:uid="{0F0DF6FE-88AD-45B7-8325-318E7B5AD8D3}">
      <text>
        <r>
          <rPr>
            <sz val="12"/>
            <rFont val="新細明體"/>
            <family val="1"/>
            <charset val="136"/>
          </rPr>
          <t>SIU YK Yung Kit (蕭勇潔):
Updated on 09/02</t>
        </r>
      </text>
    </comment>
    <comment ref="R19" authorId="1" shapeId="0" xr:uid="{28D29640-631D-4598-9607-09E004E8C358}">
      <text>
        <r>
          <rPr>
            <sz val="12"/>
            <rFont val="新細明體"/>
            <family val="1"/>
            <charset val="136"/>
          </rPr>
          <t>SIU YK Yung Kit (蕭勇潔):
D11 (19/6)</t>
        </r>
      </text>
    </comment>
    <comment ref="AG19" authorId="0" shapeId="0" xr:uid="{AFD8FF7C-D922-4CD1-83E7-8E240EC5CBC5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AH19" authorId="3" shapeId="0" xr:uid="{BA081C15-E57D-4B6E-B9FB-9704F8CB2603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E20" authorId="1" shapeId="0" xr:uid="{8527B783-1717-431E-B2E6-15D93E52105C}">
      <text>
        <r>
          <rPr>
            <sz val="12"/>
            <rFont val="新細明體"/>
            <family val="1"/>
            <charset val="136"/>
          </rPr>
          <t>SIU YK Yung Kit (蕭勇潔):
Updated on 25/1/26</t>
        </r>
      </text>
    </comment>
    <comment ref="AC20" authorId="0" shapeId="0" xr:uid="{05AC78BC-2A3B-4B57-9777-29CEE7873511}">
      <text>
        <r>
          <rPr>
            <sz val="12"/>
            <rFont val="新細明體"/>
            <family val="1"/>
            <charset val="136"/>
          </rPr>
          <t>YU Billy Fatong (余法通):
HQ 2300-2330 2/F</t>
        </r>
      </text>
    </comment>
    <comment ref="AH20" authorId="3" shapeId="0" xr:uid="{E47959CF-C31F-47BB-B17A-AD5B3F555D18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I21" authorId="3" shapeId="0" xr:uid="{D98FA58A-D8F8-4C3D-8B0E-395EE19D6E2F}">
      <text>
        <r>
          <rPr>
            <sz val="12"/>
            <rFont val="新細明體"/>
            <family val="1"/>
            <charset val="136"/>
          </rPr>
          <t>LING Jenny Yik Ting (凌奕婷):
08:45 12:00 
C Hall B, 9/F Citylink, 9/F, Citylink Plaza</t>
        </r>
      </text>
    </comment>
    <comment ref="AB21" authorId="3" shapeId="0" xr:uid="{EE4B9C60-91A6-4F7D-8FDA-BBEFA28A693E}">
      <text>
        <r>
          <rPr>
            <sz val="12"/>
            <rFont val="新細明體"/>
            <family val="1"/>
            <charset val="136"/>
          </rPr>
          <t>LING Jenny Yik Ting (凌奕婷):
08:45-16:45
K01 -E&amp;M Eqpt Rm, G/F OTC-KBD, Operations Training Centre MTR Kowloon Bay Depot</t>
        </r>
      </text>
    </comment>
    <comment ref="AC21" authorId="3" shapeId="0" xr:uid="{E16A671D-9F50-4601-92A1-514FF939158A}">
      <text>
        <r>
          <rPr>
            <sz val="12"/>
            <rFont val="新細明體"/>
            <family val="1"/>
            <charset val="136"/>
          </rPr>
          <t>LING Jenny Yik Ting (凌奕婷):
08:45-16:45
K01 -E&amp;M Eqpt Rm, G/F OTC-KBD, Operations Training Centre MTR Kowloon Bay Depot</t>
        </r>
      </text>
    </comment>
    <comment ref="AD21" authorId="3" shapeId="0" xr:uid="{7BF25FC4-FE04-4C1D-8AC7-409D8AA63A7D}">
      <text>
        <r>
          <rPr>
            <sz val="12"/>
            <rFont val="新細明體"/>
            <family val="1"/>
            <charset val="136"/>
          </rPr>
          <t>LING Jenny Yik Ting (凌奕婷):
08:45-16:45
K01 -E&amp;M Eqpt Rm, G/F OTC-KBD, Operations Training Centre MTR Kowloon Bay Depot</t>
        </r>
      </text>
    </comment>
    <comment ref="E22" authorId="3" shapeId="0" xr:uid="{3537BA8A-75BF-4FB6-861E-FAB98D846C5B}">
      <text>
        <r>
          <rPr>
            <sz val="12"/>
            <rFont val="新細明體"/>
            <family val="1"/>
            <charset val="136"/>
          </rPr>
          <t>LING Jenny Yik Ting (凌奕婷):
08:45-12:00 
Operations Training Centre MTR Kowloon Bay Depot</t>
        </r>
      </text>
    </comment>
    <comment ref="H22" authorId="0" shapeId="0" xr:uid="{D4F48FA7-C6D7-4939-84DC-9834CCAE78EF}">
      <text>
        <r>
          <rPr>
            <sz val="12"/>
            <rFont val="新細明體"/>
            <family val="1"/>
            <charset val="136"/>
          </rPr>
          <t>YU Billy Fatong (余法通):
04/06/2026</t>
        </r>
      </text>
    </comment>
    <comment ref="I22" authorId="3" shapeId="0" xr:uid="{FE3E2375-BAE5-41DA-82FF-9236445A3841}">
      <text>
        <r>
          <rPr>
            <sz val="12"/>
            <rFont val="新細明體"/>
            <family val="1"/>
            <charset val="136"/>
          </rPr>
          <t>LING Jenny Yik Ting (凌奕婷):
08:45 12:00 
C Hall B, 9/F Citylink, 9/F, Citylink Plaza</t>
        </r>
      </text>
    </comment>
    <comment ref="AA22" authorId="1" shapeId="0" xr:uid="{C7794F96-42C3-479D-8DBE-E097A08291A3}">
      <text>
        <r>
          <rPr>
            <sz val="12"/>
            <rFont val="新細明體"/>
            <family val="1"/>
            <charset val="136"/>
          </rPr>
          <t>SIU YK Yung Kit (蕭勇潔):
Updated on 01/4</t>
        </r>
      </text>
    </comment>
    <comment ref="AC22" authorId="1" shapeId="0" xr:uid="{AD7C3BEA-EE73-4143-927F-D658239188C5}">
      <text>
        <r>
          <rPr>
            <sz val="12"/>
            <rFont val="新細明體"/>
            <family val="1"/>
            <charset val="136"/>
          </rPr>
          <t>SIU YK Yung Kit (蕭勇潔):
D11 (19/6)</t>
        </r>
      </text>
    </comment>
    <comment ref="AD22" authorId="1" shapeId="0" xr:uid="{8ACD90A0-99A5-4422-99E0-9BAD88FD59FB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E23" authorId="1" shapeId="0" xr:uid="{DE986F08-5939-4736-AC43-54EF1B824E2E}">
      <text>
        <r>
          <rPr>
            <sz val="12"/>
            <rFont val="新細明體"/>
            <family val="1"/>
            <charset val="136"/>
          </rPr>
          <t>SIU YK Yung Kit (蕭勇潔):
D8 (07/4)</t>
        </r>
      </text>
    </comment>
    <comment ref="F23" authorId="1" shapeId="0" xr:uid="{80FD15E6-55F6-456E-A386-AA6F13C0732A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E24" authorId="0" shapeId="0" xr:uid="{6FE46BDB-3F30-4265-96E7-D78810D12BC7}">
      <text>
        <r>
          <rPr>
            <sz val="12"/>
            <rFont val="新細明體"/>
            <family val="1"/>
            <charset val="136"/>
          </rPr>
          <t>YU Billy Fatong (余法通):
01/06/2026</t>
        </r>
      </text>
    </comment>
    <comment ref="F24" authorId="3" shapeId="0" xr:uid="{B1C386FB-03BD-4505-B781-EA56396B5202}">
      <text>
        <r>
          <rPr>
            <sz val="12"/>
            <rFont val="新細明體"/>
            <family val="1"/>
            <charset val="136"/>
          </rPr>
          <t>LING Jenny Yik Ting (凌奕婷):
08:45-16:45 
EMU139, 1/F OTC-PHD, Operations Training Centre 1/F, Main Building, MTR Pat Heung Depot</t>
        </r>
      </text>
    </comment>
    <comment ref="G24" authorId="3" shapeId="0" xr:uid="{39126133-A00B-4541-9DEA-036F1461EA3D}">
      <text>
        <r>
          <rPr>
            <sz val="12"/>
            <rFont val="新細明體"/>
            <family val="1"/>
            <charset val="136"/>
          </rPr>
          <t>LING Jenny Yik Ting (凌奕婷):
08:45-16:45 
EMU139, 1/F OTC-PHD, Operations Training Centre 1/F, Main Building, MTR Pat Heung Depot</t>
        </r>
      </text>
    </comment>
    <comment ref="H24" authorId="3" shapeId="0" xr:uid="{AE74C531-4335-4498-8C65-BA499225BA8E}">
      <text>
        <r>
          <rPr>
            <sz val="12"/>
            <rFont val="新細明體"/>
            <family val="1"/>
            <charset val="136"/>
          </rPr>
          <t>LING Jenny Yik Ting (凌奕婷):
08:45-16:45 
EMU139, 1/F OTC-PHD, Operations Training Centre 1/F, Main Building, MTR Pat Heung Depot</t>
        </r>
      </text>
    </comment>
    <comment ref="I26" authorId="0" shapeId="0" xr:uid="{24C1AADD-62A4-4F60-A2F3-026266CDF0E0}">
      <text>
        <r>
          <rPr>
            <sz val="12"/>
            <rFont val="新細明體"/>
            <family val="1"/>
            <charset val="136"/>
          </rPr>
          <t>YU Billy Fatong (余法通):
D8</t>
        </r>
      </text>
    </comment>
    <comment ref="M26" authorId="3" shapeId="0" xr:uid="{D3D283FE-D5D4-4973-81A6-B3724B233894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H27" authorId="0" shapeId="0" xr:uid="{7CBDF901-8BF5-409B-8B95-2C6B6BF120E4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I27" authorId="0" shapeId="0" xr:uid="{2C7EFAE0-2019-45D8-B184-FB7324FA2547}">
      <text>
        <r>
          <rPr>
            <sz val="12"/>
            <rFont val="新細明體"/>
            <family val="1"/>
            <charset val="136"/>
          </rPr>
          <t xml:space="preserve">YU Billy Fatong (余法通):
D8
</t>
        </r>
      </text>
    </comment>
    <comment ref="M27" authorId="3" shapeId="0" xr:uid="{21650978-2E09-471B-8007-B624563EC54D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O27" authorId="0" shapeId="0" xr:uid="{1301DD5E-0BF7-46D0-9729-B9E42F81D45C}">
      <text>
        <r>
          <rPr>
            <sz val="12"/>
            <rFont val="新細明體"/>
            <family val="1"/>
            <charset val="136"/>
          </rPr>
          <t>YU Billy Fatong (余法通):
30/5</t>
        </r>
      </text>
    </comment>
    <comment ref="P27" authorId="1" shapeId="0" xr:uid="{F111AF95-1791-437C-90BD-29839F0CEF12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AF27" authorId="0" shapeId="0" xr:uid="{36E69C99-5B3E-4C99-995A-7FF71BFF7A03}">
      <text>
        <r>
          <rPr>
            <sz val="12"/>
            <rFont val="新細明體"/>
            <family val="1"/>
            <charset val="136"/>
          </rPr>
          <t>YU Billy Fatong (余法通):
30/5</t>
        </r>
      </text>
    </comment>
    <comment ref="N28" authorId="3" shapeId="0" xr:uid="{E0FCAFEC-8410-471C-B9AA-B2C8CFD2D666}">
      <text>
        <r>
          <rPr>
            <sz val="12"/>
            <rFont val="新細明體"/>
            <family val="1"/>
            <charset val="136"/>
          </rPr>
          <t xml:space="preserve">LING Jenny Yik Ting (凌奕婷):
T09 cancelled 
CL 
</t>
        </r>
      </text>
    </comment>
    <comment ref="AF28" authorId="1" shapeId="0" xr:uid="{B260A79C-1767-4836-A3A5-3685D57D390E}">
      <text>
        <r>
          <rPr>
            <sz val="12"/>
            <rFont val="新細明體"/>
            <family val="1"/>
            <charset val="136"/>
          </rPr>
          <t>SIU YK Yung Kit (蕭勇潔):
D11 (19/6)</t>
        </r>
      </text>
    </comment>
    <comment ref="AG28" authorId="1" shapeId="0" xr:uid="{81030A95-8E53-4398-AC9B-CE2FBB70C819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AH28" authorId="1" shapeId="0" xr:uid="{0B86AE4C-C376-420F-85A6-9C98598AA2F0}">
      <text>
        <r>
          <rPr>
            <sz val="12"/>
            <rFont val="新細明體"/>
            <family val="1"/>
            <charset val="136"/>
          </rPr>
          <t>SIU YK Yung Kit (蕭勇潔):
Update on 02/3/2026</t>
        </r>
      </text>
    </comment>
    <comment ref="AD29" authorId="1" shapeId="0" xr:uid="{1FA599E4-0A2E-4AA7-81FC-0065A259BA0D}">
      <text>
        <r>
          <rPr>
            <sz val="12"/>
            <rFont val="新細明體"/>
            <family val="1"/>
            <charset val="136"/>
          </rPr>
          <t>SIU YK Yung Kit (蕭勇潔):
D11 (19/6)</t>
        </r>
      </text>
    </comment>
    <comment ref="AF29" authorId="1" shapeId="0" xr:uid="{6B3BBF06-683A-4F99-B135-F39EEF35ECC4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N30" authorId="3" shapeId="0" xr:uid="{BFC8C62B-00DD-4EC9-B481-163200B41F17}">
      <text>
        <r>
          <rPr>
            <sz val="12"/>
            <rFont val="新細明體"/>
            <family val="1"/>
            <charset val="136"/>
          </rPr>
          <t>LING Jenny Yik Ting (凌奕婷):
08:45-16:45 
Room C8, 9/F Citylink, 9/F, Citylink Plaza,</t>
        </r>
      </text>
    </comment>
    <comment ref="O30" authorId="3" shapeId="0" xr:uid="{10160C31-F855-4D32-B669-567AA21BFE16}">
      <text>
        <r>
          <rPr>
            <sz val="12"/>
            <rFont val="新細明體"/>
            <family val="1"/>
            <charset val="136"/>
          </rPr>
          <t>LING Jenny Yik Ting (凌奕婷):
08:45-16:45 
Room C8, 9/F Citylink, 9/F, Citylink Plaza,</t>
        </r>
      </text>
    </comment>
    <comment ref="P30" authorId="1" shapeId="0" xr:uid="{FFDB07EF-D9F1-4615-8301-E6DE47B91E63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AF31" authorId="0" shapeId="0" xr:uid="{A9779718-29BB-4DFF-8F2C-6F327930D502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AG31" authorId="0" shapeId="0" xr:uid="{78D33C1A-3EDE-4B78-A8F5-BE3801F8E83B}">
      <text>
        <r>
          <rPr>
            <sz val="12"/>
            <rFont val="新細明體"/>
            <family val="1"/>
            <charset val="136"/>
          </rPr>
          <t xml:space="preserve">YU Billy Fatong (余法通):
D12
</t>
        </r>
      </text>
    </comment>
    <comment ref="AH31" authorId="0" shapeId="0" xr:uid="{F00FF14B-760B-40AB-A49B-B91A0642AF53}">
      <text>
        <r>
          <rPr>
            <sz val="12"/>
            <rFont val="新細明體"/>
            <family val="1"/>
            <charset val="136"/>
          </rPr>
          <t>YU Billy Fatong (余法通):
03/05/2026</t>
        </r>
      </text>
    </comment>
    <comment ref="E32" authorId="0" shapeId="0" xr:uid="{9223C0F7-B17D-47BB-B69D-AF5786E2BADA}">
      <text>
        <r>
          <rPr>
            <sz val="12"/>
            <rFont val="新細明體"/>
            <family val="1"/>
            <charset val="136"/>
          </rPr>
          <t xml:space="preserve">YU Billy Fatong (余法通):
D9
</t>
        </r>
      </text>
    </comment>
    <comment ref="F32" authorId="0" shapeId="0" xr:uid="{85AEAB3B-CB52-4158-BDE1-CC0B48F292BC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N34" authorId="0" shapeId="0" xr:uid="{5D7A0E4D-55D9-4D88-A1EC-FF58AE06756B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O34" authorId="3" shapeId="0" xr:uid="{36FF7AC1-1DC7-41B0-BB80-CBEC04ED9297}">
      <text>
        <r>
          <rPr>
            <sz val="12"/>
            <rFont val="新細明體"/>
            <family val="1"/>
            <charset val="136"/>
          </rPr>
          <t>LING Jenny Yik Ting (凌奕婷):
08:45-16:45 
Room C3, 9/F Citylink, 9/F, Citylink Plaza</t>
        </r>
      </text>
    </comment>
    <comment ref="T34" authorId="3" shapeId="0" xr:uid="{B8B818E2-C59B-4604-BFF5-083CC841CEB0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U34" authorId="3" shapeId="0" xr:uid="{378C38D0-26F8-43FC-98A6-B8E624D41B56}">
      <text>
        <r>
          <rPr>
            <sz val="12"/>
            <rFont val="新細明體"/>
            <family val="1"/>
            <charset val="136"/>
          </rPr>
          <t>LING Jenny Yik Ting (凌奕婷):
9:00AM-4:30PM
WKL408, Hong Kong Red Cross 
Headquarters</t>
        </r>
      </text>
    </comment>
    <comment ref="V34" authorId="3" shapeId="0" xr:uid="{F0A04599-0522-49DA-B477-3F325F717899}">
      <text>
        <r>
          <rPr>
            <sz val="12"/>
            <rFont val="新細明體"/>
            <family val="1"/>
            <charset val="136"/>
          </rPr>
          <t>LING Jenny Yik Ting (凌奕婷):
9:00AM-4:30PM
WKL408, Hong Kong Red Cross 
Headquarters</t>
        </r>
      </text>
    </comment>
    <comment ref="AC34" authorId="0" shapeId="0" xr:uid="{475058C0-42EA-4AD4-8D83-7306F69CEA78}">
      <text>
        <r>
          <rPr>
            <sz val="12"/>
            <rFont val="新細明體"/>
            <family val="1"/>
            <charset val="136"/>
          </rPr>
          <t>YU Billy Fatong (余法通):
2300-2330 HQ 2/F</t>
        </r>
      </text>
    </comment>
    <comment ref="T35" authorId="3" shapeId="0" xr:uid="{E2C1394D-2EF9-40FC-BB40-1E0D1EB1523C}">
      <text>
        <r>
          <rPr>
            <sz val="12"/>
            <rFont val="新細明體"/>
            <family val="1"/>
            <charset val="136"/>
          </rPr>
          <t>LING Jenny Yik Ting (凌奕婷):
13:30 17:00 
Classroom 6, M/F OTC-TAD, M/F Main Building, MTR Tai Wai Depot</t>
        </r>
      </text>
    </comment>
    <comment ref="V35" authorId="3" shapeId="0" xr:uid="{7C80A316-6375-452B-AF71-28726A649E5C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AD35" authorId="1" shapeId="0" xr:uid="{A3E97BDB-29C8-48A9-898C-DE9B63FFEE8E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G36" authorId="0" shapeId="0" xr:uid="{E5B1282E-4D0A-45B0-B693-0670B7FAB7A2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H36" authorId="0" shapeId="0" xr:uid="{88D86F8D-C3ED-4867-AB55-4F737A147D6C}">
      <text>
        <r>
          <rPr>
            <sz val="12"/>
            <rFont val="新細明體"/>
            <family val="1"/>
            <charset val="136"/>
          </rPr>
          <t xml:space="preserve">YU Billy Fatong (余法通):
D8
</t>
        </r>
      </text>
    </comment>
    <comment ref="I36" authorId="0" shapeId="0" xr:uid="{5C4D15D6-09C1-47C9-A9C4-C9A5ABAFB085}">
      <text>
        <r>
          <rPr>
            <sz val="12"/>
            <rFont val="新細明體"/>
            <family val="1"/>
            <charset val="136"/>
          </rPr>
          <t xml:space="preserve">YU Billy Fatong (余法通):
D9
</t>
        </r>
      </text>
    </comment>
    <comment ref="L36" authorId="3" shapeId="0" xr:uid="{A8BD6BB3-97C8-4512-9E99-31AD72B09674}">
      <text>
        <r>
          <rPr>
            <sz val="12"/>
            <rFont val="新細明體"/>
            <family val="1"/>
            <charset val="136"/>
          </rPr>
          <t>LING Jenny Yik Ting (凌奕婷):
08:45-16:45 
Room C7, 9/F Citylink, 9/F, Citylink Plaza</t>
        </r>
      </text>
    </comment>
    <comment ref="M36" authorId="3" shapeId="0" xr:uid="{FBBEF71C-740A-4837-B6C7-88393B6E5560}">
      <text>
        <r>
          <rPr>
            <sz val="12"/>
            <rFont val="新細明體"/>
            <family val="1"/>
            <charset val="136"/>
          </rPr>
          <t>LING Jenny Yik Ting (凌奕婷):
08:45-16:45
Room C7, 9/F Citylink, 9/F, Citylink Plaza</t>
        </r>
      </text>
    </comment>
    <comment ref="N36" authorId="1" shapeId="0" xr:uid="{9F0A6DCE-B99E-423C-8EEC-D1F845B18EAC}">
      <text>
        <r>
          <rPr>
            <sz val="12"/>
            <rFont val="新細明體"/>
            <family val="1"/>
            <charset val="136"/>
          </rPr>
          <t>SIU YK Yung Kit (蕭勇潔):
Updated on 24/04/2026</t>
        </r>
      </text>
    </comment>
    <comment ref="T36" authorId="3" shapeId="0" xr:uid="{5CB73287-9A39-4DDB-A862-CFA2ECC0D54F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E37" authorId="0" shapeId="0" xr:uid="{1F8CD6CD-AABB-4A3A-AF04-A010E41A3FD6}">
      <text>
        <r>
          <rPr>
            <sz val="12"/>
            <rFont val="新細明體"/>
            <family val="1"/>
            <charset val="136"/>
          </rPr>
          <t xml:space="preserve">YU Billy Fatong (余法通):
D10
</t>
        </r>
      </text>
    </comment>
    <comment ref="L37" authorId="3" shapeId="0" xr:uid="{99E6C5A5-9519-4A5D-ABA7-E35B6403DC47}">
      <text>
        <r>
          <rPr>
            <sz val="12"/>
            <rFont val="新細明體"/>
            <family val="1"/>
            <charset val="136"/>
          </rPr>
          <t>LING Jenny Yik Ting (凌奕婷):
08:45-16:45 
Room C7, 9/F Citylink, 9/F, Citylink Plaza</t>
        </r>
      </text>
    </comment>
    <comment ref="M37" authorId="3" shapeId="0" xr:uid="{7CCACA29-679A-4377-B93F-B28ECB4CCE28}">
      <text>
        <r>
          <rPr>
            <sz val="12"/>
            <rFont val="新細明體"/>
            <family val="1"/>
            <charset val="136"/>
          </rPr>
          <t>LING Jenny Yik Ting (凌奕婷):
08:45-16:45
Room C7, 9/F Citylink, 9/F, Citylink Plaza</t>
        </r>
      </text>
    </comment>
    <comment ref="N37" authorId="3" shapeId="0" xr:uid="{16CD81D8-93D7-42AE-8895-103F9B677959}">
      <text>
        <r>
          <rPr>
            <sz val="12"/>
            <rFont val="新細明體"/>
            <family val="1"/>
            <charset val="136"/>
          </rPr>
          <t>LING Jenny Yik Ting (凌奕婷):
09:00-17:00 
Room 801, 8/F HQs, MT&amp;D Centre, 8/F HQs</t>
        </r>
      </text>
    </comment>
    <comment ref="S37" authorId="3" shapeId="0" xr:uid="{F4B3AF1C-46A1-46A8-9FDC-47D1E66BD8D9}">
      <text>
        <r>
          <rPr>
            <sz val="12"/>
            <rFont val="新細明體"/>
            <family val="1"/>
            <charset val="136"/>
          </rPr>
          <t>LING Jenny Yik Ting (凌奕婷):
08:45-16:45 
K13 - Telecom Eqpt Rm, 1/F KBD, Operations Training Centre MTR Kowloon Bay Depot</t>
        </r>
      </text>
    </comment>
    <comment ref="T37" authorId="3" shapeId="0" xr:uid="{DA8A5562-2E3C-45A4-8D98-B6D0228719AB}">
      <text>
        <r>
          <rPr>
            <sz val="12"/>
            <rFont val="新細明體"/>
            <family val="1"/>
            <charset val="136"/>
          </rPr>
          <t>LING Jenny Yik Ting (凌奕婷):
08:45-16:45 
K13 - Telecom Eqpt Rm, 1/F KBD, Operations Training Centre MTR Kowloon Bay Depot</t>
        </r>
      </text>
    </comment>
    <comment ref="I38" authorId="0" shapeId="0" xr:uid="{4C39C4B6-99BC-421C-B860-D5BEE9499E28}">
      <text>
        <r>
          <rPr>
            <sz val="12"/>
            <rFont val="新細明體"/>
            <family val="1"/>
            <charset val="136"/>
          </rPr>
          <t>YU Billy Fatong (余法通):
26/5
D8
SL 04/06/2026</t>
        </r>
      </text>
    </comment>
    <comment ref="T38" authorId="3" shapeId="0" xr:uid="{6E021C99-9BEF-4E09-9EF0-696B37BA96C8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V38" authorId="0" shapeId="0" xr:uid="{BC1D42CC-FB67-48C3-A3B3-766723BF47AF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W38" authorId="0" shapeId="0" xr:uid="{A0F6C304-1BAB-4A8E-AF0A-DF7E9F2DC799}">
      <text>
        <r>
          <rPr>
            <sz val="12"/>
            <rFont val="新細明體"/>
            <family val="1"/>
            <charset val="136"/>
          </rPr>
          <t xml:space="preserve">YU Billy Fatong (余法通):
D10
</t>
        </r>
      </text>
    </comment>
    <comment ref="E39" authorId="0" shapeId="0" xr:uid="{D2B5CCA2-5F2E-49EC-858C-C88E16C876FC}">
      <text>
        <r>
          <rPr>
            <sz val="12"/>
            <rFont val="新細明體"/>
            <family val="1"/>
            <charset val="136"/>
          </rPr>
          <t>YU Billy Fatong (余法通):
D6</t>
        </r>
      </text>
    </comment>
    <comment ref="F39" authorId="0" shapeId="0" xr:uid="{F832B320-D32A-43BD-804A-112BE74AD6F6}">
      <text>
        <r>
          <rPr>
            <sz val="12"/>
            <rFont val="新細明體"/>
            <family val="1"/>
            <charset val="136"/>
          </rPr>
          <t>YU Billy Fatong (余法通):
D7</t>
        </r>
      </text>
    </comment>
    <comment ref="G39" authorId="0" shapeId="0" xr:uid="{DBC6DFB5-EA5C-4CEA-8723-959A45B85F8C}">
      <text>
        <r>
          <rPr>
            <sz val="12"/>
            <rFont val="新細明體"/>
            <family val="1"/>
            <charset val="136"/>
          </rPr>
          <t>YU Billy Fatong (余法通):
D8</t>
        </r>
      </text>
    </comment>
    <comment ref="S39" authorId="3" shapeId="0" xr:uid="{C75B13F8-2968-46AC-86F3-ADB959D9FDF7}">
      <text>
        <r>
          <rPr>
            <sz val="12"/>
            <rFont val="新細明體"/>
            <family val="1"/>
            <charset val="136"/>
          </rPr>
          <t>LING Jenny Yik Ting (凌奕婷):
08:45-16:45 
K13 - Telecom Eqpt Rm, 1/F KBD, Operations Training Centre MTR Kowloon Bay Depot</t>
        </r>
      </text>
    </comment>
    <comment ref="T39" authorId="3" shapeId="0" xr:uid="{04823AE6-A6A3-450B-B4C1-E6C621031469}">
      <text>
        <r>
          <rPr>
            <sz val="12"/>
            <rFont val="新細明體"/>
            <family val="1"/>
            <charset val="136"/>
          </rPr>
          <t>LING Jenny Yik Ting (凌奕婷):
08:45-16:45 
K13 - Telecom Eqpt Rm, 1/F KBD, Operations Training Centre MTR Kowloon Bay Depot</t>
        </r>
      </text>
    </comment>
    <comment ref="V39" authorId="0" shapeId="0" xr:uid="{79ED6559-A939-461E-8894-C720FAC922E6}">
      <text>
        <r>
          <rPr>
            <sz val="12"/>
            <rFont val="新細明體"/>
            <family val="1"/>
            <charset val="136"/>
          </rPr>
          <t xml:space="preserve">YU Billy Fatong (余法通):
30/5
</t>
        </r>
      </text>
    </comment>
    <comment ref="W39" authorId="0" shapeId="0" xr:uid="{339AB0EC-5C37-4835-B37D-60F5B60DA0EA}">
      <text>
        <r>
          <rPr>
            <sz val="12"/>
            <rFont val="新細明體"/>
            <family val="1"/>
            <charset val="136"/>
          </rPr>
          <t>YU Billy Fatong (余法通):
30/5</t>
        </r>
      </text>
    </comment>
    <comment ref="AF39" authorId="0" shapeId="0" xr:uid="{C308E370-F310-4128-9093-B6900B3516DB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W41" authorId="0" shapeId="0" xr:uid="{39E0B142-1F78-4412-9766-070D500B7A96}">
      <text>
        <r>
          <rPr>
            <sz val="12"/>
            <rFont val="新細明體"/>
            <family val="1"/>
            <charset val="136"/>
          </rPr>
          <t>YU Billy Fatong (余法通):
2/6</t>
        </r>
      </text>
    </comment>
    <comment ref="AB41" authorId="3" shapeId="0" xr:uid="{5A90BDF8-7CB1-4B3B-BB48-B378B6BF045C}">
      <text>
        <r>
          <rPr>
            <sz val="12"/>
            <rFont val="新細明體"/>
            <family val="1"/>
            <charset val="136"/>
          </rPr>
          <t>LING Jenny Yik Ting (凌奕婷):
10:30-12:00 
KBD- Trg track compond
要先做CBT,上實習課個日要show俾阿sir睇完成左CBT先可以上實習課</t>
        </r>
      </text>
    </comment>
    <comment ref="AC41" authorId="0" shapeId="0" xr:uid="{81F33FDD-B85E-415A-9382-C037B1089D42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AD41" authorId="0" shapeId="0" xr:uid="{51C499C0-FB85-4FA2-8F79-81BB27B6883C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E42" authorId="0" shapeId="0" xr:uid="{D2099AB9-523F-4010-837D-9A00DCF99D44}">
      <text>
        <r>
          <rPr>
            <sz val="12"/>
            <rFont val="新細明體"/>
            <family val="1"/>
            <charset val="136"/>
          </rPr>
          <t>YU Billy Fatong (余法通):
D8</t>
        </r>
      </text>
    </comment>
    <comment ref="F42" authorId="0" shapeId="0" xr:uid="{632CAA35-C481-4D68-8348-88B28C2522B9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AD43" authorId="1" shapeId="0" xr:uid="{5050DC71-BB9E-4793-9E89-5875A7FE43B2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AG43" authorId="1" shapeId="0" xr:uid="{5F9A609F-2BEF-44E7-90D5-29884EBCCE85}">
      <text>
        <r>
          <rPr>
            <sz val="12"/>
            <rFont val="新細明體"/>
            <family val="1"/>
            <charset val="136"/>
          </rPr>
          <t>SIU YK Yung Kit (蕭勇潔):
Updated on 21/5</t>
        </r>
      </text>
    </comment>
    <comment ref="AG44" authorId="0" shapeId="0" xr:uid="{827B8E78-40B1-40C7-8EFC-CCE0FEC6A2DF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AH44" authorId="0" shapeId="0" xr:uid="{C3B1175E-CD7E-49DA-8C32-004026F5DF55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AC45" authorId="1" shapeId="0" xr:uid="{6200D508-A96B-4204-9CDA-353E2C8F0863}">
      <text>
        <r>
          <rPr>
            <sz val="12"/>
            <rFont val="新細明體"/>
            <family val="1"/>
            <charset val="136"/>
          </rPr>
          <t>SIU YK Yung Kit (蕭勇潔):
D9 (01/5)</t>
        </r>
      </text>
    </comment>
    <comment ref="AD45" authorId="1" shapeId="0" xr:uid="{A6C44A02-CF35-49F9-8D69-F940CB65A982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Z46" authorId="3" shapeId="0" xr:uid="{026CBD23-F937-406B-99D2-EE76EB924CF3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AA46" authorId="3" shapeId="0" xr:uid="{E6F9F1D5-F13E-4E66-8BA1-3DCB1FFC626B}">
      <text>
        <r>
          <rPr>
            <sz val="12"/>
            <rFont val="新細明體"/>
            <family val="1"/>
            <charset val="136"/>
          </rPr>
          <t>LING Jenny Yik Ting (凌奕婷):
08:45-16:45 
EMU138, 1/F OTC-PHD, Operations Training Centre 1/F, Main Building, MTR Pat Heung Depot</t>
        </r>
      </text>
    </comment>
    <comment ref="AB46" authorId="3" shapeId="0" xr:uid="{EEBACD5E-92AC-4297-958F-A7C930FFE6DB}">
      <text>
        <r>
          <rPr>
            <sz val="12"/>
            <rFont val="新細明體"/>
            <family val="1"/>
            <charset val="136"/>
          </rPr>
          <t>LING Jenny Yik Ting (凌奕婷):
08:45-12:00 
EMU138, 1/F OTC-PHD, Operations Training Centre 1/F, Main Building, MTR Pat Heung Depot</t>
        </r>
      </text>
    </comment>
    <comment ref="Z47" authorId="0" shapeId="0" xr:uid="{4F53EB98-EBAF-4E13-98E4-89B4AC10270C}">
      <text>
        <r>
          <rPr>
            <sz val="12"/>
            <rFont val="新細明體"/>
            <family val="1"/>
            <charset val="136"/>
          </rPr>
          <t xml:space="preserve">YU Billy Fatong (余法通):
D8
</t>
        </r>
      </text>
    </comment>
    <comment ref="AA47" authorId="0" shapeId="0" xr:uid="{A6723FBC-5B14-4357-903A-CA1128B26F97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V49" authorId="2" shapeId="0" xr:uid="{344853CF-F919-4EC3-9026-A9FE9F7C3E42}">
      <text>
        <r>
          <rPr>
            <sz val="12"/>
            <rFont val="新細明體"/>
            <family val="1"/>
            <charset val="136"/>
          </rPr>
          <t>LEE CY Chi Yiu (李志堯):
26/6</t>
        </r>
      </text>
    </comment>
    <comment ref="AF55" authorId="0" shapeId="0" xr:uid="{73FE822F-38FD-46C4-BBBB-DA40693F8DFB}">
      <text>
        <r>
          <rPr>
            <sz val="12"/>
            <rFont val="新細明體"/>
            <family val="1"/>
            <charset val="136"/>
          </rPr>
          <t xml:space="preserve">YU Billy Fatong (余法通):
1/7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SIU YK Yung Kit (蕭勇潔)</author>
    <author>YU Billy Fatong (余法通)</author>
    <author>LEE CY Chi Yiu (李志堯)</author>
    <author>LING Jenny Yik Ting (凌奕婷)</author>
  </authors>
  <commentList>
    <comment ref="E5" authorId="0" shapeId="0" xr:uid="{C48CEE3F-A4AB-4892-956E-8F87516ACF4C}">
      <text>
        <r>
          <rPr>
            <sz val="12"/>
            <rFont val="新細明體"/>
            <family val="1"/>
            <charset val="136"/>
          </rPr>
          <t xml:space="preserve">D12
</t>
        </r>
      </text>
    </comment>
    <comment ref="M9" authorId="1" shapeId="0" xr:uid="{3F67F3FB-DEA1-43DB-A744-0D7D216E2324}">
      <text>
        <r>
          <rPr>
            <sz val="12"/>
            <rFont val="新細明體"/>
            <family val="1"/>
            <charset val="136"/>
          </rPr>
          <t xml:space="preserve">YU Billy Fatong (余法通):
Confirmed
</t>
        </r>
      </text>
    </comment>
    <comment ref="E10" authorId="0" shapeId="0" xr:uid="{EAA7D6B5-D909-4D65-8157-AC58339A57AE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AH10" authorId="2" shapeId="0" xr:uid="{909FC5A3-9878-49D7-B2C4-23E87F0D05CD}">
      <text>
        <r>
          <rPr>
            <sz val="12"/>
            <rFont val="新細明體"/>
            <family val="1"/>
            <charset val="136"/>
          </rPr>
          <t>LEE CY Chi Yiu (李志堯):
17/7</t>
        </r>
      </text>
    </comment>
    <comment ref="AI10" authorId="2" shapeId="0" xr:uid="{ACA8986A-B3E0-4669-9A2D-C0A25A9C9953}">
      <text>
        <r>
          <rPr>
            <sz val="12"/>
            <rFont val="新細明體"/>
            <family val="1"/>
            <charset val="136"/>
          </rPr>
          <t>LEE CY Chi Yiu (李志堯):
17/7</t>
        </r>
      </text>
    </comment>
    <comment ref="O11" authorId="2" shapeId="0" xr:uid="{50DBEDA7-E7D5-43C1-9AD9-A4934B80B1FD}">
      <text>
        <r>
          <rPr>
            <sz val="12"/>
            <rFont val="新細明體"/>
            <family val="1"/>
            <charset val="136"/>
          </rPr>
          <t>LEE CY Chi Yiu (李志堯):
11/7</t>
        </r>
      </text>
    </comment>
    <comment ref="AF11" authorId="2" shapeId="0" xr:uid="{75333744-778E-4D57-B7DA-9E0F37E4E4B2}">
      <text>
        <r>
          <rPr>
            <sz val="12"/>
            <rFont val="新細明體"/>
            <family val="1"/>
            <charset val="136"/>
          </rPr>
          <t>LEE CY Chi Yiu (李志堯):
20/7</t>
        </r>
      </text>
    </comment>
    <comment ref="AG11" authorId="2" shapeId="0" xr:uid="{2645C58B-63E8-45DF-BECA-5CD272F1C029}">
      <text>
        <r>
          <rPr>
            <sz val="12"/>
            <rFont val="新細明體"/>
            <family val="1"/>
            <charset val="136"/>
          </rPr>
          <t>LEE CY Chi Yiu (李志堯):
20/7</t>
        </r>
      </text>
    </comment>
    <comment ref="AH11" authorId="2" shapeId="0" xr:uid="{7CCCA99D-AE82-4E6A-A2E1-81D28E8A1098}">
      <text>
        <r>
          <rPr>
            <sz val="12"/>
            <rFont val="新細明體"/>
            <family val="1"/>
            <charset val="136"/>
          </rPr>
          <t>LEE CY Chi Yiu (李志堯):
20/7</t>
        </r>
      </text>
    </comment>
    <comment ref="AI11" authorId="2" shapeId="0" xr:uid="{548BCCF3-9592-45C4-BF41-97860130439B}">
      <text>
        <r>
          <rPr>
            <sz val="12"/>
            <rFont val="新細明體"/>
            <family val="1"/>
            <charset val="136"/>
          </rPr>
          <t>LEE CY Chi Yiu (李志堯):
20/7</t>
        </r>
      </text>
    </comment>
    <comment ref="J13" authorId="1" shapeId="0" xr:uid="{2F87C26C-3866-4D9F-9B55-EAB51068566B}">
      <text>
        <r>
          <rPr>
            <sz val="12"/>
            <rFont val="新細明體"/>
            <family val="1"/>
            <charset val="136"/>
          </rPr>
          <t>YU Billy Fatong (余法通):
05/7 remote earthing</t>
        </r>
      </text>
    </comment>
    <comment ref="T13" authorId="1" shapeId="0" xr:uid="{E72523ED-C1D9-403B-A78D-2259C9BD31A2}">
      <text>
        <r>
          <rPr>
            <sz val="12"/>
            <rFont val="新細明體"/>
            <family val="1"/>
            <charset val="136"/>
          </rPr>
          <t>YU Billy Fatong (余法通):
03/07/2026</t>
        </r>
      </text>
    </comment>
    <comment ref="U13" authorId="1" shapeId="0" xr:uid="{F46A1132-8C42-4E30-98F0-41D6AB775380}">
      <text>
        <r>
          <rPr>
            <sz val="12"/>
            <rFont val="新細明體"/>
            <family val="1"/>
            <charset val="136"/>
          </rPr>
          <t>YU Billy Fatong (余法通):
27/6 compensate</t>
        </r>
      </text>
    </comment>
    <comment ref="O15" authorId="1" shapeId="0" xr:uid="{F1582324-0FF2-40BC-B2A0-885D6976B083}">
      <text>
        <r>
          <rPr>
            <sz val="12"/>
            <rFont val="新細明體"/>
            <family val="1"/>
            <charset val="136"/>
          </rPr>
          <t xml:space="preserve">YU Billy Fatong (余法通):
TOV1050
</t>
        </r>
      </text>
    </comment>
    <comment ref="Q15" authorId="3" shapeId="0" xr:uid="{7EF58E03-9EB6-4AD9-A1E5-02B3727814E1}">
      <text>
        <r>
          <rPr>
            <sz val="12"/>
            <rFont val="新細明體"/>
            <family val="1"/>
            <charset val="136"/>
          </rPr>
          <t>LING Jenny Yik Ting (凌奕婷):
KBD TCC</t>
        </r>
      </text>
    </comment>
    <comment ref="R15" authorId="3" shapeId="0" xr:uid="{6442AE89-5382-4688-903F-930CBA62BF53}">
      <text>
        <r>
          <rPr>
            <sz val="12"/>
            <rFont val="新細明體"/>
            <family val="1"/>
            <charset val="136"/>
          </rPr>
          <t>LING Jenny Yik Ting (凌奕婷):
T10: 08:45-12:00 
K13 - Telecom Eqpt Rm, 1/F KBD, Operations Training Centre MTR Kowloon Bay Depot
T11: 13:30-16:45 
K13 - Telecom Eqpt Rm, 1/F KBD, Operations Training Centre MTR Kowloon Bay Depot</t>
        </r>
      </text>
    </comment>
    <comment ref="T15" authorId="3" shapeId="0" xr:uid="{3623EF7B-85DE-41FE-8C0A-CB65808E9993}">
      <text>
        <r>
          <rPr>
            <sz val="12"/>
            <rFont val="新細明體"/>
            <family val="1"/>
            <charset val="136"/>
          </rPr>
          <t>LING Jenny Yik Ting (凌奕婷):
13:30-17:00 
Classroom 6, M/F OTC-TAD, M/F Main Building, MTR Tai Wai Depot</t>
        </r>
      </text>
    </comment>
    <comment ref="AE15" authorId="1" shapeId="0" xr:uid="{BB56B96B-0BA1-41ED-B7CE-8EC1EE8AE6C5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G17" authorId="3" shapeId="0" xr:uid="{92D591B9-D555-4D9E-80CF-3FCDCB484CC6}">
      <text>
        <r>
          <rPr>
            <sz val="12"/>
            <rFont val="新細明體"/>
            <family val="1"/>
            <charset val="136"/>
          </rPr>
          <t>LING Jenny Yik Ting (凌奕婷):
08:45-12:00 
Room M1, 43/F Manhattan Place, 43/F Manhattan Place, 23 Wang Tai Road, Kowloon Bay</t>
        </r>
      </text>
    </comment>
    <comment ref="AA17" authorId="1" shapeId="0" xr:uid="{BC3C4270-FABC-4757-91CD-139532733E46}">
      <text>
        <r>
          <rPr>
            <sz val="12"/>
            <rFont val="新細明體"/>
            <family val="1"/>
            <charset val="136"/>
          </rPr>
          <t>YU Billy Fatong (余法通):
04/06</t>
        </r>
      </text>
    </comment>
    <comment ref="AB17" authorId="1" shapeId="0" xr:uid="{3A282943-7B07-48E5-A951-736B590583DC}">
      <text>
        <r>
          <rPr>
            <sz val="12"/>
            <rFont val="新細明體"/>
            <family val="1"/>
            <charset val="136"/>
          </rPr>
          <t xml:space="preserve">YU Billy Fatong (余法通):
D10
</t>
        </r>
      </text>
    </comment>
    <comment ref="G19" authorId="0" shapeId="0" xr:uid="{65116C44-0FB7-4D87-A21F-34E39AE6D2B3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S19" authorId="0" shapeId="0" xr:uid="{17008F59-911B-48B5-9A00-5215F8D26891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AE19" authorId="3" shapeId="0" xr:uid="{BB8F55F5-FE3C-47FB-872D-DBDF17EAA42E}">
      <text>
        <r>
          <rPr>
            <sz val="12"/>
            <rFont val="新細明體"/>
            <family val="1"/>
            <charset val="136"/>
          </rPr>
          <t>LING Jenny Yik Ting (凌奕婷):
1:30-4:30pm confirmed</t>
        </r>
      </text>
    </comment>
    <comment ref="Q20" authorId="1" shapeId="0" xr:uid="{3F618EE4-B64A-4D91-A7B9-4DD5AE92A043}">
      <text>
        <r>
          <rPr>
            <sz val="12"/>
            <rFont val="新細明體"/>
            <family val="1"/>
            <charset val="136"/>
          </rPr>
          <t>YU Billy Fatong (余法通):
13/07/2026</t>
        </r>
      </text>
    </comment>
    <comment ref="AE20" authorId="3" shapeId="0" xr:uid="{B5FF427C-2F03-44FD-85DA-B737E72CF882}">
      <text>
        <r>
          <rPr>
            <sz val="12"/>
            <rFont val="新細明體"/>
            <family val="1"/>
            <charset val="136"/>
          </rPr>
          <t>LING Jenny Yik Ting (凌奕婷):
1:30-4:30pm confirmed</t>
        </r>
      </text>
    </comment>
    <comment ref="N21" authorId="0" shapeId="0" xr:uid="{ECF65A7B-CD8F-486C-9856-4501C4039219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P21" authorId="1" shapeId="0" xr:uid="{E1B0F9A4-9006-4B7D-9623-78D6D2ED39ED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Q21" authorId="1" shapeId="0" xr:uid="{031BE6FB-EA53-47C2-8A6E-B97389EFFC6A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R21" authorId="1" shapeId="0" xr:uid="{112AF440-5B0E-4F10-A02D-B500594FB76E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S21" authorId="1" shapeId="0" xr:uid="{DB86658F-E795-4A31-951B-D54F5FCD2733}">
      <text>
        <r>
          <rPr>
            <sz val="12"/>
            <rFont val="新細明體"/>
            <family val="1"/>
            <charset val="136"/>
          </rPr>
          <t>YU Billy Fatong (余法通):
D13</t>
        </r>
      </text>
    </comment>
    <comment ref="U21" authorId="1" shapeId="0" xr:uid="{F2CEC259-20B6-4C6A-AC2C-30902AED65F9}">
      <text>
        <r>
          <rPr>
            <sz val="12"/>
            <rFont val="新細明體"/>
            <family val="1"/>
            <charset val="136"/>
          </rPr>
          <t>YU Billy Fatong (余法通):
02/6</t>
        </r>
      </text>
    </comment>
    <comment ref="W21" authorId="1" shapeId="0" xr:uid="{120D6D1D-26AC-4742-AC29-917FE74E5A81}">
      <text>
        <r>
          <rPr>
            <sz val="12"/>
            <rFont val="新細明體"/>
            <family val="1"/>
            <charset val="136"/>
          </rPr>
          <t xml:space="preserve">YU Billy Fatong (余法通):
2/6
</t>
        </r>
      </text>
    </comment>
    <comment ref="AB21" authorId="1" shapeId="0" xr:uid="{EE6126D1-C4AE-4C9E-8CF4-71E1A77EBDDE}">
      <text>
        <r>
          <rPr>
            <sz val="12"/>
            <rFont val="新細明體"/>
            <family val="1"/>
            <charset val="136"/>
          </rPr>
          <t>YU Billy Fatong (余法通):
D14</t>
        </r>
      </text>
    </comment>
    <comment ref="G22" authorId="1" shapeId="0" xr:uid="{4413D7F5-A8B4-4C6A-BE53-E522F9404959}">
      <text>
        <r>
          <rPr>
            <sz val="12"/>
            <rFont val="新細明體"/>
            <family val="1"/>
            <charset val="136"/>
          </rPr>
          <t>YU Billy Fatong (余法通):
03/07/2026</t>
        </r>
      </text>
    </comment>
    <comment ref="M22" authorId="0" shapeId="0" xr:uid="{BCC8494B-98B3-4BE2-8089-AD19F9CD51B0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W22" authorId="0" shapeId="0" xr:uid="{DB5EC408-D1FD-4993-A56C-887CB717EE8F}">
      <text>
        <r>
          <rPr>
            <sz val="12"/>
            <rFont val="新細明體"/>
            <family val="1"/>
            <charset val="136"/>
          </rPr>
          <t>SIU YK Yung Kit (蕭勇潔):
Applied on 01/4</t>
        </r>
      </text>
    </comment>
    <comment ref="AB22" authorId="0" shapeId="0" xr:uid="{B49FA4A7-D705-4CC8-A527-B8FE2D33D3DF}">
      <text>
        <r>
          <rPr>
            <sz val="12"/>
            <rFont val="新細明體"/>
            <family val="1"/>
            <charset val="136"/>
          </rPr>
          <t>SIU YK Yung Kit (蕭勇潔):
Applied on 01/4/2026</t>
        </r>
      </text>
    </comment>
    <comment ref="N23" authorId="0" shapeId="0" xr:uid="{FAFEFEBA-485E-4E83-A2E2-3DAD6B12A18D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P23" authorId="0" shapeId="0" xr:uid="{7CB486B8-57AE-4F37-8815-08B25BA5807A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N24" authorId="0" shapeId="0" xr:uid="{B7E8A552-32AA-4BAA-9B90-9855CC2EE026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AF24" authorId="3" shapeId="0" xr:uid="{4AAFB81B-9E25-4F8C-A8FF-934725A24186}">
      <text>
        <r>
          <rPr>
            <sz val="12"/>
            <rFont val="新細明體"/>
            <family val="1"/>
            <charset val="136"/>
          </rPr>
          <t>LING Jenny Yik Ting (凌奕婷):
T15: 08:45-12:00 
Classroom 5, M/F OTC-TAD, M/F Main Building, MTR Tai Wai Depot
T02: 13:30-17:00 
Classroom 6, M/F OTC-TAD, M/F Main Building, MTR Tai Wai Depot</t>
        </r>
      </text>
    </comment>
    <comment ref="AG24" authorId="3" shapeId="0" xr:uid="{B9036A66-8E59-443E-AE37-AC85269BE728}">
      <text>
        <r>
          <rPr>
            <sz val="12"/>
            <rFont val="新細明體"/>
            <family val="1"/>
            <charset val="136"/>
          </rPr>
          <t>LING Jenny Yik Ting (凌奕婷):
09:00-17:00
OA Training Room B - Operations Training Centre-Citylink, 9/F., Citylink Plaza</t>
        </r>
      </text>
    </comment>
    <comment ref="AH24" authorId="3" shapeId="0" xr:uid="{3D1180BA-D63F-446F-92BA-D273EF0E0474}">
      <text>
        <r>
          <rPr>
            <sz val="12"/>
            <rFont val="新細明體"/>
            <family val="1"/>
            <charset val="136"/>
          </rPr>
          <t xml:space="preserve">LING Jenny Yik Ting (凌奕婷):
09:00 – 17:00
Room 802, 8/F Management Training &amp; Development Centre, MTR Headquarters Building, </t>
        </r>
      </text>
    </comment>
    <comment ref="AI24" authorId="1" shapeId="0" xr:uid="{B14AD8E7-E6CD-4989-A999-457DD062C2D1}">
      <text>
        <r>
          <rPr>
            <sz val="12"/>
            <rFont val="新細明體"/>
            <family val="1"/>
            <charset val="136"/>
          </rPr>
          <t>YU Billy Fatong (余法通):
Confirmed</t>
        </r>
      </text>
    </comment>
    <comment ref="G26" authorId="1" shapeId="0" xr:uid="{8CE6ACD1-4330-464C-A8CF-F51B3023D497}">
      <text>
        <r>
          <rPr>
            <sz val="12"/>
            <rFont val="新細明體"/>
            <family val="1"/>
            <charset val="136"/>
          </rPr>
          <t>YU Billy Fatong (余法通):
03/07/2026</t>
        </r>
      </text>
    </comment>
    <comment ref="K26" authorId="1" shapeId="0" xr:uid="{49F98695-290D-4325-83C2-9A422D71FB58}">
      <text>
        <r>
          <rPr>
            <sz val="12"/>
            <rFont val="新細明體"/>
            <family val="1"/>
            <charset val="136"/>
          </rPr>
          <t xml:space="preserve">YU Billy Fatong (余法通):
2026 Special Drills &amp; Exercises Task Force
1079 at WCD
Date: 7 July
Time: 10:00 – 12:00
Location: WCD
</t>
        </r>
      </text>
    </comment>
    <comment ref="N26" authorId="1" shapeId="0" xr:uid="{78A32254-E1F5-42E1-82F9-1B81270B12A0}">
      <text>
        <r>
          <rPr>
            <sz val="12"/>
            <rFont val="新細明體"/>
            <family val="1"/>
            <charset val="136"/>
          </rPr>
          <t>YU Billy Fatong (余法通):
D9</t>
        </r>
      </text>
    </comment>
    <comment ref="W26" authorId="1" shapeId="0" xr:uid="{9A5EE474-EE04-4455-B7B9-5C5A9933D73F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AH26" authorId="1" shapeId="0" xr:uid="{9D77CDFC-AEFD-427A-BF88-71C59F706416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AI26" authorId="1" shapeId="0" xr:uid="{B20DB4A1-E0DE-46F8-989A-A8E00AF22966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K27" authorId="1" shapeId="0" xr:uid="{8533C9A8-7718-45C8-AACB-783AF522412B}">
      <text>
        <r>
          <rPr>
            <sz val="12"/>
            <rFont val="新細明體"/>
            <family val="1"/>
            <charset val="136"/>
          </rPr>
          <t xml:space="preserve">YU Billy Fatong (余法通):
2026 Special Drills &amp; Exercises Task Force
1079 at WCD
Date: 7 July
Time: 10:00 – 12:00
Location: WCD
</t>
        </r>
      </text>
    </comment>
    <comment ref="M27" authorId="1" shapeId="0" xr:uid="{32E17D82-1F45-4D12-9C19-EA85FB4DE1D9}">
      <text>
        <r>
          <rPr>
            <sz val="12"/>
            <rFont val="新細明體"/>
            <family val="1"/>
            <charset val="136"/>
          </rPr>
          <t xml:space="preserve">YU Billy Fatong (余法通):
D10
</t>
        </r>
      </text>
    </comment>
    <comment ref="N27" authorId="1" shapeId="0" xr:uid="{B46BEBCE-8450-4F4D-8673-79B9C9A21DF1}">
      <text>
        <r>
          <rPr>
            <sz val="12"/>
            <rFont val="新細明體"/>
            <family val="1"/>
            <charset val="136"/>
          </rPr>
          <t>YU Billy Fatong (余法通):
26/6</t>
        </r>
      </text>
    </comment>
    <comment ref="K28" authorId="1" shapeId="0" xr:uid="{A4C16442-A0ED-4DCD-BBC4-14832E90A106}">
      <text>
        <r>
          <rPr>
            <sz val="12"/>
            <rFont val="新細明體"/>
            <family val="1"/>
            <charset val="136"/>
          </rPr>
          <t xml:space="preserve">YU Billy Fatong (余法通):
2026 Special Drills &amp; Exercises Task Force
1079 at WCD
Date: 7 July
Time: 10:00 – 12:00
Location: WCD
</t>
        </r>
      </text>
    </comment>
    <comment ref="U29" authorId="1" shapeId="0" xr:uid="{DF4CB03E-50D6-4908-B22F-8BDFF53180BE}">
      <text>
        <r>
          <rPr>
            <sz val="12"/>
            <rFont val="新細明體"/>
            <family val="1"/>
            <charset val="136"/>
          </rPr>
          <t>YU Billy Fatong (余法通):
17/7</t>
        </r>
      </text>
    </comment>
    <comment ref="E30" authorId="1" shapeId="0" xr:uid="{DAB8486C-90F4-4EB7-94F2-6F73C9BD7059}">
      <text>
        <r>
          <rPr>
            <sz val="12"/>
            <rFont val="新細明體"/>
            <family val="1"/>
            <charset val="136"/>
          </rPr>
          <t xml:space="preserve">YU Billy Fatong (余法通):
03/05/2026
</t>
        </r>
      </text>
    </comment>
    <comment ref="J30" authorId="3" shapeId="0" xr:uid="{CD39EB03-486F-48E8-8F7C-E2A6E0F9B4BD}">
      <text>
        <r>
          <rPr>
            <sz val="12"/>
            <rFont val="新細明體"/>
            <family val="1"/>
            <charset val="136"/>
          </rPr>
          <t>LING Jenny Yik Ting (凌奕婷):
08:45-16:45 
Room C4, 9/F Citylink, 9/F, Citylink Plaza</t>
        </r>
      </text>
    </comment>
    <comment ref="K30" authorId="3" shapeId="0" xr:uid="{9230183E-280D-4FC8-9DCD-84D24A5AA907}">
      <text>
        <r>
          <rPr>
            <sz val="12"/>
            <rFont val="新細明體"/>
            <family val="1"/>
            <charset val="136"/>
          </rPr>
          <t>LING Jenny Yik Ting (凌奕婷):
08:45-12:00 
Operations Training Centre MTR Kowloon Bay Depot</t>
        </r>
      </text>
    </comment>
    <comment ref="L30" authorId="3" shapeId="0" xr:uid="{F7B1E5DB-7835-47B5-9BA7-86C8207C0E1E}">
      <text>
        <r>
          <rPr>
            <sz val="12"/>
            <rFont val="新細明體"/>
            <family val="1"/>
            <charset val="136"/>
          </rPr>
          <t>LING Jenny Yik Ting (凌奕婷):
08:45-12:00 
C Hall A, 9/F Citylink, 9/F, Citylink Plaza</t>
        </r>
      </text>
    </comment>
    <comment ref="M30" authorId="1" shapeId="0" xr:uid="{42261256-FBE7-4C9A-9FF1-327E475A78E2}">
      <text>
        <r>
          <rPr>
            <sz val="12"/>
            <rFont val="新細明體"/>
            <family val="1"/>
            <charset val="136"/>
          </rPr>
          <t xml:space="preserve">YU Billy Fatong (余法通):
Confirmed
</t>
        </r>
      </text>
    </comment>
    <comment ref="K31" authorId="1" shapeId="0" xr:uid="{7FFF4575-D55C-4856-A576-A0CB91873CF3}">
      <text>
        <r>
          <rPr>
            <sz val="12"/>
            <rFont val="新細明體"/>
            <family val="1"/>
            <charset val="136"/>
          </rPr>
          <t xml:space="preserve">YU Billy Fatong (余法通):
2026 Special Drills &amp; Exercises Task Force
1079 at WCD
Date: 7 July
Time: 10:00 – 12:00
Location: WCD
</t>
        </r>
      </text>
    </comment>
    <comment ref="V31" authorId="2" shapeId="0" xr:uid="{D29EB906-27EC-46AD-B4DE-7B3AF509281F}">
      <text>
        <r>
          <rPr>
            <sz val="12"/>
            <rFont val="新細明體"/>
            <family val="1"/>
            <charset val="136"/>
          </rPr>
          <t>LEE CY Chi Yiu (李志堯):
10/7</t>
        </r>
      </text>
    </comment>
    <comment ref="K32" authorId="1" shapeId="0" xr:uid="{3A2ED956-4EC0-43EB-BD73-6158C0A212DB}">
      <text>
        <r>
          <rPr>
            <sz val="12"/>
            <rFont val="新細明體"/>
            <family val="1"/>
            <charset val="136"/>
          </rPr>
          <t xml:space="preserve">YU Billy Fatong (余法通):
2026 Special Drills &amp; Exercises Task Force
1079 at WCD
Date: 7 July
Time: 10:00 – 12:00
Location: WCD
</t>
        </r>
      </text>
    </comment>
    <comment ref="L32" authorId="3" shapeId="0" xr:uid="{221A3A80-BDE2-419B-B653-A4E2DE81E730}">
      <text>
        <r>
          <rPr>
            <sz val="12"/>
            <rFont val="新細明體"/>
            <family val="1"/>
            <charset val="136"/>
          </rPr>
          <t>LING Jenny Yik Ting (凌奕婷):
13:30-17:00 
Classroom 6, M/F OTC-TAD, M/F Main Building, MTR Tai Wai Depot</t>
        </r>
      </text>
    </comment>
    <comment ref="U32" authorId="0" shapeId="0" xr:uid="{3C4C8F5D-BAB3-40D7-8325-1ACE3890044D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AD32" authorId="0" shapeId="0" xr:uid="{3C0B3180-AACB-4286-8C6D-706372BE9EB1}">
      <text>
        <r>
          <rPr>
            <sz val="12"/>
            <rFont val="新細明體"/>
            <family val="1"/>
            <charset val="136"/>
          </rPr>
          <t>SIU YK Yung Kit (蕭勇潔):
Updated on 25/6</t>
        </r>
      </text>
    </comment>
    <comment ref="AE32" authorId="0" shapeId="0" xr:uid="{9EFA78E8-A29F-43A3-A030-B5D788AE98A6}">
      <text>
        <r>
          <rPr>
            <sz val="12"/>
            <rFont val="新細明體"/>
            <family val="1"/>
            <charset val="136"/>
          </rPr>
          <t>SIU YK Yung Kit (蕭勇潔):
D11 (19/5)</t>
        </r>
      </text>
    </comment>
    <comment ref="AF32" authorId="0" shapeId="0" xr:uid="{CAC639EB-94C6-4C95-AC97-D1D65B24278F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G34" authorId="1" shapeId="0" xr:uid="{C3E96B10-C98F-49D3-B959-678305DBB13A}">
      <text>
        <r>
          <rPr>
            <sz val="12"/>
            <rFont val="新細明體"/>
            <family val="1"/>
            <charset val="136"/>
          </rPr>
          <t>YU Billy Fatong (余法通):
28/5</t>
        </r>
      </text>
    </comment>
    <comment ref="I34" authorId="1" shapeId="0" xr:uid="{050776B7-4919-4941-BF35-44C4D6A990FF}">
      <text>
        <r>
          <rPr>
            <sz val="12"/>
            <rFont val="新細明體"/>
            <family val="1"/>
            <charset val="136"/>
          </rPr>
          <t>YU Billy Fatong (余法通):
28/5</t>
        </r>
      </text>
    </comment>
    <comment ref="N34" authorId="1" shapeId="0" xr:uid="{AD1D2E3B-F24D-4AFF-9384-B735C410495F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Q34" authorId="3" shapeId="0" xr:uid="{AAE54E2A-E7E8-41E8-A5C8-0C922B16C81A}">
      <text>
        <r>
          <rPr>
            <sz val="12"/>
            <rFont val="新細明體"/>
            <family val="1"/>
            <charset val="136"/>
          </rPr>
          <t>LING Jenny Yik Ting (凌奕婷):
08:45-16:45 
Room C4, 9/F Citylink, 9/F, Citylink Plaza</t>
        </r>
      </text>
    </comment>
    <comment ref="R34" authorId="3" shapeId="0" xr:uid="{FAAE4AD3-7031-4534-B59D-F9121808F985}">
      <text>
        <r>
          <rPr>
            <sz val="12"/>
            <rFont val="新細明體"/>
            <family val="1"/>
            <charset val="136"/>
          </rPr>
          <t>LING Jenny Yik Ting (凌奕婷):
08:45-16:45 
Room C4, 9/F Citylink, 9/F, Citylink Plaza</t>
        </r>
      </text>
    </comment>
    <comment ref="U34" authorId="1" shapeId="0" xr:uid="{97A42ACB-D7E4-4754-855F-37B7B6B027C7}">
      <text>
        <r>
          <rPr>
            <sz val="12"/>
            <rFont val="新細明體"/>
            <family val="1"/>
            <charset val="136"/>
          </rPr>
          <t>YU Billy Fatong (余法通):
09/7/2026</t>
        </r>
      </text>
    </comment>
    <comment ref="Q35" authorId="1" shapeId="0" xr:uid="{B215A996-CE99-4FCC-AF70-9A2163C5B35D}">
      <text>
        <r>
          <rPr>
            <sz val="12"/>
            <rFont val="新細明體"/>
            <family val="1"/>
            <charset val="136"/>
          </rPr>
          <t>YU Billy Fatong (余法通):
KBD TCC</t>
        </r>
      </text>
    </comment>
    <comment ref="S35" authorId="3" shapeId="0" xr:uid="{94C97D41-FF8B-4F84-B6C8-795C423C30B0}">
      <text>
        <r>
          <rPr>
            <sz val="12"/>
            <rFont val="新細明體"/>
            <family val="1"/>
            <charset val="136"/>
          </rPr>
          <t xml:space="preserve">LING Jenny Yik Ting (凌奕婷):
13:30 – 17:00
Room 801, 8/F Management Training &amp; Development Centre, MTR Headquarters Building, </t>
        </r>
      </text>
    </comment>
    <comment ref="T35" authorId="3" shapeId="0" xr:uid="{235BE7A0-3190-4595-8CFE-C21CD14E6C7D}">
      <text>
        <r>
          <rPr>
            <sz val="12"/>
            <rFont val="新細明體"/>
            <family val="1"/>
            <charset val="136"/>
          </rPr>
          <t xml:space="preserve">LING Jenny Yik Ting (凌奕婷):
09:00 – 17:00
Room 806, 8/F Management Training &amp; Development Centre, MTR Headquarters Building, Kowloon Bay
</t>
        </r>
      </text>
    </comment>
    <comment ref="AB35" authorId="1" shapeId="0" xr:uid="{F2BB0BED-4508-4873-BE5D-DBAAC579BBDF}">
      <text>
        <r>
          <rPr>
            <sz val="12"/>
            <rFont val="新細明體"/>
            <family val="1"/>
            <charset val="136"/>
          </rPr>
          <t xml:space="preserve">YU Billy Fatong (余法通):
D10
</t>
        </r>
      </text>
    </comment>
    <comment ref="AF35" authorId="0" shapeId="0" xr:uid="{56CA5455-2A0F-4541-9C63-424C3D8CF2C3}">
      <text>
        <r>
          <rPr>
            <sz val="12"/>
            <rFont val="新細明體"/>
            <family val="1"/>
            <charset val="136"/>
          </rPr>
          <t>SIU YK Yung Kit (蕭勇潔):
Updated on 19/6/26</t>
        </r>
      </text>
    </comment>
    <comment ref="U36" authorId="1" shapeId="0" xr:uid="{17981A18-C259-4E47-A622-FD0051A3F045}">
      <text>
        <r>
          <rPr>
            <sz val="12"/>
            <rFont val="新細明體"/>
            <family val="1"/>
            <charset val="136"/>
          </rPr>
          <t xml:space="preserve">YU Billy Fatong (余法通):
D10
</t>
        </r>
      </text>
    </comment>
    <comment ref="Q37" authorId="3" shapeId="0" xr:uid="{0C3AC264-9DEF-45B1-A360-9CF69DC4CF2C}">
      <text>
        <r>
          <rPr>
            <sz val="12"/>
            <rFont val="新細明體"/>
            <family val="1"/>
            <charset val="136"/>
          </rPr>
          <t>LING Jenny Yik Ting (凌奕婷):
08:45-16:45 
9/F, Citylink Plaza</t>
        </r>
      </text>
    </comment>
    <comment ref="R37" authorId="3" shapeId="0" xr:uid="{36443DAB-DACE-4432-A997-52789DDAE9DD}">
      <text>
        <r>
          <rPr>
            <sz val="12"/>
            <rFont val="新細明體"/>
            <family val="1"/>
            <charset val="136"/>
          </rPr>
          <t>LING Jenny Yik Ting (凌奕婷):
T03: 08:45-12:00
9/F, Citylink Plaza
T06: 13:30-16:45 
Room C1, 9/F Citylink, 9/F, Citylink Plaza</t>
        </r>
      </text>
    </comment>
    <comment ref="S37" authorId="3" shapeId="0" xr:uid="{77D75704-C52B-4383-B004-97BB77550271}">
      <text>
        <r>
          <rPr>
            <sz val="12"/>
            <rFont val="新細明體"/>
            <family val="1"/>
            <charset val="136"/>
          </rPr>
          <t>LING Jenny Yik Ting (凌奕婷):
08:45-16:45 
K19 - RTT Room, 1/F OTC-KBD, Operations Training Centre MTR Kowloon Bay Depot</t>
        </r>
      </text>
    </comment>
    <comment ref="T37" authorId="3" shapeId="0" xr:uid="{CB8F2A89-DFF0-4FDB-89CB-9D4037C8E591}">
      <text>
        <r>
          <rPr>
            <sz val="12"/>
            <rFont val="新細明體"/>
            <family val="1"/>
            <charset val="136"/>
          </rPr>
          <t>LING Jenny Yik Ting (凌奕婷):
T04: 08:45-12:00 
K19 - RTT Room, 1/F OTC-KBD, Operations Training Centre MTR Kowloon Bay Depot
T05: 13:30-16:45 
K19 - RTT Room, 1/F OTC-KBD, Operations Training Centre MTR Kowloon Bay Depot</t>
        </r>
      </text>
    </comment>
    <comment ref="X37" authorId="1" shapeId="0" xr:uid="{08FFE2AB-F22B-45C8-97B3-2C55C746D7B2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AF37" authorId="0" shapeId="0" xr:uid="{AC97AF20-937A-48B6-B832-00EF58D3C7E7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AG37" authorId="3" shapeId="0" xr:uid="{473EE0A0-35F4-4E0E-8635-E065E0E18219}">
      <text>
        <r>
          <rPr>
            <sz val="12"/>
            <rFont val="新細明體"/>
            <family val="1"/>
            <charset val="136"/>
          </rPr>
          <t>LING Jenny Yik Ting (凌奕婷):
08:45-16:45 
K07 - ITF Room, G/F OTC-KBD, Operations Training Centre MTR Kowloon Bay Depot</t>
        </r>
      </text>
    </comment>
    <comment ref="AH37" authorId="3" shapeId="0" xr:uid="{EBC506FE-1DC8-49E8-BB0E-D12FF0C37356}">
      <text>
        <r>
          <rPr>
            <sz val="12"/>
            <rFont val="新細明體"/>
            <family val="1"/>
            <charset val="136"/>
          </rPr>
          <t>LING Jenny Yik Ting (凌奕婷):
08:45-16:45 
K07 - ITF Room, G/F OTC-KBD, Operations Training Centre MTR Kowloon Bay Depot</t>
        </r>
      </text>
    </comment>
    <comment ref="AI37" authorId="3" shapeId="0" xr:uid="{1ADDEBC3-AB56-44F5-997C-63141B5D0EC3}">
      <text>
        <r>
          <rPr>
            <sz val="12"/>
            <rFont val="新細明體"/>
            <family val="1"/>
            <charset val="136"/>
          </rPr>
          <t>LING Jenny Yik Ting (凌奕婷):
08:45-16:45 
K07 - ITF Room, G/F OTC-KBD, Operations Training Centre MTR Kowloon Bay Depot</t>
        </r>
      </text>
    </comment>
    <comment ref="R38" authorId="1" shapeId="0" xr:uid="{159E5507-3DF1-45CA-8049-D8D92A69A22C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T38" authorId="1" shapeId="0" xr:uid="{225DF135-CCF8-4616-B1F2-ADD52D12E0C7}">
      <text>
        <r>
          <rPr>
            <sz val="12"/>
            <rFont val="新細明體"/>
            <family val="1"/>
            <charset val="136"/>
          </rPr>
          <t xml:space="preserve">YU Billy Fatong (余法通):
2/7
</t>
        </r>
      </text>
    </comment>
    <comment ref="AB39" authorId="1" shapeId="0" xr:uid="{41C4C753-F910-4766-ADA0-D601001B02E0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AD39" authorId="1" shapeId="0" xr:uid="{1EA7D3F3-33D3-43BF-8949-869302FA1EA2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AE39" authorId="1" shapeId="0" xr:uid="{7778955B-3F88-4FDF-9656-6556186EC0AF}">
      <text>
        <r>
          <rPr>
            <sz val="12"/>
            <rFont val="新細明體"/>
            <family val="1"/>
            <charset val="136"/>
          </rPr>
          <t>YU Billy Fatong (余法通):
02/7</t>
        </r>
      </text>
    </comment>
    <comment ref="Q41" authorId="1" shapeId="0" xr:uid="{C312B03E-6AD8-4A12-8C55-E63AEA7EB404}">
      <text>
        <r>
          <rPr>
            <sz val="12"/>
            <rFont val="新細明體"/>
            <family val="1"/>
            <charset val="136"/>
          </rPr>
          <t>YU Billy Fatong (余法通):
13/07/2026</t>
        </r>
      </text>
    </comment>
    <comment ref="S41" authorId="0" shapeId="0" xr:uid="{C1A1CAD6-18D3-4108-B234-4531F0384B18}">
      <text>
        <r>
          <rPr>
            <sz val="12"/>
            <rFont val="新細明體"/>
            <family val="1"/>
            <charset val="136"/>
          </rPr>
          <t>SIU YK Yung Kit (蕭勇潔):
Update on 17/6</t>
        </r>
      </text>
    </comment>
    <comment ref="U42" authorId="0" shapeId="0" xr:uid="{8AF2C9A2-B87E-48BC-9A66-995EFE874886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AA42" authorId="3" shapeId="0" xr:uid="{C89E537E-9733-4212-B35B-C0F97252CF20}">
      <text>
        <r>
          <rPr>
            <sz val="12"/>
            <rFont val="新細明體"/>
            <family val="1"/>
            <charset val="136"/>
          </rPr>
          <t>LING Jenny Yik Ting (凌奕婷):
09:00 – 17:00
Room 801, 8/F Management Training &amp; Development Centre, MTR Headquarters Building</t>
        </r>
      </text>
    </comment>
    <comment ref="AE42" authorId="1" shapeId="0" xr:uid="{1359A96D-F0E1-4247-960C-EA09D20A2AEA}">
      <text>
        <r>
          <rPr>
            <sz val="12"/>
            <rFont val="新細明體"/>
            <family val="1"/>
            <charset val="136"/>
          </rPr>
          <t>YU Billy Fatong (余法通):
22/06</t>
        </r>
      </text>
    </comment>
    <comment ref="AF42" authorId="3" shapeId="0" xr:uid="{08F9E26F-F398-4741-BC27-96EF73616987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AB43" authorId="0" shapeId="0" xr:uid="{B688B057-1059-449F-94C3-8EC3F6354DCD}">
      <text>
        <r>
          <rPr>
            <sz val="12"/>
            <rFont val="新細明體"/>
            <family val="1"/>
            <charset val="136"/>
          </rPr>
          <t>SIU YK Yung Kit (蕭勇潔):
D10 (25/5)</t>
        </r>
      </text>
    </comment>
    <comment ref="E44" authorId="1" shapeId="0" xr:uid="{BA557BA5-F398-4232-9ED2-4D9C5F32EEE9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F44" authorId="1" shapeId="0" xr:uid="{A8282CAA-2424-41EF-BA11-FACFB2E60908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G44" authorId="1" shapeId="0" xr:uid="{E1B02A2D-8671-4627-9DF2-9336A5F459AA}">
      <text>
        <r>
          <rPr>
            <sz val="12"/>
            <rFont val="新細明體"/>
            <family val="1"/>
            <charset val="136"/>
          </rPr>
          <t xml:space="preserve">YU Billy Fatong (余法通):
28/5
</t>
        </r>
      </text>
    </comment>
    <comment ref="Q44" authorId="1" shapeId="0" xr:uid="{985A861D-1488-4C99-BE35-5042371A2285}">
      <text>
        <r>
          <rPr>
            <sz val="12"/>
            <rFont val="新細明體"/>
            <family val="1"/>
            <charset val="136"/>
          </rPr>
          <t>YU Billy Fatong (余法通):
13/07/2026</t>
        </r>
      </text>
    </comment>
    <comment ref="X44" authorId="3" shapeId="0" xr:uid="{0F2C5CF0-E840-422B-B795-41B50FE6361A}">
      <text>
        <r>
          <rPr>
            <sz val="12"/>
            <rFont val="新細明體"/>
            <family val="1"/>
            <charset val="136"/>
          </rPr>
          <t xml:space="preserve">LING Jenny Yik Ting (凌奕婷):
08:45-16:45 
9/F, Citylink Plaza
</t>
        </r>
      </text>
    </comment>
    <comment ref="Y44" authorId="3" shapeId="0" xr:uid="{28ECEFDD-0E39-493E-99F9-A7A61B3797E1}">
      <text>
        <r>
          <rPr>
            <sz val="12"/>
            <rFont val="新細明體"/>
            <family val="1"/>
            <charset val="136"/>
          </rPr>
          <t>LING Jenny Yik Ting (凌奕婷):
08:45-16:45 
9/F, Citylink Plaza</t>
        </r>
      </text>
    </comment>
    <comment ref="AA44" authorId="3" shapeId="0" xr:uid="{20A221DC-FD1F-40AD-882E-DD7E0414F799}">
      <text>
        <r>
          <rPr>
            <sz val="12"/>
            <rFont val="新細明體"/>
            <family val="1"/>
            <charset val="136"/>
          </rPr>
          <t>LING Jenny Yik Ting (凌奕婷):
09:00 – 17:00
Room 801, 8/F Management Training &amp; Development Centre, MTR Headquarters Building</t>
        </r>
      </text>
    </comment>
    <comment ref="AB44" authorId="3" shapeId="0" xr:uid="{DBA907EF-EAB0-4A9B-A26A-BA5ECAB62E22}">
      <text>
        <r>
          <rPr>
            <sz val="12"/>
            <rFont val="新細明體"/>
            <family val="1"/>
            <charset val="136"/>
          </rPr>
          <t>LING Jenny Yik Ting (凌奕婷):
14:00 – 17:30
Room 806, 8/F Management Training &amp; Development Centre, MTR Headquarters Building</t>
        </r>
      </text>
    </comment>
    <comment ref="T45" authorId="0" shapeId="0" xr:uid="{36620DD7-EDD4-4B20-A97F-3B6FFCAD6353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X45" authorId="3" shapeId="0" xr:uid="{61F93664-A284-481F-A514-549B820541E5}">
      <text>
        <r>
          <rPr>
            <sz val="12"/>
            <rFont val="新細明體"/>
            <family val="1"/>
            <charset val="136"/>
          </rPr>
          <t>LING Jenny Yik Ting (凌奕婷):
08:45-16:45 
K19 - RTT Room, 1/F OTC-KBD, Operations Training Centre MTR Kowloon Bay Depot</t>
        </r>
      </text>
    </comment>
    <comment ref="Y45" authorId="3" shapeId="0" xr:uid="{9574098A-8C2D-4BBE-89BB-1C5EF66A6700}">
      <text>
        <r>
          <rPr>
            <sz val="12"/>
            <rFont val="新細明體"/>
            <family val="1"/>
            <charset val="136"/>
          </rPr>
          <t>LING Jenny Yik Ting (凌奕婷):
08:45-16:45 
K19 - RTT Room, 1/F OTC-KBD, Operations Training Centre MTR Kowloon Bay Depot</t>
        </r>
      </text>
    </comment>
    <comment ref="Z45" authorId="1" shapeId="0" xr:uid="{A450B8D9-E9D4-4F93-8360-1C92D0EF4FCA}">
      <text>
        <r>
          <rPr>
            <sz val="12"/>
            <rFont val="新細明體"/>
            <family val="1"/>
            <charset val="136"/>
          </rPr>
          <t>YU Billy Fatong (余法通):
Confirmed</t>
        </r>
      </text>
    </comment>
    <comment ref="AA45" authorId="3" shapeId="0" xr:uid="{5E3036B7-ACDA-4E7D-A209-BEB1707D09AA}">
      <text>
        <r>
          <rPr>
            <sz val="12"/>
            <rFont val="新細明體"/>
            <family val="1"/>
            <charset val="136"/>
          </rPr>
          <t>LING Jenny Yik Ting (凌奕婷):
09:00 – 17:00
Room 801, 8/F Management Training &amp; Development Centre, MTR Headquarters Building</t>
        </r>
      </text>
    </comment>
    <comment ref="AB45" authorId="3" shapeId="0" xr:uid="{219253F6-34B1-46A5-B285-524700866751}">
      <text>
        <r>
          <rPr>
            <sz val="12"/>
            <rFont val="新細明體"/>
            <family val="1"/>
            <charset val="136"/>
          </rPr>
          <t>LING Jenny Yik Ting (凌奕婷):
14:00 – 17:30
Room 806, 8/F Management Training &amp; Development Centre, MTR Headquarters Building</t>
        </r>
      </text>
    </comment>
    <comment ref="AA46" authorId="3" shapeId="0" xr:uid="{6D1CD9C9-0924-4F12-B30F-313CF11C8A8E}">
      <text>
        <r>
          <rPr>
            <sz val="12"/>
            <rFont val="新細明體"/>
            <family val="1"/>
            <charset val="136"/>
          </rPr>
          <t>LING Jenny Yik Ting (凌奕婷):
09:00 – 17:00
Room 801, 8/F Management Training &amp; Development Centre, MTR Headquarters Building</t>
        </r>
      </text>
    </comment>
    <comment ref="AB46" authorId="3" shapeId="0" xr:uid="{4DC6E0F7-2A2F-43A3-AB0B-39930AFEDEF6}">
      <text>
        <r>
          <rPr>
            <sz val="12"/>
            <rFont val="新細明體"/>
            <family val="1"/>
            <charset val="136"/>
          </rPr>
          <t>LING Jenny Yik Ting (凌奕婷):
14:00 – 17:30
Room 806, 8/F Management Training &amp; Development Centre, MTR Headquarters Building</t>
        </r>
      </text>
    </comment>
    <comment ref="E47" authorId="1" shapeId="0" xr:uid="{FE4C81C2-B220-4BA3-92BF-0EF03975C96D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S47" authorId="1" shapeId="0" xr:uid="{7924345F-17B9-4B64-BE1A-F46380438945}">
      <text>
        <r>
          <rPr>
            <sz val="12"/>
            <rFont val="新細明體"/>
            <family val="1"/>
            <charset val="136"/>
          </rPr>
          <t xml:space="preserve">YU Billy Fatong (余法通):
26/6
</t>
        </r>
      </text>
    </comment>
    <comment ref="X47" authorId="1" shapeId="0" xr:uid="{10676523-E270-4997-A19B-8E0C4C5642A5}">
      <text>
        <r>
          <rPr>
            <sz val="12"/>
            <rFont val="新細明體"/>
            <family val="1"/>
            <charset val="136"/>
          </rPr>
          <t>YU Billy Fatong (余法通):
D10</t>
        </r>
      </text>
    </comment>
    <comment ref="G49" authorId="2" shapeId="0" xr:uid="{8DE11E80-62CA-45E2-B7D1-BEE3C017ECCE}">
      <text>
        <r>
          <rPr>
            <sz val="12"/>
            <rFont val="新細明體"/>
            <family val="1"/>
            <charset val="136"/>
          </rPr>
          <t>LEE CY Chi Yiu (李志堯):
2/7</t>
        </r>
      </text>
    </comment>
    <comment ref="N49" authorId="2" shapeId="0" xr:uid="{A90BD0AD-EC7A-48C1-8307-D252C835725B}">
      <text>
        <r>
          <rPr>
            <sz val="12"/>
            <rFont val="新細明體"/>
            <family val="1"/>
            <charset val="136"/>
          </rPr>
          <t>LEE CY Chi Yiu (李志堯):
2/7</t>
        </r>
      </text>
    </comment>
    <comment ref="S49" authorId="1" shapeId="0" xr:uid="{773DD224-340B-4597-9F1C-74AFCCB1CCDB}">
      <text>
        <r>
          <rPr>
            <sz val="12"/>
            <rFont val="新細明體"/>
            <family val="1"/>
            <charset val="136"/>
          </rPr>
          <t>YU Billy Fatong (余法通):
15/07</t>
        </r>
      </text>
    </comment>
    <comment ref="E50" authorId="1" shapeId="0" xr:uid="{B1667366-0EB3-4686-A966-8FE24D197453}">
      <text>
        <r>
          <rPr>
            <sz val="12"/>
            <rFont val="新細明體"/>
            <family val="1"/>
            <charset val="136"/>
          </rPr>
          <t xml:space="preserve">YU Billy Fatong (余法通):
1/7
</t>
        </r>
      </text>
    </comment>
    <comment ref="Q50" authorId="3" shapeId="0" xr:uid="{CC4EF41E-9586-46FE-A15E-6130477DD54C}">
      <text>
        <r>
          <rPr>
            <sz val="12"/>
            <rFont val="新細明體"/>
            <family val="1"/>
            <charset val="136"/>
          </rPr>
          <t>LING Jenny Yik Ting (凌奕婷):
08:45-16:45 
C Hall B, 9/F Citylink, 9/F, Citylink Plaza,</t>
        </r>
      </text>
    </comment>
    <comment ref="R50" authorId="3" shapeId="0" xr:uid="{8CEFFE9E-7D70-418F-A7FD-E4C7FEDBED45}">
      <text>
        <r>
          <rPr>
            <sz val="12"/>
            <rFont val="新細明體"/>
            <family val="1"/>
            <charset val="136"/>
          </rPr>
          <t>LING Jenny Yik Ting (凌奕婷):
08:45-16:45 
C Hall B, 9/F Citylink, 9/F, Citylink Plaza,</t>
        </r>
      </text>
    </comment>
    <comment ref="S50" authorId="3" shapeId="0" xr:uid="{D810E644-B227-471F-B592-2827A8A0CFD5}">
      <text>
        <r>
          <rPr>
            <sz val="12"/>
            <rFont val="新細明體"/>
            <family val="1"/>
            <charset val="136"/>
          </rPr>
          <t>LING Jenny Yik Ting (凌奕婷):
08:45-16:45 
C Hall B, 9/F Citylink, 9/F, Citylink Plaza,</t>
        </r>
      </text>
    </comment>
    <comment ref="T50" authorId="3" shapeId="0" xr:uid="{11A55315-BF16-4425-8F92-C7B6F905CF6A}">
      <text>
        <r>
          <rPr>
            <sz val="12"/>
            <rFont val="新細明體"/>
            <family val="1"/>
            <charset val="136"/>
          </rPr>
          <t>LING Jenny Yik Ting (凌奕婷):
08:45-16:45 
C Hall B, 9/F Citylink, 9/F, Citylink Plaza,</t>
        </r>
      </text>
    </comment>
    <comment ref="G52" authorId="1" shapeId="0" xr:uid="{33A73D60-19DD-44B8-AE33-6ED4CC538B3B}">
      <text>
        <r>
          <rPr>
            <sz val="12"/>
            <rFont val="新細明體"/>
            <family val="1"/>
            <charset val="136"/>
          </rPr>
          <t>YU Billy Fatong (余法通):
1/7</t>
        </r>
      </text>
    </comment>
    <comment ref="D55" authorId="1" shapeId="0" xr:uid="{8130D326-88A6-4AF8-8386-E100727CE7BC}">
      <text>
        <r>
          <rPr>
            <sz val="12"/>
            <rFont val="新細明體"/>
            <family val="1"/>
            <charset val="136"/>
          </rPr>
          <t>YU Billy Fatong (余法通):
OTC-CL, 9/F Citylink
08:45AM - 12:00PM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 CY Chi Yiu (李志堯)</author>
    <author>YU Billy Fatong (余法通)</author>
    <author>LING Jenny Yik Ting (凌奕婷)</author>
    <author>SIU YK Yung Kit (蕭勇潔)</author>
  </authors>
  <commentList>
    <comment ref="AC10" authorId="0" shapeId="0" xr:uid="{CA6CB92A-7417-4E88-BEB6-7F7A1864657F}">
      <text>
        <r>
          <rPr>
            <sz val="12"/>
            <rFont val="新細明體"/>
            <family val="1"/>
            <charset val="136"/>
          </rPr>
          <t>LEE CY Chi Yiu (李志堯):
19/8</t>
        </r>
      </text>
    </comment>
    <comment ref="L11" authorId="0" shapeId="0" xr:uid="{309E0F47-9A79-49CA-947B-E95D18BBC751}">
      <text>
        <r>
          <rPr>
            <sz val="12"/>
            <rFont val="新細明體"/>
            <family val="1"/>
            <charset val="136"/>
          </rPr>
          <t>LEE CY Chi Yiu (李志堯):
7/8</t>
        </r>
      </text>
    </comment>
    <comment ref="AE11" authorId="0" shapeId="0" xr:uid="{9F17E416-C4BD-4542-9FBC-017670561730}">
      <text>
        <r>
          <rPr>
            <sz val="12"/>
            <rFont val="新細明體"/>
            <family val="1"/>
            <charset val="136"/>
          </rPr>
          <t>LEE CY Chi Yiu (李志堯):
20/8</t>
        </r>
      </text>
    </comment>
    <comment ref="L15" authorId="1" shapeId="0" xr:uid="{EE0F4BD1-B8AD-4B6E-8DF3-7FC2F28C4B91}">
      <text>
        <r>
          <rPr>
            <sz val="12"/>
            <rFont val="新細明體"/>
            <family val="1"/>
            <charset val="136"/>
          </rPr>
          <t>YU Billy Fatong (余法通):
TOV1050</t>
        </r>
      </text>
    </comment>
    <comment ref="R15" authorId="2" shapeId="0" xr:uid="{B0F2A25B-0EFE-44F1-ADA3-4AC48F0FA795}">
      <text>
        <r>
          <rPr>
            <sz val="12"/>
            <rFont val="新細明體"/>
            <family val="1"/>
            <charset val="136"/>
          </rPr>
          <t>LING Jenny Yik Ting (凌奕婷):
08:45-16:45 
K14 - CCS Eqpt Rm, 1/F OTC-KBD, Operations Training Centre MTR Kowloon Bay Depot</t>
        </r>
      </text>
    </comment>
    <comment ref="U15" authorId="2" shapeId="0" xr:uid="{E1D7F217-85E1-41C7-BA23-1D59AC984B25}">
      <text>
        <r>
          <rPr>
            <sz val="12"/>
            <rFont val="新細明體"/>
            <family val="1"/>
            <charset val="136"/>
          </rPr>
          <t>LING Jenny Yik Ting (凌奕婷):
08:45-16:45 
Room C7, 9/F Citylink, 9/F, Citylink Plaza</t>
        </r>
      </text>
    </comment>
    <comment ref="V15" authorId="2" shapeId="0" xr:uid="{A64CFF3C-12F4-4369-BBDE-10A405818172}">
      <text>
        <r>
          <rPr>
            <sz val="12"/>
            <rFont val="新細明體"/>
            <family val="1"/>
            <charset val="136"/>
          </rPr>
          <t>LING Jenny Yik Ting (凌奕婷):
08:45-16:45 
Room C7, 9/F Citylink, 9/F, Citylink Plaza</t>
        </r>
      </text>
    </comment>
    <comment ref="Y15" authorId="1" shapeId="0" xr:uid="{E8EB6AFB-E23B-4E66-B7CD-FBDEB7AF2673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AB15" authorId="1" shapeId="0" xr:uid="{D26F387B-A07C-4BDB-A83B-6335FB9C2EF5}">
      <text>
        <r>
          <rPr>
            <sz val="12"/>
            <rFont val="新細明體"/>
            <family val="1"/>
            <charset val="136"/>
          </rPr>
          <t xml:space="preserve">YU Billy Fatong (余法通):
8/8 TOV 
</t>
        </r>
      </text>
    </comment>
    <comment ref="N17" authorId="1" shapeId="0" xr:uid="{7A9F7A0E-C144-4AFD-8E09-DC4B442FEA4E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O17" authorId="1" shapeId="0" xr:uid="{DDD08FD8-EF10-4222-B503-E140B683F707}">
      <text>
        <r>
          <rPr>
            <sz val="12"/>
            <rFont val="新細明體"/>
            <family val="1"/>
            <charset val="136"/>
          </rPr>
          <t xml:space="preserve">YU Billy Fatong (余法通):
D12
</t>
        </r>
      </text>
    </comment>
    <comment ref="P17" authorId="1" shapeId="0" xr:uid="{53A11C86-8F3A-453F-9426-6A1FDE4184F1}">
      <text>
        <r>
          <rPr>
            <sz val="12"/>
            <rFont val="新細明體"/>
            <family val="1"/>
            <charset val="136"/>
          </rPr>
          <t>YU Billy Fatong (余法通):
25/07/2026</t>
        </r>
      </text>
    </comment>
    <comment ref="M19" authorId="3" shapeId="0" xr:uid="{0572E0DD-903D-4CEE-A9ED-A18F9DE1742F}">
      <text>
        <r>
          <rPr>
            <sz val="12"/>
            <rFont val="新細明體"/>
            <family val="1"/>
            <charset val="136"/>
          </rPr>
          <t>SIU YK Yung Kit (蕭勇潔):
D13</t>
        </r>
      </text>
    </comment>
    <comment ref="G21" authorId="3" shapeId="0" xr:uid="{86000B64-68C9-4AE7-9F24-4314244E3271}">
      <text>
        <r>
          <rPr>
            <sz val="12"/>
            <rFont val="新細明體"/>
            <family val="1"/>
            <charset val="136"/>
          </rPr>
          <t>SIU YK Yung Kit (蕭勇潔):
Updated on 15/6</t>
        </r>
      </text>
    </comment>
    <comment ref="N21" authorId="1" shapeId="0" xr:uid="{0FE9EA8C-5076-4161-B1E7-7FC271348CD3}">
      <text>
        <r>
          <rPr>
            <sz val="12"/>
            <rFont val="新細明體"/>
            <family val="1"/>
            <charset val="136"/>
          </rPr>
          <t>YU Billy Fatong (余法通):
D14</t>
        </r>
      </text>
    </comment>
    <comment ref="AE21" authorId="2" shapeId="0" xr:uid="{09603015-702F-427F-98B0-6DEB3197355A}">
      <text>
        <r>
          <rPr>
            <sz val="12"/>
            <rFont val="新細明體"/>
            <family val="1"/>
            <charset val="136"/>
          </rPr>
          <t>LING Jenny Yik Ting (凌奕婷):
13:30-17:00 
Room 806, 8/F HQs, MT&amp;D Centre, 8/F HQs</t>
        </r>
      </text>
    </comment>
    <comment ref="Q22" authorId="3" shapeId="0" xr:uid="{3E2D15A9-3340-4926-A2B8-F5DD37904EF6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AC22" authorId="3" shapeId="0" xr:uid="{642E38D2-8EDB-4B94-9AD5-95763012553A}">
      <text>
        <r>
          <rPr>
            <sz val="12"/>
            <rFont val="新細明體"/>
            <family val="1"/>
            <charset val="136"/>
          </rPr>
          <t>SIU YK Yung Kit (蕭勇潔):
Updated on 07/07/2026</t>
        </r>
      </text>
    </comment>
    <comment ref="AD22" authorId="2" shapeId="0" xr:uid="{FD3B7917-F3A1-479A-B72B-DC19B57C1238}">
      <text>
        <r>
          <rPr>
            <sz val="12"/>
            <rFont val="新細明體"/>
            <family val="1"/>
            <charset val="136"/>
          </rPr>
          <t>LING Jenny Yik Ting (凌奕婷):
08:45-12:00 
C Hall A, 9/F Citylink, 9/F, Citylink Plaza</t>
        </r>
      </text>
    </comment>
    <comment ref="AE22" authorId="2" shapeId="0" xr:uid="{8E3AEA67-CBF9-42BD-A616-E12DC5AEE46F}">
      <text>
        <r>
          <rPr>
            <sz val="12"/>
            <rFont val="新細明體"/>
            <family val="1"/>
            <charset val="136"/>
          </rPr>
          <t>LING Jenny Yik Ting (凌奕婷):
08:45-16:45 
K17 -RS Eqpt Rm 1, 1/F OTC-KBD, Operations Training Centre MTR Kowloon Bay Depot</t>
        </r>
      </text>
    </comment>
    <comment ref="AF22" authorId="2" shapeId="0" xr:uid="{EFC9124C-2215-4575-B377-CE4A8F88A462}">
      <text>
        <r>
          <rPr>
            <sz val="12"/>
            <rFont val="新細明體"/>
            <family val="1"/>
            <charset val="136"/>
          </rPr>
          <t>LING Jenny Yik Ting (凌奕婷):
08:45-16:45 
K17 -RS Eqpt Rm 1, 1/F OTC-KBD, Operations Training Centre MTR Kowloon Bay Depot</t>
        </r>
      </text>
    </comment>
    <comment ref="M23" authorId="3" shapeId="0" xr:uid="{5303CF73-9199-4BDE-8E65-7618E84E9C3F}">
      <text>
        <r>
          <rPr>
            <sz val="12"/>
            <rFont val="新細明體"/>
            <family val="1"/>
            <charset val="136"/>
          </rPr>
          <t>SIU YK Yung Kit (蕭勇潔):
Updated on 15/7</t>
        </r>
      </text>
    </comment>
    <comment ref="U23" authorId="3" shapeId="0" xr:uid="{32E56A12-A00C-44B9-A0A7-AEA357280693}">
      <text>
        <r>
          <rPr>
            <sz val="12"/>
            <rFont val="新細明體"/>
            <family val="1"/>
            <charset val="136"/>
          </rPr>
          <t>SIU YK Yung Kit (蕭勇潔):
D11</t>
        </r>
      </text>
    </comment>
    <comment ref="V23" authorId="3" shapeId="0" xr:uid="{2C00E717-55F7-4A78-886D-7BD596503089}">
      <text>
        <r>
          <rPr>
            <sz val="12"/>
            <rFont val="新細明體"/>
            <family val="1"/>
            <charset val="136"/>
          </rPr>
          <t>SIU YK Yung Kit (蕭勇潔):
D12</t>
        </r>
      </text>
    </comment>
    <comment ref="W23" authorId="3" shapeId="0" xr:uid="{C0F81052-5A65-40AB-9C9B-CC5A02528626}">
      <text>
        <r>
          <rPr>
            <sz val="12"/>
            <rFont val="新細明體"/>
            <family val="1"/>
            <charset val="136"/>
          </rPr>
          <t>SIU YK Yung Kit (蕭勇潔):
D13</t>
        </r>
      </text>
    </comment>
    <comment ref="X23" authorId="3" shapeId="0" xr:uid="{98B3C9FB-0815-4F55-9012-ADC3040A7FB9}">
      <text>
        <r>
          <rPr>
            <sz val="12"/>
            <rFont val="新細明體"/>
            <family val="1"/>
            <charset val="136"/>
          </rPr>
          <t>SIU YK Yung Kit (蕭勇潔):
D14</t>
        </r>
      </text>
    </comment>
    <comment ref="Y23" authorId="3" shapeId="0" xr:uid="{856B3224-47C0-4FF2-A4FB-CF9926E4D037}">
      <text>
        <r>
          <rPr>
            <sz val="12"/>
            <rFont val="新細明體"/>
            <family val="1"/>
            <charset val="136"/>
          </rPr>
          <t>SIU YK Yung Kit (蕭勇潔):
D15</t>
        </r>
      </text>
    </comment>
    <comment ref="AD24" authorId="2" shapeId="0" xr:uid="{30CA547F-848E-47CA-86AF-C42C49957ECB}">
      <text>
        <r>
          <rPr>
            <sz val="12"/>
            <rFont val="新細明體"/>
            <family val="1"/>
            <charset val="136"/>
          </rPr>
          <t>LING Jenny Yik Ting (凌奕婷):
08:45-12:00 
C Hall A, 9/F Citylink, 9/F, Citylink Plaza</t>
        </r>
      </text>
    </comment>
    <comment ref="G26" authorId="1" shapeId="0" xr:uid="{DDA1A4FA-3CA5-41C3-980D-56C3A43DC615}">
      <text>
        <r>
          <rPr>
            <sz val="12"/>
            <rFont val="新細明體"/>
            <family val="1"/>
            <charset val="136"/>
          </rPr>
          <t xml:space="preserve">YU Billy Fatong (余法通):
11/05/2026
</t>
        </r>
      </text>
    </comment>
    <comment ref="N26" authorId="1" shapeId="0" xr:uid="{225D7E7D-DEA4-4C8E-8412-30DCAB4115E6}">
      <text>
        <r>
          <rPr>
            <sz val="12"/>
            <rFont val="新細明體"/>
            <family val="1"/>
            <charset val="136"/>
          </rPr>
          <t xml:space="preserve">YU Billy Fatong (余法通):
D13
</t>
        </r>
      </text>
    </comment>
    <comment ref="I27" authorId="2" shapeId="0" xr:uid="{944F118C-32F5-4539-A420-AAB8456FAAB7}">
      <text>
        <r>
          <rPr>
            <sz val="12"/>
            <rFont val="新細明體"/>
            <family val="1"/>
            <charset val="136"/>
          </rPr>
          <t>LING Jenny Yik Ting (凌奕婷):
09:00-17:00 
Room 801, 8/F HQs, MT&amp;D Centre, 8/F HQs</t>
        </r>
      </text>
    </comment>
    <comment ref="K27" authorId="2" shapeId="0" xr:uid="{067440F8-0D1A-4158-978A-00F880609435}">
      <text>
        <r>
          <rPr>
            <sz val="12"/>
            <rFont val="新細明體"/>
            <family val="1"/>
            <charset val="136"/>
          </rPr>
          <t>LING Jenny Yik Ting (凌奕婷):
09:00-17:00 
Room 802, 8/F HQs, MT&amp;D Centre, 8/F HQs</t>
        </r>
      </text>
    </comment>
    <comment ref="T27" authorId="1" shapeId="0" xr:uid="{6812B53B-B402-4987-A648-7B881C7A28D9}">
      <text>
        <r>
          <rPr>
            <sz val="12"/>
            <rFont val="新細明體"/>
            <family val="1"/>
            <charset val="136"/>
          </rPr>
          <t>YU Billy Fatong (余法通):
25/07/2026</t>
        </r>
      </text>
    </comment>
    <comment ref="U27" authorId="1" shapeId="0" xr:uid="{DE07E3DB-DC15-4F61-9C8B-7E7A5FD2A436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X27" authorId="1" shapeId="0" xr:uid="{9A5F53FF-1BA9-450F-B1AB-8FAEF76F68BB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AI27" authorId="2" shapeId="0" xr:uid="{6E629D5F-A713-4F82-BEF4-4EE10D6FA743}">
      <text>
        <r>
          <rPr>
            <sz val="12"/>
            <rFont val="新細明體"/>
            <family val="1"/>
            <charset val="136"/>
          </rPr>
          <t>LING Jenny Yik Ting (凌奕婷):
09:00-17:00 
Room 801, 8/F HQs, MT&amp;D Centre, 8/F HQs</t>
        </r>
      </text>
    </comment>
    <comment ref="K28" authorId="2" shapeId="0" xr:uid="{AC790B2C-0084-406D-BFA8-1AAACA5CD724}">
      <text>
        <r>
          <rPr>
            <sz val="12"/>
            <rFont val="新細明體"/>
            <family val="1"/>
            <charset val="136"/>
          </rPr>
          <t>LING Jenny Yik Ting (凌奕婷):
09:00-17:00 
Room 802, 8/F HQs, MT&amp;D Centre, 8/F HQs</t>
        </r>
      </text>
    </comment>
    <comment ref="N28" authorId="1" shapeId="0" xr:uid="{D8127177-986D-4413-985B-DF83AEC7CDB8}">
      <text>
        <r>
          <rPr>
            <sz val="12"/>
            <rFont val="新細明體"/>
            <family val="1"/>
            <charset val="136"/>
          </rPr>
          <t>YU Billy Fatong (余法通):
10/08/2026</t>
        </r>
      </text>
    </comment>
    <comment ref="R28" authorId="3" shapeId="0" xr:uid="{7111C592-D79F-4C93-8556-6B0B1C4CE76C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I29" authorId="3" shapeId="0" xr:uid="{B8E2D426-3AAF-4978-8DE9-1A87B3D51FBA}">
      <text>
        <r>
          <rPr>
            <sz val="12"/>
            <rFont val="新細明體"/>
            <family val="1"/>
            <charset val="136"/>
          </rPr>
          <t>SIU YK Yung Kit (蕭勇潔):
Updated on 03/7</t>
        </r>
      </text>
    </comment>
    <comment ref="R30" authorId="3" shapeId="0" xr:uid="{715401F7-2750-4ADC-BB34-185476773C40}">
      <text>
        <r>
          <rPr>
            <sz val="12"/>
            <rFont val="新細明體"/>
            <family val="1"/>
            <charset val="136"/>
          </rPr>
          <t xml:space="preserve">SIU YK Yung Kit (蕭勇潔):
</t>
        </r>
      </text>
    </comment>
    <comment ref="K31" authorId="1" shapeId="0" xr:uid="{DE6A8641-2F3B-45BF-BF9F-5B7F056F6522}">
      <text>
        <r>
          <rPr>
            <sz val="12"/>
            <rFont val="新細明體"/>
            <family val="1"/>
            <charset val="136"/>
          </rPr>
          <t xml:space="preserve">YU Billy Fatong (余法通):
Transition Workshop - Elevating Graduated RTT 2026 : From Graduation to Greatness 躍升見習鐵路技術人員2026：從畢業走向卓越 
2026年8月7日 (星期五)
0845-1630 (必須準時出席)
位杜瑞拉宴會廳, 1 樓, 香港迪士尼樂園酒店 
</t>
        </r>
      </text>
    </comment>
    <comment ref="N31" authorId="0" shapeId="0" xr:uid="{E53C3294-2D52-4D3C-8D15-056F2DA1BD1E}">
      <text>
        <r>
          <rPr>
            <sz val="12"/>
            <rFont val="新細明體"/>
            <family val="1"/>
            <charset val="136"/>
          </rPr>
          <t>LEE CY Chi Yiu (李志堯):
31/7</t>
        </r>
      </text>
    </comment>
    <comment ref="O31" authorId="0" shapeId="0" xr:uid="{A1AF3391-DF67-4416-885E-5523191C3D88}">
      <text>
        <r>
          <rPr>
            <sz val="12"/>
            <rFont val="新細明體"/>
            <family val="1"/>
            <charset val="136"/>
          </rPr>
          <t>LEE CY Chi Yiu (李志堯):
31/7</t>
        </r>
      </text>
    </comment>
    <comment ref="P31" authorId="0" shapeId="0" xr:uid="{C3C510A2-B444-4C1C-917D-235E96D9BE6F}">
      <text>
        <r>
          <rPr>
            <sz val="12"/>
            <rFont val="新細明體"/>
            <family val="1"/>
            <charset val="136"/>
          </rPr>
          <t>LEE CY Chi Yiu (李志堯):
31/7</t>
        </r>
      </text>
    </comment>
    <comment ref="Q31" authorId="0" shapeId="0" xr:uid="{BDDDF3AF-5680-4D10-92D1-9788A073EA64}">
      <text>
        <r>
          <rPr>
            <sz val="12"/>
            <rFont val="新細明體"/>
            <family val="1"/>
            <charset val="136"/>
          </rPr>
          <t>LEE CY Chi Yiu (李志堯):
31/7</t>
        </r>
      </text>
    </comment>
    <comment ref="R31" authorId="0" shapeId="0" xr:uid="{0B2FC5A9-BB77-4052-AB45-161C7743141F}">
      <text>
        <r>
          <rPr>
            <sz val="12"/>
            <rFont val="新細明體"/>
            <family val="1"/>
            <charset val="136"/>
          </rPr>
          <t>LEE CY Chi Yiu (李志堯):
31/7</t>
        </r>
      </text>
    </comment>
    <comment ref="T31" authorId="1" shapeId="0" xr:uid="{6D454B3E-0D10-45BC-B1C7-DB53DDCFD1BC}">
      <text>
        <r>
          <rPr>
            <sz val="12"/>
            <rFont val="新細明體"/>
            <family val="1"/>
            <charset val="136"/>
          </rPr>
          <t xml:space="preserve">YU Billy Fatong (余法通):
D11
</t>
        </r>
      </text>
    </comment>
    <comment ref="U31" authorId="1" shapeId="0" xr:uid="{D22B72B7-3DE9-494E-8CB1-E9B4961DC9FE}">
      <text>
        <r>
          <rPr>
            <sz val="12"/>
            <rFont val="新細明體"/>
            <family val="1"/>
            <charset val="136"/>
          </rPr>
          <t xml:space="preserve">YU Billy Fatong (余法通):
D12
</t>
        </r>
      </text>
    </comment>
    <comment ref="K32" authorId="2" shapeId="0" xr:uid="{1FCB6F98-0E7C-48DB-B98D-9849BF2C17CE}">
      <text>
        <r>
          <rPr>
            <sz val="12"/>
            <rFont val="新細明體"/>
            <family val="1"/>
            <charset val="136"/>
          </rPr>
          <t>LING Jenny Yik Ting (凌奕婷):
09:00-17:00 
Room 802, 8/F HQs, MT&amp;D Centre, 8/F HQs</t>
        </r>
      </text>
    </comment>
    <comment ref="AF32" authorId="3" shapeId="0" xr:uid="{4177F4A2-1570-446A-B108-EE951BF13AD9}">
      <text>
        <r>
          <rPr>
            <sz val="12"/>
            <rFont val="新細明體"/>
            <family val="1"/>
            <charset val="136"/>
          </rPr>
          <t>SIU YK Yung Kit (蕭勇潔):
Updated on 10/7/2026</t>
        </r>
      </text>
    </comment>
    <comment ref="AI32" authorId="2" shapeId="0" xr:uid="{64C66876-DBB0-4E97-A5F4-CBDB2050EE50}">
      <text>
        <r>
          <rPr>
            <sz val="12"/>
            <rFont val="新細明體"/>
            <family val="1"/>
            <charset val="136"/>
          </rPr>
          <t>LING Jenny Yik Ting (凌奕婷):
09:00-17:00 
Room 801, 8/F HQs, MT&amp;D Centre, 8/F HQs</t>
        </r>
      </text>
    </comment>
    <comment ref="J34" authorId="1" shapeId="0" xr:uid="{80843664-0844-47D3-B95D-1D1EFBFE7713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K34" authorId="1" shapeId="0" xr:uid="{FD64ABD8-C501-41ED-92E6-93874EE8520B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Q34" authorId="1" shapeId="0" xr:uid="{12D51638-2396-4FC1-8D4C-99676D20C17F}">
      <text>
        <r>
          <rPr>
            <sz val="12"/>
            <rFont val="新細明體"/>
            <family val="1"/>
            <charset val="136"/>
          </rPr>
          <t>YU Billy Fatong (余法通):
 claim 2hrs</t>
        </r>
      </text>
    </comment>
    <comment ref="P35" authorId="2" shapeId="0" xr:uid="{D1D2BFB3-E38E-4C02-8C5E-77FB77890A9C}">
      <text>
        <r>
          <rPr>
            <sz val="12"/>
            <rFont val="新細明體"/>
            <family val="1"/>
            <charset val="136"/>
          </rPr>
          <t>LING Jenny Yik Ting (凌奕婷):
14:30-17:00 Virtual class</t>
        </r>
      </text>
    </comment>
    <comment ref="R35" authorId="1" shapeId="0" xr:uid="{89DD4528-2299-45E5-B9D0-771B5DFADE95}">
      <text>
        <r>
          <rPr>
            <sz val="12"/>
            <rFont val="新細明體"/>
            <family val="1"/>
            <charset val="136"/>
          </rPr>
          <t>YU Billy Fatong (余法通):
17/07/2026
D11</t>
        </r>
      </text>
    </comment>
    <comment ref="AA35" authorId="1" shapeId="0" xr:uid="{A4E70695-6C44-413F-8763-3D639950F3D3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Q36" authorId="1" shapeId="0" xr:uid="{CEBE2E23-46C7-4F46-B9CC-8610FD315DFF}">
      <text>
        <r>
          <rPr>
            <sz val="12"/>
            <rFont val="新細明體"/>
            <family val="1"/>
            <charset val="136"/>
          </rPr>
          <t>YU Billy Fatong (余法通):
D11</t>
        </r>
      </text>
    </comment>
    <comment ref="R36" authorId="1" shapeId="0" xr:uid="{E247F089-FB82-4598-91A4-6F5DDA960558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N37" authorId="1" shapeId="0" xr:uid="{F9D3F0B6-1084-4D4F-A172-ACA853396BED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O37" authorId="1" shapeId="0" xr:uid="{A3B463E0-6D59-47DD-831E-1738499A2AC1}">
      <text>
        <r>
          <rPr>
            <sz val="12"/>
            <rFont val="新細明體"/>
            <family val="1"/>
            <charset val="136"/>
          </rPr>
          <t>YU Billy Fatong (余法通):
D13</t>
        </r>
      </text>
    </comment>
    <comment ref="P37" authorId="1" shapeId="0" xr:uid="{2BFE531C-B47D-49EE-A14D-EB146AA6D37F}">
      <text>
        <r>
          <rPr>
            <sz val="12"/>
            <rFont val="新細明體"/>
            <family val="1"/>
            <charset val="136"/>
          </rPr>
          <t>YU Billy Fatong (余法通):
D14</t>
        </r>
      </text>
    </comment>
    <comment ref="Q37" authorId="1" shapeId="0" xr:uid="{E0662B2E-FD26-4FE4-8ABF-EF9C43288457}">
      <text>
        <r>
          <rPr>
            <sz val="12"/>
            <rFont val="新細明體"/>
            <family val="1"/>
            <charset val="136"/>
          </rPr>
          <t>YU Billy Fatong (余法通):
17/7/2026</t>
        </r>
      </text>
    </comment>
    <comment ref="N38" authorId="1" shapeId="0" xr:uid="{A6170FA2-9E20-4743-8D98-A25FE95A429C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Q38" authorId="2" shapeId="0" xr:uid="{351AFC07-C308-4BEA-9FC6-887D92417A39}">
      <text>
        <r>
          <rPr>
            <sz val="12"/>
            <rFont val="新細明體"/>
            <family val="1"/>
            <charset val="136"/>
          </rPr>
          <t>LING Jenny Yik Ting (凌奕婷):
08:45-16:45 
K14 - CCS Eqpt Rm, 1/F OTC-KBD, Operations Training Centre MTR Kowloon Bay Depot</t>
        </r>
      </text>
    </comment>
    <comment ref="N39" authorId="2" shapeId="0" xr:uid="{5AF5D2B4-DE37-4811-AF25-3A4D883CC766}">
      <text>
        <r>
          <rPr>
            <sz val="12"/>
            <rFont val="新細明體"/>
            <family val="1"/>
            <charset val="136"/>
          </rPr>
          <t>LING Jenny Yik Ting (凌奕婷):
09:00-17:30 
Room 201, 2/F FTRH,</t>
        </r>
      </text>
    </comment>
    <comment ref="O39" authorId="2" shapeId="0" xr:uid="{27B1E8D3-7EC0-4900-813F-C64CA7188957}">
      <text>
        <r>
          <rPr>
            <sz val="12"/>
            <rFont val="新細明體"/>
            <family val="1"/>
            <charset val="136"/>
          </rPr>
          <t>LING Jenny Yik Ting (凌奕婷):
09:00-12:00
Room 201, 2/F FTRH,</t>
        </r>
      </text>
    </comment>
    <comment ref="X39" authorId="1" shapeId="0" xr:uid="{745E189A-5AC7-4EE7-99E2-FA4DE88663D7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Y39" authorId="1" shapeId="0" xr:uid="{8CAB4253-1121-4A72-84B6-D759FC917181}">
      <text>
        <r>
          <rPr>
            <sz val="12"/>
            <rFont val="新細明體"/>
            <family val="1"/>
            <charset val="136"/>
          </rPr>
          <t xml:space="preserve">YU Billy Fatong (余法通):
04/08
</t>
        </r>
      </text>
    </comment>
    <comment ref="AH39" authorId="1" shapeId="0" xr:uid="{069B7493-7785-4562-AAC3-F3C949F386E8}">
      <text>
        <r>
          <rPr>
            <sz val="12"/>
            <rFont val="新細明體"/>
            <family val="1"/>
            <charset val="136"/>
          </rPr>
          <t>YU Billy Fatong (余法通):
11/08</t>
        </r>
      </text>
    </comment>
    <comment ref="U41" authorId="3" shapeId="0" xr:uid="{D1FA1742-32A5-4D39-AE40-8ACCBD70FB03}">
      <text>
        <r>
          <rPr>
            <sz val="12"/>
            <rFont val="新細明體"/>
            <family val="1"/>
            <charset val="136"/>
          </rPr>
          <t>SIU YK Yung Kit (蕭勇潔):
D11</t>
        </r>
      </text>
    </comment>
    <comment ref="Y41" authorId="3" shapeId="0" xr:uid="{1629B873-CA87-4AF7-9B03-0EEF1035C221}">
      <text>
        <r>
          <rPr>
            <sz val="12"/>
            <rFont val="新細明體"/>
            <family val="1"/>
            <charset val="136"/>
          </rPr>
          <t>SIU YK Yung Kit (蕭勇潔):
D12</t>
        </r>
      </text>
    </comment>
    <comment ref="AB41" authorId="1" shapeId="0" xr:uid="{A7C6B481-E3AF-4C5C-8B8E-7CD396BD8F5A}">
      <text>
        <r>
          <rPr>
            <sz val="12"/>
            <rFont val="新細明體"/>
            <family val="1"/>
            <charset val="136"/>
          </rPr>
          <t>YU Billy Fatong (余法通):
25/07/2026</t>
        </r>
      </text>
    </comment>
    <comment ref="Q42" authorId="3" shapeId="0" xr:uid="{B7F8BF94-E75B-4EFD-B39E-29941A6BCC59}">
      <text>
        <r>
          <rPr>
            <sz val="12"/>
            <rFont val="新細明體"/>
            <family val="1"/>
            <charset val="136"/>
          </rPr>
          <t>SIU YK Yung Kit (蕭勇潔):
D11 (19/6)</t>
        </r>
      </text>
    </comment>
    <comment ref="R42" authorId="3" shapeId="0" xr:uid="{2C98BDD0-D18A-4BBE-82BC-29362163EE5A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Y42" authorId="2" shapeId="0" xr:uid="{E38798E7-939A-479C-A8CC-785573B0D82D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U43" authorId="3" shapeId="0" xr:uid="{45AB252F-3D39-4F3A-B399-48A83B8AEA4F}">
      <text>
        <r>
          <rPr>
            <sz val="12"/>
            <rFont val="新細明體"/>
            <family val="1"/>
            <charset val="136"/>
          </rPr>
          <t>SIU YK Yung Kit (蕭勇潔):
D11 (19/6)</t>
        </r>
      </text>
    </comment>
    <comment ref="V43" authorId="3" shapeId="0" xr:uid="{DD3BAC04-6711-4230-88BB-FD851A45E2A3}">
      <text>
        <r>
          <rPr>
            <sz val="12"/>
            <rFont val="新細明體"/>
            <family val="1"/>
            <charset val="136"/>
          </rPr>
          <t>SIU YK Yung Kit (蕭勇潔):
D12 (01/7)</t>
        </r>
      </text>
    </comment>
    <comment ref="U45" authorId="3" shapeId="0" xr:uid="{6D5BAB35-B468-4F63-86F2-F45B9C645888}">
      <text>
        <r>
          <rPr>
            <sz val="12"/>
            <rFont val="新細明體"/>
            <family val="1"/>
            <charset val="136"/>
          </rPr>
          <t>SIU YK Yung Kit (蕭勇潔):
D11</t>
        </r>
      </text>
    </comment>
    <comment ref="W45" authorId="3" shapeId="0" xr:uid="{448D3C13-9FB3-4B5E-8FC8-681A5BEC8F6E}">
      <text>
        <r>
          <rPr>
            <sz val="12"/>
            <rFont val="新細明體"/>
            <family val="1"/>
            <charset val="136"/>
          </rPr>
          <t>SIU YK Yung Kit (蕭勇潔):
D12</t>
        </r>
      </text>
    </comment>
    <comment ref="X45" authorId="2" shapeId="0" xr:uid="{A7624B06-280C-468D-BB8C-7D4066613947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Y45" authorId="2" shapeId="0" xr:uid="{876FB8F1-FE5D-4DC5-9C1E-15004CFD0752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K46" authorId="1" shapeId="0" xr:uid="{AC8713D5-5385-419E-91A6-CBB5E25BD4AB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W46" authorId="2" shapeId="0" xr:uid="{5A2563AE-44AE-4B61-831D-534DE4787045}">
      <text>
        <r>
          <rPr>
            <sz val="12"/>
            <rFont val="新細明體"/>
            <family val="1"/>
            <charset val="136"/>
          </rPr>
          <t>LING Jenny Yik Ting (凌奕婷):
09:00=17:00 
Room 801, 8/F HQs, MT&amp;D Centre, 8/F HQs</t>
        </r>
      </text>
    </comment>
    <comment ref="Y46" authorId="1" shapeId="0" xr:uid="{1E999952-064E-4E2F-9528-8E7A5F3E269A}">
      <text>
        <r>
          <rPr>
            <sz val="12"/>
            <rFont val="新細明體"/>
            <family val="1"/>
            <charset val="136"/>
          </rPr>
          <t>YU Billy Fatong (余法通):
07/08
D12</t>
        </r>
      </text>
    </comment>
    <comment ref="M47" authorId="1" shapeId="0" xr:uid="{E33E7FA9-BAE5-4018-B8EE-A49080EA6AA8}">
      <text>
        <r>
          <rPr>
            <sz val="12"/>
            <rFont val="新細明體"/>
            <family val="1"/>
            <charset val="136"/>
          </rPr>
          <t xml:space="preserve">YU Billy Fatong (余法通):
03/8
</t>
        </r>
      </text>
    </comment>
    <comment ref="U47" authorId="1" shapeId="0" xr:uid="{78DFF68D-5C1A-4D27-B293-D6BC00549EB6}">
      <text>
        <r>
          <rPr>
            <sz val="12"/>
            <rFont val="新細明體"/>
            <family val="1"/>
            <charset val="136"/>
          </rPr>
          <t>YU Billy Fatong (余法通):
25/07/2026</t>
        </r>
      </text>
    </comment>
    <comment ref="J50" authorId="2" shapeId="0" xr:uid="{760B52B3-BEEF-4515-A3E8-A174BC82BE09}">
      <text>
        <r>
          <rPr>
            <sz val="12"/>
            <rFont val="新細明體"/>
            <family val="1"/>
            <charset val="136"/>
          </rPr>
          <t>LING Jenny Yik Ting (凌奕婷):
T04 am 8/F HQs
T24 13:30-17:00
Room 802, Management Training &amp; Development Centre, 8/F</t>
        </r>
      </text>
    </comment>
    <comment ref="K50" authorId="2" shapeId="0" xr:uid="{D0A55B76-B149-4A91-8CF6-B2911CDC1819}">
      <text>
        <r>
          <rPr>
            <sz val="12"/>
            <rFont val="新細明體"/>
            <family val="1"/>
            <charset val="136"/>
          </rPr>
          <t>LING Jenny Yik Ting (凌奕婷):
08:45-12:00
OTC-CL, 9/F Citylink Plaza</t>
        </r>
      </text>
    </comment>
    <comment ref="AE50" authorId="2" shapeId="0" xr:uid="{DFB075FB-8BE3-4957-8383-8BFE30B90ED8}">
      <text>
        <r>
          <rPr>
            <sz val="12"/>
            <rFont val="新細明體"/>
            <family val="1"/>
            <charset val="136"/>
          </rPr>
          <t>LING Jenny Yik Ting (凌奕婷):
08:45-16:45 
K01 -E&amp;M Eqpt Rm, G/F OTC-KBD, Operations Training Centre MTR Kowloon Bay Depot</t>
        </r>
      </text>
    </comment>
    <comment ref="AF50" authorId="2" shapeId="0" xr:uid="{49C101EC-5FB4-495E-A178-16CA4D3DE142}">
      <text>
        <r>
          <rPr>
            <sz val="12"/>
            <rFont val="新細明體"/>
            <family val="1"/>
            <charset val="136"/>
          </rPr>
          <t>LING Jenny Yik Ting (凌奕婷):
08:45-16:45 
K01 -E&amp;M Eqpt Rm, G/F OTC-KBD, Operations Training Centre MTR Kowloon Bay Depot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 Billy Fatong (余法通)</author>
    <author>LEE CY Chi Yiu (李志堯)</author>
    <author>SIU YK Yung Kit (蕭勇潔)</author>
    <author>LING Jenny Yik Ting (凌奕婷)</author>
  </authors>
  <commentList>
    <comment ref="U9" authorId="0" shapeId="0" xr:uid="{92769684-C26C-431A-AF53-C57EAFDBBAA0}">
      <text>
        <r>
          <rPr>
            <sz val="12"/>
            <rFont val="新細明體"/>
            <family val="1"/>
            <charset val="136"/>
          </rPr>
          <t>YU Billy Fatong (余法通):
Auditorium, HQ
IMD Management &amp; Supervisory Forum Q3 2026 
0830-1000</t>
        </r>
      </text>
    </comment>
    <comment ref="U10" authorId="0" shapeId="0" xr:uid="{B96254D4-8DEF-4B01-8FCE-3FBCADD2B282}">
      <text>
        <r>
          <rPr>
            <sz val="12"/>
            <rFont val="新細明體"/>
            <family val="1"/>
            <charset val="136"/>
          </rPr>
          <t>YU Billy Fatong (余法通):
Auditorium, HQ
IMD Management &amp; Supervisory Forum Q3 2026 
0830-1000</t>
        </r>
      </text>
    </comment>
    <comment ref="AC10" authorId="1" shapeId="0" xr:uid="{70F09EC6-5E0B-44B9-804D-FED71065F8D1}">
      <text>
        <r>
          <rPr>
            <sz val="12"/>
            <rFont val="新細明體"/>
            <family val="1"/>
            <charset val="136"/>
          </rPr>
          <t>LEE CY Chi Yiu (李志堯):
19/8</t>
        </r>
      </text>
    </comment>
    <comment ref="Y11" authorId="1" shapeId="0" xr:uid="{4305F91F-6738-4668-831E-EB09F6FB6A00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Z11" authorId="1" shapeId="0" xr:uid="{13B22ECB-2F1B-4DBB-94AB-14D069D78289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AA11" authorId="1" shapeId="0" xr:uid="{3BAC3640-B5E6-4199-9A3E-46E7F184E54E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AB11" authorId="1" shapeId="0" xr:uid="{8AFC9941-29C3-41A0-BDDA-B85474C9A709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Z13" authorId="0" shapeId="0" xr:uid="{9E147256-E7B2-4802-87F5-120450CAEDBD}">
      <text>
        <r>
          <rPr>
            <sz val="12"/>
            <rFont val="新細明體"/>
            <family val="1"/>
            <charset val="136"/>
          </rPr>
          <t>YU Billy Fatong (余法通):
Auditorium, HQ
IMD Management &amp; Supervisory Forum Q3 2026 
0830-1000</t>
        </r>
      </text>
    </comment>
    <comment ref="U15" authorId="0" shapeId="0" xr:uid="{F29AFA9B-A4EA-454B-89E6-29D59B0C5D16}">
      <text>
        <r>
          <rPr>
            <sz val="12"/>
            <rFont val="新細明體"/>
            <family val="1"/>
            <charset val="136"/>
          </rPr>
          <t>YU Billy Fatong (余法通):
Auditorium, HQ
IMD Management &amp; Supervisory Forum Q3 2026 
0830-1000</t>
        </r>
      </text>
    </comment>
    <comment ref="U17" authorId="0" shapeId="0" xr:uid="{C7198B43-8316-4F94-A9E7-C8DF43D44655}">
      <text>
        <r>
          <rPr>
            <sz val="12"/>
            <rFont val="新細明體"/>
            <family val="1"/>
            <charset val="136"/>
          </rPr>
          <t>YU Billy Fatong (余法通):
Auditorium, HQ
IMD Management &amp; Supervisory Forum Q3 2026 
0830-1000</t>
        </r>
      </text>
    </comment>
    <comment ref="Z19" authorId="0" shapeId="0" xr:uid="{41457D6E-6D97-4F23-BF13-01D60818BF90}">
      <text>
        <r>
          <rPr>
            <sz val="12"/>
            <rFont val="新細明體"/>
            <family val="1"/>
            <charset val="136"/>
          </rPr>
          <t>YU Billy Fatong (余法通):
Auditorium, HQ
IMD Management &amp; Supervisory Forum Q3 2026 
0830-1000</t>
        </r>
      </text>
    </comment>
    <comment ref="O20" authorId="2" shapeId="0" xr:uid="{44F576D3-F06A-4CF7-A8F7-06E722AB0B3C}">
      <text>
        <r>
          <rPr>
            <sz val="12"/>
            <rFont val="新細明體"/>
            <family val="1"/>
            <charset val="136"/>
          </rPr>
          <t>SIU YK Yung Kit (蕭勇潔):
D13</t>
        </r>
      </text>
    </comment>
    <comment ref="Q20" authorId="2" shapeId="0" xr:uid="{EE7ADB15-9247-4B3D-B942-60C2841E9C90}">
      <text>
        <r>
          <rPr>
            <sz val="12"/>
            <rFont val="新細明體"/>
            <family val="1"/>
            <charset val="136"/>
          </rPr>
          <t>SIU YK Yung Kit (蕭勇潔):
D14</t>
        </r>
      </text>
    </comment>
    <comment ref="Z20" authorId="0" shapeId="0" xr:uid="{9542F2E1-380E-4BB9-B9FA-2C0A71C04C9E}">
      <text>
        <r>
          <rPr>
            <sz val="12"/>
            <rFont val="新細明體"/>
            <family val="1"/>
            <charset val="136"/>
          </rPr>
          <t>YU Billy Fatong (余法通):
Auditorium, HQ
IMD Management &amp; Supervisory Forum Q3 2026 
0830-1000</t>
        </r>
      </text>
    </comment>
    <comment ref="Y22" authorId="3" shapeId="0" xr:uid="{6E62D2DD-ED4B-4D1F-9D96-6FFA92018EDE}">
      <text>
        <r>
          <rPr>
            <sz val="12"/>
            <rFont val="新細明體"/>
            <family val="1"/>
            <charset val="136"/>
          </rPr>
          <t>LING Jenny Yik Ting (凌奕婷):
08:45-16:45
Operations Training Centre 1/F, Main Building, MTR Pat Heung Depot</t>
        </r>
      </text>
    </comment>
    <comment ref="Z22" authorId="3" shapeId="0" xr:uid="{4F14F104-C8F9-4D69-8AD9-5D24967829E7}">
      <text>
        <r>
          <rPr>
            <sz val="12"/>
            <rFont val="新細明體"/>
            <family val="1"/>
            <charset val="136"/>
          </rPr>
          <t>LING Jenny Yik Ting (凌奕婷):
08:45-16:45
Operations Training Centre 1/F, Main Building, MTR Pat Heung Depot</t>
        </r>
      </text>
    </comment>
    <comment ref="AA22" authorId="3" shapeId="0" xr:uid="{4C73D516-AE1D-4AE4-86BF-6B7948F6ED5D}">
      <text>
        <r>
          <rPr>
            <sz val="12"/>
            <rFont val="新細明體"/>
            <family val="1"/>
            <charset val="136"/>
          </rPr>
          <t>LING Jenny Yik Ting (凌奕婷):
08:45-16:45
Operations Training Centre 1/F, Main Building, MTR Pat Heung Depot</t>
        </r>
      </text>
    </comment>
    <comment ref="O23" authorId="2" shapeId="0" xr:uid="{6F5E405E-6FBD-4F46-B7AC-57841EBAC021}">
      <text>
        <r>
          <rPr>
            <sz val="12"/>
            <rFont val="新細明體"/>
            <family val="1"/>
            <charset val="136"/>
          </rPr>
          <t>SIU YK Yung Kit (蕭勇潔):
Updated on 12/8</t>
        </r>
      </text>
    </comment>
    <comment ref="Y23" authorId="3" shapeId="0" xr:uid="{ECCA1E59-0ABF-49E9-8A8E-BC24F97CBE53}">
      <text>
        <r>
          <rPr>
            <sz val="12"/>
            <rFont val="新細明體"/>
            <family val="1"/>
            <charset val="136"/>
          </rPr>
          <t>LING Jenny Yik Ting (凌奕婷):
08:45-16:45
Operations Training Centre 1/F, Main Building, MTR Pat Heung Depot</t>
        </r>
      </text>
    </comment>
    <comment ref="Z23" authorId="3" shapeId="0" xr:uid="{9EB795E3-B92D-4787-98DF-8E6103E4D8A4}">
      <text>
        <r>
          <rPr>
            <sz val="12"/>
            <rFont val="新細明體"/>
            <family val="1"/>
            <charset val="136"/>
          </rPr>
          <t>LING Jenny Yik Ting (凌奕婷):
08:45-16:45
Operations Training Centre 1/F, Main Building, MTR Pat Heung Depot</t>
        </r>
      </text>
    </comment>
    <comment ref="AA23" authorId="3" shapeId="0" xr:uid="{1EAD337B-532A-4A49-BF74-3828021A4BB5}">
      <text>
        <r>
          <rPr>
            <sz val="12"/>
            <rFont val="新細明體"/>
            <family val="1"/>
            <charset val="136"/>
          </rPr>
          <t>LING Jenny Yik Ting (凌奕婷):
08:45-16:45
Operations Training Centre 1/F, Main Building, MTR Pat Heung Depot</t>
        </r>
      </text>
    </comment>
    <comment ref="AA24" authorId="3" shapeId="0" xr:uid="{BBE40BE0-33F6-4DD2-83BF-2D4BB73876C5}">
      <text>
        <r>
          <rPr>
            <sz val="12"/>
            <rFont val="新細明體"/>
            <family val="1"/>
            <charset val="136"/>
          </rPr>
          <t>LING Jenny Yik Ting (凌奕婷):
08:45-16:45 
K17 -RS Eqpt Rm 1, 1/F OTC-KBD, Operations Training Centre MTR Kowloon Bay Depot</t>
        </r>
      </text>
    </comment>
    <comment ref="AB24" authorId="3" shapeId="0" xr:uid="{F360358F-BBD1-486B-A756-45F15B07AC4D}">
      <text>
        <r>
          <rPr>
            <sz val="12"/>
            <rFont val="新細明體"/>
            <family val="1"/>
            <charset val="136"/>
          </rPr>
          <t>LING Jenny Yik Ting (凌奕婷):
08:45-16:45 
K17 -RS Eqpt Rm 1, 1/F OTC-KBD, Operations Training Centre MTR Kowloon Bay Depot</t>
        </r>
      </text>
    </comment>
    <comment ref="K28" authorId="0" shapeId="0" xr:uid="{9859C4A0-6E46-49E0-B7C6-C295D9F6F078}">
      <text>
        <r>
          <rPr>
            <sz val="12"/>
            <rFont val="新細明體"/>
            <family val="1"/>
            <charset val="136"/>
          </rPr>
          <t xml:space="preserve">YU Billy Fatong (余法通):
D13
</t>
        </r>
      </text>
    </comment>
    <comment ref="L28" authorId="0" shapeId="0" xr:uid="{57149836-3BB4-4492-BE0B-10D8395FAD66}">
      <text>
        <r>
          <rPr>
            <sz val="12"/>
            <rFont val="新細明體"/>
            <family val="1"/>
            <charset val="136"/>
          </rPr>
          <t>YU Billy Fatong (余法通):
D14</t>
        </r>
      </text>
    </comment>
    <comment ref="AF28" authorId="0" shapeId="0" xr:uid="{8903C596-8A40-489A-B8AB-9ECDA52509EE}">
      <text>
        <r>
          <rPr>
            <sz val="12"/>
            <rFont val="新細明體"/>
            <family val="1"/>
            <charset val="136"/>
          </rPr>
          <t>YU Billy Fatong (余法通):
D12</t>
        </r>
      </text>
    </comment>
    <comment ref="H31" authorId="0" shapeId="0" xr:uid="{73823B66-30B1-4D09-A7A4-BA33A443EFA3}">
      <text>
        <r>
          <rPr>
            <sz val="12"/>
            <rFont val="新細明體"/>
            <family val="1"/>
            <charset val="136"/>
          </rPr>
          <t>YU Billy Fatong (余法通):
CL 1 hr claimed.</t>
        </r>
      </text>
    </comment>
    <comment ref="Y32" authorId="2" shapeId="0" xr:uid="{95A9ADE7-D0E4-490F-AD18-663E4EAD6C78}">
      <text>
        <r>
          <rPr>
            <sz val="12"/>
            <rFont val="新細明體"/>
            <family val="1"/>
            <charset val="136"/>
          </rPr>
          <t>SIU YK Yung Kit (蕭勇潔):
Update on 05/8</t>
        </r>
      </text>
    </comment>
    <comment ref="G34" authorId="0" shapeId="0" xr:uid="{F9AE0A28-27DB-4FE7-B8DC-1A7EE7B6C5A4}">
      <text>
        <r>
          <rPr>
            <sz val="12"/>
            <rFont val="新細明體"/>
            <family val="1"/>
            <charset val="136"/>
          </rPr>
          <t>YU Billy Fatong (余法通):
4/8</t>
        </r>
      </text>
    </comment>
    <comment ref="F35" authorId="0" shapeId="0" xr:uid="{0BB5E885-B9FC-414D-BD09-292A096FCD76}">
      <text>
        <r>
          <rPr>
            <sz val="12"/>
            <rFont val="新細明體"/>
            <family val="1"/>
            <charset val="136"/>
          </rPr>
          <t>YU Billy Fatong (余法通):
23/07/2026 D13</t>
        </r>
      </text>
    </comment>
    <comment ref="G35" authorId="2" shapeId="0" xr:uid="{2541EC50-8837-43DE-ACD1-83BA72B1FE9F}">
      <text>
        <r>
          <rPr>
            <sz val="12"/>
            <rFont val="新細明體"/>
            <family val="1"/>
            <charset val="136"/>
          </rPr>
          <t>SIU YK Yung Kit (蕭勇潔):
Updated on 22/7</t>
        </r>
      </text>
    </comment>
    <comment ref="L37" authorId="0" shapeId="0" xr:uid="{01E1C9B6-7024-4557-8E5D-848AE1DC9958}">
      <text>
        <r>
          <rPr>
            <sz val="12"/>
            <rFont val="新細明體"/>
            <family val="1"/>
            <charset val="136"/>
          </rPr>
          <t>YU Billy Fatong (余法通):
25/07/2026</t>
        </r>
      </text>
    </comment>
    <comment ref="O38" authorId="0" shapeId="0" xr:uid="{D2A2B78F-BE35-4F48-AD0D-B57050D712AC}">
      <text>
        <r>
          <rPr>
            <sz val="12"/>
            <rFont val="新細明體"/>
            <family val="1"/>
            <charset val="136"/>
          </rPr>
          <t>YU Billy Fatong (余法通):
20/08</t>
        </r>
      </text>
    </comment>
    <comment ref="U42" authorId="0" shapeId="0" xr:uid="{20883C86-4A02-474A-A4C9-6A2FDC172C61}">
      <text>
        <r>
          <rPr>
            <sz val="12"/>
            <rFont val="新細明體"/>
            <family val="1"/>
            <charset val="136"/>
          </rPr>
          <t>YU Billy Fatong (余法通):
Auditorium, HQ
IMD Management &amp; Supervisory Forum Q3 2026 
0830-1000</t>
        </r>
      </text>
    </comment>
    <comment ref="V43" authorId="2" shapeId="0" xr:uid="{EF9CB3FA-1FA4-41D5-AC38-FFD90E637A14}">
      <text>
        <r>
          <rPr>
            <sz val="12"/>
            <rFont val="新細明體"/>
            <family val="1"/>
            <charset val="136"/>
          </rPr>
          <t>SIU YK Yung Kit (蕭勇潔):
D13</t>
        </r>
      </text>
    </comment>
    <comment ref="T45" authorId="2" shapeId="0" xr:uid="{BED4D9DC-916C-4C4C-A6E6-89FC3E85C4FA}">
      <text>
        <r>
          <rPr>
            <sz val="12"/>
            <rFont val="新細明體"/>
            <family val="1"/>
            <charset val="136"/>
          </rPr>
          <t>SIU YK Yung Kit (蕭勇潔):
Updated on 13/8</t>
        </r>
      </text>
    </comment>
    <comment ref="AC46" authorId="0" shapeId="0" xr:uid="{5CD09A47-C574-48BA-B132-194EF27A0B92}">
      <text>
        <r>
          <rPr>
            <sz val="12"/>
            <rFont val="新細明體"/>
            <family val="1"/>
            <charset val="136"/>
          </rPr>
          <t>YU Billy Fatong (余法通):
D13</t>
        </r>
      </text>
    </comment>
    <comment ref="R47" authorId="3" shapeId="0" xr:uid="{9FE1592E-BFB2-4A58-A7C7-73D1AA7F582E}">
      <text>
        <r>
          <rPr>
            <sz val="12"/>
            <rFont val="新細明體"/>
            <family val="1"/>
            <charset val="136"/>
          </rPr>
          <t>LING Jenny Yik Ting (凌奕婷):
Yu Mingrui CPT transfer to CY Choi</t>
        </r>
      </text>
    </comment>
    <comment ref="S47" authorId="3" shapeId="0" xr:uid="{45B57375-08DE-45D0-A764-CF540F913DB9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T47" authorId="3" shapeId="0" xr:uid="{EEA93657-189A-4EBA-B159-1855E2EDA3C8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LING Jenny Yik Ting (凌奕婷)</author>
    <author>LEE CY Chi Yiu (李志堯)</author>
    <author>YU Billy Fatong (余法通)</author>
    <author>SIU YK Yung Kit (蕭勇潔)</author>
  </authors>
  <commentList>
    <comment ref="P11" authorId="0" shapeId="0" xr:uid="{2A1B3855-08C0-4C39-995A-736157F1ABBA}">
      <text>
        <r>
          <rPr>
            <sz val="12"/>
            <rFont val="新細明體"/>
            <family val="1"/>
            <charset val="136"/>
          </rPr>
          <t>LING Jenny Yik Ting (凌奕婷):
1:30PM - 5:00PM
OTC-TAD</t>
        </r>
      </text>
    </comment>
    <comment ref="W11" authorId="1" shapeId="0" xr:uid="{411E221B-68A0-43F5-979C-1F005C4BAAB4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X11" authorId="1" shapeId="0" xr:uid="{F9E56DB0-AD99-4E8D-892B-FC786073C5D6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Y11" authorId="1" shapeId="0" xr:uid="{C83490E1-3E54-4190-8015-5BA32D3D896C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Z11" authorId="1" shapeId="0" xr:uid="{7BAE891E-E0A5-42AA-9CBF-850B7194176D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AA11" authorId="1" shapeId="0" xr:uid="{7CDCDA65-AAC6-4BC5-B5B1-801D5A9F88E6}">
      <text>
        <r>
          <rPr>
            <sz val="12"/>
            <rFont val="新細明體"/>
            <family val="1"/>
            <charset val="136"/>
          </rPr>
          <t>LEE CY Chi Yiu (李志堯):
22/6</t>
        </r>
      </text>
    </comment>
    <comment ref="J15" authorId="2" shapeId="0" xr:uid="{18723F1D-F3AB-4FF5-89AB-C7EFF1C6F4AC}">
      <text>
        <r>
          <rPr>
            <sz val="12"/>
            <rFont val="新細明體"/>
            <family val="1"/>
            <charset val="136"/>
          </rPr>
          <t>YU Billy Fatong (余法通):
13/07/2026</t>
        </r>
      </text>
    </comment>
    <comment ref="AF32" authorId="0" shapeId="0" xr:uid="{963F307C-CF01-47E7-9453-56A402D09D7C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F42" authorId="3" shapeId="0" xr:uid="{2F21DEB2-1D2F-41A2-8B0C-F73C4D6E7E86}">
      <text>
        <r>
          <rPr>
            <sz val="12"/>
            <rFont val="新細明體"/>
            <family val="1"/>
            <charset val="136"/>
          </rPr>
          <t>SIU YK Yung Kit (蕭勇潔):
Updated on 12/8</t>
        </r>
      </text>
    </comment>
    <comment ref="AG42" authorId="3" shapeId="0" xr:uid="{96195C3A-AE1A-4FD5-922C-24261A16FCA7}">
      <text>
        <r>
          <rPr>
            <sz val="12"/>
            <rFont val="新細明體"/>
            <family val="1"/>
            <charset val="136"/>
          </rPr>
          <t>SIU YK Yung Kit (蕭勇潔):
D13 (26/9)</t>
        </r>
      </text>
    </comment>
    <comment ref="AH42" authorId="3" shapeId="0" xr:uid="{C684252B-6B13-47C7-A379-C22535259A78}">
      <text>
        <r>
          <rPr>
            <sz val="12"/>
            <rFont val="新細明體"/>
            <family val="1"/>
            <charset val="136"/>
          </rPr>
          <t>SIU YK Yung Kit (蕭勇潔):
D14 (01/10)</t>
        </r>
      </text>
    </comment>
    <comment ref="W45" authorId="3" shapeId="0" xr:uid="{5EEFA53A-0D66-4627-949C-A84133D26427}">
      <text>
        <r>
          <rPr>
            <sz val="12"/>
            <rFont val="新細明體"/>
            <family val="1"/>
            <charset val="136"/>
          </rPr>
          <t>SIU YK Yung Kit (蕭勇潔):
Updated on 22/7</t>
        </r>
      </text>
    </comment>
    <comment ref="Z45" authorId="2" shapeId="0" xr:uid="{308E35E6-3DAF-4C59-9113-16C9A8756251}">
      <text>
        <r>
          <rPr>
            <sz val="12"/>
            <rFont val="新細明體"/>
            <family val="1"/>
            <charset val="136"/>
          </rPr>
          <t>YU Billy Fatong (余法通):
D13</t>
        </r>
      </text>
    </comment>
    <comment ref="AA45" authorId="2" shapeId="0" xr:uid="{9BD0A29A-7B54-4F51-8738-AB22DDB29866}">
      <text>
        <r>
          <rPr>
            <sz val="12"/>
            <rFont val="新細明體"/>
            <family val="1"/>
            <charset val="136"/>
          </rPr>
          <t xml:space="preserve">YU Billy Fatong (余法通):
D14
</t>
        </r>
      </text>
    </comment>
    <comment ref="AC45" authorId="2" shapeId="0" xr:uid="{3168A6CC-8F8E-4D14-BCFB-F133F5B5CF4C}">
      <text>
        <r>
          <rPr>
            <sz val="12"/>
            <rFont val="新細明體"/>
            <family val="1"/>
            <charset val="136"/>
          </rPr>
          <t xml:space="preserve">YU Billy Fatong (余法通):
D15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 Billy Fatong (余法通)</author>
    <author>SIU YK Yung Kit (蕭勇潔)</author>
  </authors>
  <commentList>
    <comment ref="AH15" authorId="0" shapeId="0" xr:uid="{D3E38CAF-AD8B-4181-B0EB-9D796AB457F6}">
      <text>
        <r>
          <rPr>
            <sz val="12"/>
            <rFont val="新細明體"/>
            <family val="1"/>
            <charset val="136"/>
          </rPr>
          <t xml:space="preserve">YU Billy Fatong (余法通):
D14
</t>
        </r>
      </text>
    </comment>
    <comment ref="J22" authorId="1" shapeId="0" xr:uid="{7004295E-9DF1-4774-B790-C1EA08628F88}">
      <text>
        <r>
          <rPr>
            <sz val="12"/>
            <rFont val="新細明體"/>
            <family val="1"/>
            <charset val="136"/>
          </rPr>
          <t>SIU YK Yung Kit (蕭勇潔):
D13 (26/9)</t>
        </r>
      </text>
    </comment>
    <comment ref="L22" authorId="1" shapeId="0" xr:uid="{12C7A320-894A-40EF-88CE-E9EF7714E169}">
      <text>
        <r>
          <rPr>
            <sz val="12"/>
            <rFont val="新細明體"/>
            <family val="1"/>
            <charset val="136"/>
          </rPr>
          <t>SIU YK Yung Kit (蕭勇潔):
Updated on 28/5/2026</t>
        </r>
      </text>
    </comment>
    <comment ref="T22" authorId="1" shapeId="0" xr:uid="{A9F79DD0-4163-4335-B214-744D94C1E463}">
      <text>
        <r>
          <rPr>
            <sz val="12"/>
            <rFont val="新細明體"/>
            <family val="1"/>
            <charset val="136"/>
          </rPr>
          <t>SIU YK Yung Kit (蕭勇潔):
D14 (01/10)</t>
        </r>
      </text>
    </comment>
    <comment ref="U22" authorId="1" shapeId="0" xr:uid="{41C158E1-233E-4F1B-B62F-2571CD672DE0}">
      <text>
        <r>
          <rPr>
            <sz val="12"/>
            <rFont val="新細明體"/>
            <family val="1"/>
            <charset val="136"/>
          </rPr>
          <t>SIU YK Yung Kit (蕭勇潔):
D15 (19/10)</t>
        </r>
      </text>
    </comment>
    <comment ref="V41" authorId="0" shapeId="0" xr:uid="{838EA0EA-165B-4F2D-8A97-CB39A74D0BD3}">
      <text>
        <r>
          <rPr>
            <sz val="12"/>
            <rFont val="新細明體"/>
            <family val="1"/>
            <charset val="136"/>
          </rPr>
          <t>YU Billy Fatong (余法通):
25/07/2026</t>
        </r>
      </text>
    </comment>
    <comment ref="E42" authorId="1" shapeId="0" xr:uid="{0DF4F105-C677-4880-8CBB-CEBCD638385D}">
      <text>
        <r>
          <rPr>
            <sz val="12"/>
            <rFont val="新細明體"/>
            <family val="1"/>
            <charset val="136"/>
          </rPr>
          <t>SIU YK Yung Kit (蕭勇潔):
D15 (19/10)</t>
        </r>
      </text>
    </comment>
    <comment ref="F42" authorId="1" shapeId="0" xr:uid="{44EEA2C3-F445-479B-99E0-53EF498EB8C5}">
      <text>
        <r>
          <rPr>
            <sz val="12"/>
            <rFont val="新細明體"/>
            <family val="1"/>
            <charset val="136"/>
          </rPr>
          <t>SIU YK Yung Kit (蕭勇潔):
D16(25/12)</t>
        </r>
      </text>
    </comment>
    <comment ref="G42" authorId="1" shapeId="0" xr:uid="{C0F44360-45BD-4EDB-BB45-23DA7A4521AE}">
      <text>
        <r>
          <rPr>
            <sz val="12"/>
            <rFont val="新細明體"/>
            <family val="1"/>
            <charset val="136"/>
          </rPr>
          <t>SIU YK Yung Kit (蕭勇潔):
D17 (26/12)</t>
        </r>
      </text>
    </comment>
    <comment ref="H42" authorId="1" shapeId="0" xr:uid="{72CBC2EC-7F00-4F3A-8331-91A483575A66}">
      <text>
        <r>
          <rPr>
            <sz val="12"/>
            <rFont val="新細明體"/>
            <family val="1"/>
            <charset val="136"/>
          </rPr>
          <t>SIU YK Yung Kit (蕭勇潔):
Updated on 17/6/2026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 Billy Fatong (余法通)</author>
    <author>LING Jenny Yik Ting (凌奕婷)</author>
    <author>SIU YK Yung Kit (蕭勇潔)</author>
  </authors>
  <commentList>
    <comment ref="E15" authorId="0" shapeId="0" xr:uid="{ADB8D8C0-1353-4E6D-A96E-A62E703245F1}">
      <text>
        <r>
          <rPr>
            <sz val="12"/>
            <rFont val="新細明體"/>
            <family val="1"/>
            <charset val="136"/>
          </rPr>
          <t xml:space="preserve">YU Billy Fatong (余法通):
D15
</t>
        </r>
      </text>
    </comment>
    <comment ref="F15" authorId="0" shapeId="0" xr:uid="{D2175B9C-FC74-4AE4-9713-C461ABB41AA6}">
      <text>
        <r>
          <rPr>
            <sz val="12"/>
            <rFont val="新細明體"/>
            <family val="1"/>
            <charset val="136"/>
          </rPr>
          <t xml:space="preserve">YU Billy Fatong (余法通):
D16
</t>
        </r>
      </text>
    </comment>
    <comment ref="G15" authorId="0" shapeId="0" xr:uid="{4DFEA609-1215-499F-A794-B94268BF8B03}">
      <text>
        <r>
          <rPr>
            <sz val="12"/>
            <rFont val="新細明體"/>
            <family val="1"/>
            <charset val="136"/>
          </rPr>
          <t xml:space="preserve">YU Billy Fatong (余法通):
D17
</t>
        </r>
      </text>
    </comment>
    <comment ref="H15" authorId="0" shapeId="0" xr:uid="{788DAD68-8B2F-4FCB-BDAB-8158C6329229}">
      <text>
        <r>
          <rPr>
            <sz val="12"/>
            <rFont val="新細明體"/>
            <family val="1"/>
            <charset val="136"/>
          </rPr>
          <t>YU Billy Fatong (余法通):
25/07/2026</t>
        </r>
      </text>
    </comment>
    <comment ref="K15" authorId="0" shapeId="0" xr:uid="{39947B49-CF6F-47DC-A457-35F1E891F83B}">
      <text>
        <r>
          <rPr>
            <sz val="12"/>
            <rFont val="新細明體"/>
            <family val="1"/>
            <charset val="136"/>
          </rPr>
          <t>YU Billy Fatong (余法通):
25/07/2026</t>
        </r>
      </text>
    </comment>
    <comment ref="P15" authorId="1" shapeId="0" xr:uid="{F7C092AE-6AE7-4D4E-B5B7-8FE2739CEA8F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T21" authorId="1" shapeId="0" xr:uid="{2F4D2137-F5C8-4C40-BADB-BB659ED340D1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AB22" authorId="2" shapeId="0" xr:uid="{B99FA54B-AF34-4A87-B4F8-B4478C597A3A}">
      <text>
        <r>
          <rPr>
            <sz val="12"/>
            <rFont val="新細明體"/>
            <family val="1"/>
            <charset val="136"/>
          </rPr>
          <t>SIU YK Yung Kit (蕭勇潔):
D16 (25/12)</t>
        </r>
      </text>
    </comment>
    <comment ref="AI22" authorId="2" shapeId="0" xr:uid="{DAA224CB-FD2A-4022-B8E0-05C468219BE8}">
      <text>
        <r>
          <rPr>
            <sz val="12"/>
            <rFont val="新細明體"/>
            <family val="1"/>
            <charset val="136"/>
          </rPr>
          <t>SIU YK Yung Kit (蕭勇潔):
D17 (26/12)</t>
        </r>
      </text>
    </comment>
    <comment ref="G37" authorId="1" shapeId="0" xr:uid="{CDF3A8DF-78A2-41B4-876E-540748D2118F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  <comment ref="G39" authorId="1" shapeId="0" xr:uid="{E73F6CD5-6251-4113-BAE6-5F305E4980E4}">
      <text>
        <r>
          <rPr>
            <sz val="12"/>
            <rFont val="新細明體"/>
            <family val="1"/>
            <charset val="136"/>
          </rPr>
          <t>LING Jenny Yik Ting (凌奕婷):
Confirmed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<sst xmlns="http://schemas.openxmlformats.org/spreadsheetml/2006/main" count="9816" uniqueCount="426">
  <si>
    <t>PS-OHLR-DUAT (as at 19 Sep 2025)</t>
  </si>
  <si>
    <t>Unit</t>
  </si>
  <si>
    <t>Staff Name</t>
    <phoneticPr fontId="2" type="noConversion"/>
  </si>
  <si>
    <t>Staff No.</t>
    <phoneticPr fontId="2" type="noConversion"/>
  </si>
  <si>
    <t>Title</t>
    <phoneticPr fontId="2" type="noConversion"/>
  </si>
  <si>
    <t>Grade</t>
    <phoneticPr fontId="1" type="noConversion"/>
  </si>
  <si>
    <t>Years of Experience at current position</t>
  </si>
  <si>
    <t>Effective Date at current position</t>
  </si>
  <si>
    <t>Date Joined IMD</t>
  </si>
  <si>
    <t>Year Joined IMD</t>
  </si>
  <si>
    <t xml:space="preserve">OHLR </t>
  </si>
  <si>
    <t>Siu Yung Kit</t>
    <phoneticPr fontId="2" type="noConversion"/>
  </si>
  <si>
    <t>Supervisor I - OHLR</t>
  </si>
  <si>
    <t>S30</t>
  </si>
  <si>
    <t>Ho Yiu Wai</t>
  </si>
  <si>
    <t>Senior Technician</t>
  </si>
  <si>
    <t>S21</t>
  </si>
  <si>
    <t>Hui Wing Ho</t>
    <phoneticPr fontId="2" type="noConversion"/>
  </si>
  <si>
    <t>Lee Chi Fai</t>
  </si>
  <si>
    <t>Tong Kim Ho</t>
    <phoneticPr fontId="2" type="noConversion"/>
  </si>
  <si>
    <t>Chan Man Tat</t>
    <phoneticPr fontId="2" type="noConversion"/>
  </si>
  <si>
    <t>Chan Chun Yip</t>
  </si>
  <si>
    <t>Mak Yui Fai</t>
  </si>
  <si>
    <t>Lam Sau Chung</t>
    <phoneticPr fontId="2" type="noConversion"/>
  </si>
  <si>
    <t>Yu Fatong Billy</t>
  </si>
  <si>
    <t>Zhang Yuehe</t>
  </si>
  <si>
    <t>Technician</t>
  </si>
  <si>
    <t>S11</t>
  </si>
  <si>
    <t>So Hoi Bun</t>
    <phoneticPr fontId="2" type="noConversion"/>
  </si>
  <si>
    <t>Kwok Cheuk Yin</t>
  </si>
  <si>
    <t>Cheung Tsun Kit</t>
  </si>
  <si>
    <t>Tradesman</t>
  </si>
  <si>
    <t>G41</t>
  </si>
  <si>
    <t>Cheung King Yiu</t>
  </si>
  <si>
    <t>Ng Chun Ho</t>
  </si>
  <si>
    <t>Yau Cheuk Sang</t>
  </si>
  <si>
    <t>Lee Hok Nin</t>
  </si>
  <si>
    <t>Ngai Man Fai</t>
  </si>
  <si>
    <t>N</t>
  </si>
  <si>
    <t>Yeong Kin Leung</t>
    <phoneticPr fontId="2" type="noConversion"/>
  </si>
  <si>
    <t>Lai Wing Shun</t>
  </si>
  <si>
    <t>Chan Hang Ho Howie</t>
  </si>
  <si>
    <t>Lau Kam Keung</t>
    <phoneticPr fontId="2" type="noConversion"/>
  </si>
  <si>
    <t>Ling Yik Ting Jenny</t>
  </si>
  <si>
    <t>Planning &amp; Control Assistant</t>
  </si>
  <si>
    <t>S10</t>
  </si>
  <si>
    <t>Yeung Shi Ming</t>
  </si>
  <si>
    <t>Ng Ka Wing Cyrus</t>
  </si>
  <si>
    <t>To Long Fung</t>
  </si>
  <si>
    <t>Yu Mingrui Ray</t>
  </si>
  <si>
    <t>Y</t>
  </si>
  <si>
    <t>Wong Elvis Ka Wing</t>
  </si>
  <si>
    <t>Yuen Wai Chun Johnny</t>
  </si>
  <si>
    <t>Ma Tsz Hong</t>
  </si>
  <si>
    <t>Kwok Ho Nam</t>
  </si>
  <si>
    <t>TeA24</t>
  </si>
  <si>
    <t>G10</t>
  </si>
  <si>
    <t>Choi Chun Yin</t>
  </si>
  <si>
    <t>TE22</t>
  </si>
  <si>
    <t>App</t>
  </si>
  <si>
    <t>OHL Staff Leave / Holiday / Training Monitoring Sheet 2026)</t>
  </si>
  <si>
    <t>January</t>
  </si>
  <si>
    <t>WK01</t>
  </si>
  <si>
    <t>WK02</t>
  </si>
  <si>
    <t>WK03</t>
  </si>
  <si>
    <t>WK04</t>
  </si>
  <si>
    <t>WK05</t>
  </si>
  <si>
    <t>TH</t>
  </si>
  <si>
    <t>F</t>
  </si>
  <si>
    <t>SA</t>
  </si>
  <si>
    <t>S</t>
  </si>
  <si>
    <t>M</t>
  </si>
  <si>
    <t>T</t>
  </si>
  <si>
    <t>W</t>
  </si>
  <si>
    <t>Team</t>
  </si>
  <si>
    <t>Name</t>
  </si>
  <si>
    <t>Grade</t>
  </si>
  <si>
    <t>Staff No.</t>
  </si>
  <si>
    <t>Sr. Sup.</t>
  </si>
  <si>
    <t>Lee Chi Yiu</t>
  </si>
  <si>
    <t>S40</t>
  </si>
  <si>
    <t>AL</t>
  </si>
  <si>
    <t>Ng Kwok Wai Ricky</t>
  </si>
  <si>
    <t>D+N</t>
  </si>
  <si>
    <t>RD</t>
  </si>
  <si>
    <t>Sup.</t>
  </si>
  <si>
    <t>Siu Yung Kit</t>
  </si>
  <si>
    <t>D</t>
  </si>
  <si>
    <t>SH</t>
  </si>
  <si>
    <t xml:space="preserve">
456489</t>
  </si>
  <si>
    <t>S7</t>
  </si>
  <si>
    <t>ALAM</t>
  </si>
  <si>
    <t>S1a</t>
  </si>
  <si>
    <t>Roster</t>
  </si>
  <si>
    <t>N0</t>
  </si>
  <si>
    <t>HR</t>
  </si>
  <si>
    <t>SL</t>
  </si>
  <si>
    <t>Other</t>
  </si>
  <si>
    <t>S1b</t>
  </si>
  <si>
    <t>S1c</t>
  </si>
  <si>
    <t>Chan Man Tat</t>
  </si>
  <si>
    <t>S2</t>
    <phoneticPr fontId="3" type="noConversion"/>
  </si>
  <si>
    <t>Lam Sau Chung</t>
  </si>
  <si>
    <t>T08</t>
  </si>
  <si>
    <t xml:space="preserve">Ng Ka Wing Cyrus </t>
  </si>
  <si>
    <t>T09</t>
  </si>
  <si>
    <t>T09/T10</t>
  </si>
  <si>
    <t>T05</t>
  </si>
  <si>
    <t>T07</t>
  </si>
  <si>
    <t>S3</t>
    <phoneticPr fontId="3" type="noConversion"/>
  </si>
  <si>
    <t>Roster</t>
    <phoneticPr fontId="3" type="noConversion"/>
  </si>
  <si>
    <t>Lee Chi Fai</t>
    <phoneticPr fontId="3" type="noConversion"/>
  </si>
  <si>
    <t>PH</t>
  </si>
  <si>
    <t>Yeong Kin Leung</t>
  </si>
  <si>
    <t>Lai Wai Shun</t>
  </si>
  <si>
    <t>T12</t>
  </si>
  <si>
    <t xml:space="preserve">Kwok Ho Nam </t>
  </si>
  <si>
    <t>S4</t>
  </si>
  <si>
    <t xml:space="preserve">Ma Tsz Hong  Mushroom </t>
  </si>
  <si>
    <t>S5</t>
  </si>
  <si>
    <t>Tong Kim Ho</t>
  </si>
  <si>
    <t>Lau Kam Keung</t>
  </si>
  <si>
    <t>T11</t>
  </si>
  <si>
    <t>T01</t>
  </si>
  <si>
    <t>T04</t>
  </si>
  <si>
    <t>P&amp;C</t>
  </si>
  <si>
    <t>AL(PM)</t>
  </si>
  <si>
    <t>AL (AM)</t>
  </si>
  <si>
    <t>APP</t>
  </si>
  <si>
    <t>Jian Weihao</t>
  </si>
  <si>
    <t>TE24</t>
  </si>
  <si>
    <t>IVE</t>
  </si>
  <si>
    <t>Yeung Tang Wai</t>
  </si>
  <si>
    <t>TeA25</t>
  </si>
  <si>
    <t xml:space="preserve"> EH250G Safety First Quality Always Workshop (SFQAW) </t>
  </si>
  <si>
    <t>T02</t>
  </si>
  <si>
    <t>OR901F - Lookoutman (0.5 Day)-pm</t>
  </si>
  <si>
    <t>T03</t>
  </si>
  <si>
    <t>OR202F - Handsignalman (1.5 Days)</t>
  </si>
  <si>
    <t xml:space="preserve">ETMS Training - January 2026 </t>
  </si>
  <si>
    <t>T06</t>
  </si>
  <si>
    <t>OR161R -Competent Person (Possession) Refresher  (2 Days)</t>
  </si>
  <si>
    <t xml:space="preserve">EPL020 - Overhead Line Foundation Course (12 days)								</t>
  </si>
  <si>
    <t>TO7E02 OHL Safety &amp; Isolation</t>
  </si>
  <si>
    <t>EP2340 - OHL System in MTR - DC (2021) (1.5 Days)</t>
  </si>
  <si>
    <t>T10</t>
  </si>
  <si>
    <t>JD0106 - OHL System in MTR - AC (2021) (0.5 Days)</t>
  </si>
  <si>
    <t>JD0107 - OHL Equipment Appreciation - AC (2021) (0.5 Days)</t>
  </si>
  <si>
    <t>OR204F - Competent Person (Track) for MTR Staff (2.5 Days)</t>
  </si>
  <si>
    <t>T13</t>
  </si>
  <si>
    <t> </t>
  </si>
  <si>
    <t>S2</t>
  </si>
  <si>
    <t>S3</t>
  </si>
  <si>
    <t>February</t>
  </si>
  <si>
    <t>WK06</t>
  </si>
  <si>
    <t>WK07</t>
  </si>
  <si>
    <t>WK08</t>
  </si>
  <si>
    <t>WK09</t>
  </si>
  <si>
    <t xml:space="preserve">SH </t>
  </si>
  <si>
    <t>S7+N</t>
  </si>
  <si>
    <t>Comp.L</t>
  </si>
  <si>
    <t>OT</t>
  </si>
  <si>
    <t>WBL</t>
  </si>
  <si>
    <t>HR+N0</t>
  </si>
  <si>
    <t>CL</t>
  </si>
  <si>
    <t>Apprentice</t>
  </si>
  <si>
    <t>Mak Chi Tong</t>
  </si>
  <si>
    <t>RTT1C</t>
  </si>
  <si>
    <t>HUANGXULONG</t>
  </si>
  <si>
    <t>RTT1E</t>
  </si>
  <si>
    <t xml:space="preserve">ED2650  - Electrical Fundamentals for Authorized Staff-R (AS-R) </t>
  </si>
  <si>
    <t xml:space="preserve">AD Driving Assessment </t>
  </si>
  <si>
    <t>EAMS Phase 2 End User Training for Maintainer (1 day)</t>
  </si>
  <si>
    <t>Compassionate Leave</t>
  </si>
  <si>
    <t>March</t>
  </si>
  <si>
    <t>WK10</t>
  </si>
  <si>
    <t>WK11</t>
  </si>
  <si>
    <t>WK12</t>
  </si>
  <si>
    <t>WK13</t>
  </si>
  <si>
    <t>WK14</t>
  </si>
  <si>
    <t>M&amp;S</t>
  </si>
  <si>
    <t>Mass</t>
  </si>
  <si>
    <t>Lee Wing Choi, Alex</t>
  </si>
  <si>
    <t>RTT1C25</t>
  </si>
  <si>
    <t>Chiu Ka Wai</t>
  </si>
  <si>
    <t>PTD</t>
  </si>
  <si>
    <t>Leung, Tak Sing</t>
  </si>
  <si>
    <t>RTT2E</t>
  </si>
  <si>
    <t>Cheuk Edwin Hoi Chak</t>
  </si>
  <si>
    <t>RTT25</t>
  </si>
  <si>
    <t>Chu Kelvin Ho Yin</t>
  </si>
  <si>
    <t>RTT24</t>
  </si>
  <si>
    <t>Fan Pak Hin</t>
  </si>
  <si>
    <t>Chow Tai Yin</t>
  </si>
  <si>
    <t>RTT1E25</t>
  </si>
  <si>
    <t>Job practice for AT&amp;D Remote Earthing System Operation</t>
  </si>
  <si>
    <t>OR161R - Competent Person (Possession) Refresher</t>
  </si>
  <si>
    <t xml:space="preserve">EP203L Operation of TOV </t>
  </si>
  <si>
    <t>TIA610 - Effective Interpersonal Skills through Enneagram for Supervisors (1.5 Days)</t>
  </si>
  <si>
    <t>AP2214 - C2185VO (LT081) OIV2071&amp;2072 Operation Training (for JCS490) (1 Day)</t>
  </si>
  <si>
    <t>TIA689 - HKTS Induction Workshop Enrollment (0.5 Day PM)</t>
  </si>
  <si>
    <t>OM141C - Competent Person (Track) Refresher (1 Day)</t>
  </si>
  <si>
    <t>April</t>
  </si>
  <si>
    <t>WK15</t>
  </si>
  <si>
    <t>WK16</t>
  </si>
  <si>
    <t>WK17</t>
  </si>
  <si>
    <t>WK18</t>
  </si>
  <si>
    <t>ALPM</t>
  </si>
  <si>
    <t>T14</t>
  </si>
  <si>
    <t>T20</t>
  </si>
  <si>
    <t>T16</t>
  </si>
  <si>
    <t>T21</t>
  </si>
  <si>
    <t>T18</t>
  </si>
  <si>
    <t>SL + T08</t>
  </si>
  <si>
    <t>T17</t>
  </si>
  <si>
    <t>OTD</t>
  </si>
  <si>
    <t>TO0G14 - Job Hazard Analysis (0.5 Day) - AM</t>
  </si>
  <si>
    <t>EH170G - Fundamentals of Supervising for Safety Training (FSS) - AM</t>
  </si>
  <si>
    <t>ED2650 - Electrical Fundamentals for Authorized Staff-R (AS-R) (3 Days)</t>
  </si>
  <si>
    <t>MD0592 - Turning Stress to Motivation (1 Day)</t>
  </si>
  <si>
    <t>MD0982 - Communication without Boundary (0.5 Day)</t>
  </si>
  <si>
    <t>MD0805 - Mind-reading Techniques for Effective Communication (1 Day)</t>
  </si>
  <si>
    <t>TIA809 - Business Improvement with Design Thinking for Supervisors (1 Day)</t>
  </si>
  <si>
    <t xml:space="preserve">MD0953 - Change Management Skills for Supervisors (Virtual Class) (0.5 Days)
</t>
  </si>
  <si>
    <t>MD0688 - Effective Conflict Management: Building a Cooperative Workplace (1 Day)</t>
  </si>
  <si>
    <t>OM321F - Fire Marshal Training (0.5 Days - AM)</t>
  </si>
  <si>
    <t>OR161R - Competent Person (Possession) Refresher (2 Days)</t>
  </si>
  <si>
    <t>OR250F - Coupler Operator Training (0.5 Day-PM)</t>
  </si>
  <si>
    <t>MD0548 - Change Management Skills for Supervisors</t>
  </si>
  <si>
    <t>MD0687 - Influence Beyond Your Title: Building Commitment and Buy-In</t>
  </si>
  <si>
    <t>T15</t>
  </si>
  <si>
    <t>TIA528 - Your Communication Playbook: Build Trust with Any Colleague</t>
  </si>
  <si>
    <t>MD1086 - Thinkertoys – Creative and Innovative Thinking (Virtual Class)</t>
  </si>
  <si>
    <t>MD1089 - The Silent Superpower: Active Listening to Make Colleagues Trust You</t>
  </si>
  <si>
    <t>MD1015 - Elevating Team Motivation for Junior Supervisors</t>
  </si>
  <si>
    <t>T19</t>
  </si>
  <si>
    <t>TIA699 - Effective Contractor Management for Win-Win Outcome</t>
  </si>
  <si>
    <t>MD0983 - Mindfulness for Happiness &amp; Performance at Work</t>
  </si>
  <si>
    <t>JD0024 - W&amp;B 750V DCCB Appreciation &amp; Operation (LRL)</t>
  </si>
  <si>
    <t>May</t>
  </si>
  <si>
    <t>WK19</t>
  </si>
  <si>
    <t>WK20</t>
  </si>
  <si>
    <t>WK21</t>
  </si>
  <si>
    <t>WK22</t>
  </si>
  <si>
    <t>AL (pm)</t>
  </si>
  <si>
    <t>T22</t>
  </si>
  <si>
    <t>T05/T06</t>
  </si>
  <si>
    <t xml:space="preserve"> </t>
  </si>
  <si>
    <t>T08/T07</t>
  </si>
  <si>
    <t>Chong Tsz Yin</t>
  </si>
  <si>
    <t>Wong Ka Ho, Brain</t>
  </si>
  <si>
    <t>RTT1M25</t>
  </si>
  <si>
    <t xml:space="preserve">TO0G09 - Supervising Safety and Health at Work (2 Days)	 </t>
  </si>
  <si>
    <t>TO0G12 - Noise Awareness (0.5 Day) - PM</t>
  </si>
  <si>
    <t>TO0G18 - Process Inspection (2 Days)</t>
  </si>
  <si>
    <t>EP2330 - OHL Equipment Appreciation - DC (2021) (1.5 Days)</t>
  </si>
  <si>
    <t>JD0107 - OHL Equipment Appreciation - AC (2021) (0.5 Day)</t>
  </si>
  <si>
    <t>JD0106 - OHL System in MTR – AC (2021) (0.5 Days)</t>
  </si>
  <si>
    <t>MD0987 - Communication without Boundary (1 Day)</t>
  </si>
  <si>
    <t>OM321F - Fire Marshal</t>
  </si>
  <si>
    <t>TO5M64 - RTC Safety Training Course for Operators of Lifting Appliances (Except Crane) [2.5 Hour]</t>
  </si>
  <si>
    <t>T23</t>
  </si>
  <si>
    <t>EAMS Phase 2 End User Training for Maintainer</t>
  </si>
  <si>
    <t>June</t>
  </si>
  <si>
    <t>WK23</t>
  </si>
  <si>
    <t>WK24</t>
  </si>
  <si>
    <t>WK25</t>
  </si>
  <si>
    <t>WK26</t>
  </si>
  <si>
    <t>WK27</t>
  </si>
  <si>
    <t>S7 + N</t>
  </si>
  <si>
    <t>AL(am)</t>
  </si>
  <si>
    <t>Lai Wai Shun (LN)</t>
  </si>
  <si>
    <t>Hui Wing Ho</t>
  </si>
  <si>
    <t>Cheung King Yiu (LN)</t>
  </si>
  <si>
    <t>Tong Kim Ho (LN)</t>
  </si>
  <si>
    <t>Lau Kam Keung (LN)</t>
  </si>
  <si>
    <t>Smart Main</t>
  </si>
  <si>
    <t>Ip Chun Yin</t>
  </si>
  <si>
    <t xml:space="preserve">Chan Fuk Lam </t>
  </si>
  <si>
    <t xml:space="preserve">CHENG Hugo Sung Ho </t>
  </si>
  <si>
    <t>T(am)/HR</t>
  </si>
  <si>
    <t>Fung Chun Ying</t>
  </si>
  <si>
    <t>NG Tim Pak Ting</t>
  </si>
  <si>
    <t>RTT2E25</t>
  </si>
  <si>
    <t>TOOX42 - HKRC Re-qualify First Aid Training (2 Days)</t>
  </si>
  <si>
    <t>EH118G Mandatory Basic Safety Training Revalidation Course (0.5 Day)</t>
  </si>
  <si>
    <t>TO7E02 - OHL Safety &amp; Isolation (DUAT) (2 Days)</t>
  </si>
  <si>
    <t>TO7E53 - 1500V DCCB &amp; Isolator Operation (3 Days)</t>
  </si>
  <si>
    <t>MD0592 - Turning Stress to Motivation (1 Day</t>
  </si>
  <si>
    <t>OR905F - Competent Person (Possession) (2 Days)</t>
  </si>
  <si>
    <t>Competent Person (Track) for
(MTR staff &amp; Contractor) OR204F</t>
  </si>
  <si>
    <t>Possession - SIL
OR231C</t>
  </si>
  <si>
    <t>TO5M64- RTC Safety Training Course for Operators of Lifting Appliances (Except Crane) [2.5 Hour]</t>
  </si>
  <si>
    <t xml:space="preserve"> Q&amp;HFWG - Workmanship</t>
  </si>
  <si>
    <t xml:space="preserve">orientation workshop </t>
  </si>
  <si>
    <t>2025 transport incident review</t>
  </si>
  <si>
    <t>July</t>
  </si>
  <si>
    <t>WK28</t>
  </si>
  <si>
    <t>WK29</t>
  </si>
  <si>
    <t>WK30</t>
  </si>
  <si>
    <t>WK31</t>
  </si>
  <si>
    <t>T01+N</t>
  </si>
  <si>
    <t>T32(am)</t>
  </si>
  <si>
    <t>T10/T11</t>
  </si>
  <si>
    <t>Drill</t>
  </si>
  <si>
    <t>T32(pm)</t>
  </si>
  <si>
    <t>ML</t>
  </si>
  <si>
    <t>T15/T02</t>
  </si>
  <si>
    <t>T33</t>
  </si>
  <si>
    <t>T24</t>
  </si>
  <si>
    <t>T27</t>
  </si>
  <si>
    <t>T28</t>
  </si>
  <si>
    <t>T30</t>
  </si>
  <si>
    <t>T03/T06</t>
  </si>
  <si>
    <t>T04/T05</t>
  </si>
  <si>
    <t>HR/T</t>
  </si>
  <si>
    <t>AL(pm)</t>
  </si>
  <si>
    <t>T29</t>
  </si>
  <si>
    <t>Wong Ho Lam</t>
  </si>
  <si>
    <t>RTT2C25</t>
  </si>
  <si>
    <t>EH250G - Safety First Quality Always Workshop</t>
  </si>
  <si>
    <t>EH118G - Mandatory Basic Safety Training Revalidation Course (0.5 Day) -PM</t>
  </si>
  <si>
    <t>EW0211 - Asset Management Introduction (0.5 Days) - AM</t>
  </si>
  <si>
    <t>EW0220 - Reliability Centred Maintenance and Service Critic (0.5 Days) - AM</t>
  </si>
  <si>
    <t>EW0240 - RCM Hands-on Workshop (0.5 Days) - PM</t>
  </si>
  <si>
    <t>EW0260 - Asset Health Monitoring(AHM) Introduction (0.5 Days) - AM</t>
  </si>
  <si>
    <t>TO0G09 - Supervising Safety and Health at Work (2 Days)</t>
  </si>
  <si>
    <t>EH170G - Fundamentals of Supervising for Safety Training (FSS)(0.5 Days) - AM</t>
  </si>
  <si>
    <t>MD0952 - Turning Stress to Motivation</t>
  </si>
  <si>
    <t>MD0688 - Effective Conflict Management: Building a Cooperative Workplace</t>
  </si>
  <si>
    <t>MD0982 - Communication without Boundary</t>
  </si>
  <si>
    <t>TIA809 - Business Improvement with Design Thinking for Supervisors</t>
  </si>
  <si>
    <t>T25</t>
  </si>
  <si>
    <t>MD0983 - Mindfulness for Happiness &amp; Performance at Work (0.5 Days) - PM</t>
  </si>
  <si>
    <t>T26</t>
  </si>
  <si>
    <t>TIA428 - ‌Problem-Solving Power-Up: Use WIT Tools to Unlock Better Solutions</t>
  </si>
  <si>
    <t>OR901F - Lookoutman (0.5 Day) - AM</t>
  </si>
  <si>
    <t>OR210F - Railway Safety Rules  (4 Days)</t>
  </si>
  <si>
    <t>T31</t>
  </si>
  <si>
    <t>T32</t>
  </si>
  <si>
    <t>TO5M63 - Revalidation Training Course Rigger and Signaller for Safety Lifoting Operation [2.5 Hour]</t>
  </si>
  <si>
    <t>ML:</t>
  </si>
  <si>
    <t>Marriage Leave</t>
  </si>
  <si>
    <t>August</t>
  </si>
  <si>
    <t>WK32</t>
  </si>
  <si>
    <t>WK33</t>
  </si>
  <si>
    <t>WK34</t>
  </si>
  <si>
    <t>WK35</t>
  </si>
  <si>
    <t>WK36</t>
  </si>
  <si>
    <t>T21(pm)</t>
  </si>
  <si>
    <t>T20(pm)</t>
  </si>
  <si>
    <t>T04/T24</t>
  </si>
  <si>
    <t>Chan King Wai</t>
  </si>
  <si>
    <t>OTDpm</t>
  </si>
  <si>
    <t>OTDam</t>
  </si>
  <si>
    <t>TO8M12 - Safety Independent Check-OHL System (1 Day)</t>
  </si>
  <si>
    <t>EH250G - Safety First Quality Always Workshop (0.5 Days) - AM</t>
  </si>
  <si>
    <t>MD0805 - Mind-reading Techniques for Effective Communication</t>
  </si>
  <si>
    <t>TIA610 - Effective Interpersonal Skills through Enneagram for Supervisors</t>
  </si>
  <si>
    <t>MD0987 - Impactful Slide Design for Supervisors (Virtual Class) (0.5 Days) - PM</t>
  </si>
  <si>
    <t>MD0700 - Effective Conflict Management: Building a Cooperative Workplace (Virtual Class) (0.5 Days) - PM</t>
  </si>
  <si>
    <t>MD0562 - Fundamental Workplace Writing - Clear Emails and Reports</t>
  </si>
  <si>
    <t>MD0592 - Turning Stress to Motivation</t>
  </si>
  <si>
    <t>MD0748 - From Nervous to Confident: Master Your Presentation for Supervisors</t>
  </si>
  <si>
    <t>OM141C - Competent Person (Track) Refresher (MTR Staff only) (1 Day)</t>
  </si>
  <si>
    <t xml:space="preserve">
EP2002 - Safety Independent Check-OHL Sys (Ref)  </t>
  </si>
  <si>
    <t>TO7E01 - OHL Linesman Trade Test (1 Day)</t>
  </si>
  <si>
    <t xml:space="preserve">TIA689 Hong Kong Transport Services Induction Workshop - 6 August 2026 </t>
  </si>
  <si>
    <t>TO0E23 - High Voltage Safety (2 Days)</t>
  </si>
  <si>
    <t>September</t>
  </si>
  <si>
    <t>WK37</t>
  </si>
  <si>
    <t>WK38</t>
  </si>
  <si>
    <t>WK39</t>
  </si>
  <si>
    <t>WK40</t>
  </si>
  <si>
    <t>T08(am)</t>
  </si>
  <si>
    <t>.</t>
  </si>
  <si>
    <t>T07(pm)</t>
  </si>
  <si>
    <t>T08(pm)</t>
  </si>
  <si>
    <r>
      <rPr>
        <sz val="13"/>
        <color rgb="FF000000"/>
        <rFont val="Times New Roman"/>
      </rPr>
      <t>T08(pm)</t>
    </r>
    <r>
      <rPr>
        <sz val="13"/>
        <color rgb="FFFF0000"/>
        <rFont val="Times New Roman"/>
      </rPr>
      <t>/AL</t>
    </r>
  </si>
  <si>
    <t>SM</t>
  </si>
  <si>
    <t>IP Chun Yin</t>
  </si>
  <si>
    <t>ED2650 - Electrical Foundation (Authorized Staff-R) (2.5 Days)</t>
  </si>
  <si>
    <t>MD1087 - Corporate Induction Workshop (0.5 Days AM)</t>
  </si>
  <si>
    <t>Corporate Induction Workshop – 3 Sep 2026</t>
  </si>
  <si>
    <t>MEWP training</t>
  </si>
  <si>
    <t>October</t>
  </si>
  <si>
    <t>WK41</t>
  </si>
  <si>
    <t>WK42</t>
  </si>
  <si>
    <t>WK43</t>
  </si>
  <si>
    <t>WK44</t>
  </si>
  <si>
    <t>EH118G - Mandatory Basic Safety Training Revalidation Course (0.5 Day) - PM</t>
  </si>
  <si>
    <t>EH250G - Safety First Quality Always Workshop (0.5 Days AM)</t>
  </si>
  <si>
    <t>EH159G - Specific Manual Handling Operations (0.5 Days - AM)</t>
  </si>
  <si>
    <t>EH157G - Proper Use of Personal Protective Equipment Training (0.5 Days - AM)</t>
  </si>
  <si>
    <t xml:space="preserve">TO0G09 - 
Supervising Safety and Health at Work (2 Days)
</t>
  </si>
  <si>
    <t>November</t>
  </si>
  <si>
    <t>WK45</t>
  </si>
  <si>
    <t>WK46</t>
  </si>
  <si>
    <t>WK47</t>
  </si>
  <si>
    <t>WK48</t>
  </si>
  <si>
    <t xml:space="preserve">TO0G14 - Job Hazard Analysis (0.5 Day) - PM
</t>
  </si>
  <si>
    <t xml:space="preserve">TO0G18 - 
Process Inspection (2 Days)
</t>
  </si>
  <si>
    <t>December</t>
  </si>
  <si>
    <t>WK49</t>
  </si>
  <si>
    <t>WK50</t>
  </si>
  <si>
    <t>WK51</t>
  </si>
  <si>
    <t>WK52</t>
  </si>
  <si>
    <t>EH157G - Proper Use of Personal Protective Equipment Training (0.5 Days - PM)</t>
  </si>
  <si>
    <t>AL(AM/PM)</t>
  </si>
  <si>
    <t>Annual Leave</t>
  </si>
  <si>
    <t>Rest Day</t>
  </si>
  <si>
    <t>Public Holiday</t>
  </si>
  <si>
    <t>Sick Leave</t>
  </si>
  <si>
    <t>Day Shift</t>
  </si>
  <si>
    <t>Night Shift</t>
  </si>
  <si>
    <t>Overtime Allowcane</t>
  </si>
  <si>
    <t>Typhoon Allowance</t>
  </si>
  <si>
    <t>Typhoon Overtime allowance</t>
  </si>
  <si>
    <t xml:space="preserve">Compassionate leave </t>
  </si>
  <si>
    <t xml:space="preserve">Well-being Leave </t>
  </si>
  <si>
    <t>OTD Training</t>
  </si>
  <si>
    <t>Course</t>
  </si>
  <si>
    <t>T(XX)</t>
  </si>
  <si>
    <t>TY</t>
  </si>
  <si>
    <t>TYOT</t>
  </si>
  <si>
    <t>Day Shift (Half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</si>
</sst>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"/>
  </numFmts>
  <fonts count="5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6"/>
      <color theme="1"/>
      <name val="Times New Roman"/>
      <family val="1"/>
    </font>
    <font>
      <sz val="12"/>
      <name val="Times New Roman"/>
      <family val="1"/>
    </font>
    <font>
      <b/>
      <u/>
      <sz val="16"/>
      <color theme="1"/>
      <name val="Times New Roman"/>
      <family val="1"/>
    </font>
    <font>
      <b/>
      <i/>
      <sz val="20"/>
      <color theme="1"/>
      <name val="Times New Roman"/>
      <family val="1"/>
    </font>
    <font>
      <b/>
      <u/>
      <sz val="24"/>
      <name val="Times New Roman"/>
      <family val="1"/>
    </font>
    <font>
      <b/>
      <sz val="16"/>
      <name val="Times New Roman"/>
      <family val="1"/>
    </font>
    <font>
      <sz val="12"/>
      <name val="Arial"/>
      <family val="2"/>
    </font>
    <font>
      <b/>
      <u/>
      <sz val="16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sz val="11"/>
      <color rgb="FF0000FF"/>
      <name val="Arial"/>
      <family val="2"/>
    </font>
    <font>
      <sz val="8"/>
      <name val="新細明體"/>
      <family val="1"/>
      <charset val="136"/>
    </font>
    <font>
      <sz val="13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Times New Roman"/>
      <family val="1"/>
    </font>
    <font>
      <sz val="11"/>
      <name val="Arial"/>
      <family val="2"/>
      <charset val="136"/>
    </font>
    <font>
      <b/>
      <u/>
      <sz val="11"/>
      <name val="Arial"/>
      <family val="2"/>
      <charset val="136"/>
    </font>
    <font>
      <sz val="11"/>
      <name val="新細明體"/>
      <family val="1"/>
      <charset val="136"/>
    </font>
    <font>
      <b/>
      <sz val="14"/>
      <name val="Arial"/>
      <family val="2"/>
    </font>
    <font>
      <sz val="10"/>
      <color rgb="FF000000"/>
      <name val="Arial"/>
      <family val="2"/>
    </font>
    <font>
      <sz val="12"/>
      <color rgb="FF242424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3"/>
      <color rgb="FF000000"/>
      <name val="Times New Roman"/>
      <family val="1"/>
    </font>
    <font>
      <sz val="13"/>
      <name val="Times New Roman"/>
    </font>
    <font>
      <sz val="13"/>
      <color rgb="FFFF0000"/>
      <name val="Times New Roman"/>
    </font>
    <font>
      <sz val="13"/>
      <color rgb="FF0000FF"/>
      <name val="Times New Roman"/>
      <family val="1"/>
    </font>
    <font>
      <sz val="13"/>
      <color theme="1"/>
      <name val="Times New Roman"/>
    </font>
    <font>
      <sz val="13"/>
      <color rgb="FF00B050"/>
      <name val="Times New Roman"/>
      <family val="1"/>
    </font>
    <font>
      <sz val="10"/>
      <color rgb="FFFF0000"/>
      <name val="Arial"/>
      <family val="2"/>
    </font>
    <font>
      <sz val="12"/>
      <name val="Times New Roman"/>
    </font>
    <font>
      <sz val="12"/>
      <color rgb="FFFF0000"/>
      <name val="Times New Roman"/>
    </font>
    <font>
      <sz val="12"/>
      <color rgb="FFFF0000"/>
      <name val="Arial"/>
      <family val="2"/>
    </font>
    <font>
      <sz val="14"/>
      <color rgb="FFFF0000"/>
      <name val="Times New Roman"/>
    </font>
    <font>
      <sz val="13"/>
      <color rgb="FF0000FF"/>
      <name val="Times New Roman"/>
    </font>
    <font>
      <sz val="13"/>
      <color rgb="FF000000"/>
      <name val="Times New Roman"/>
    </font>
    <font>
      <sz val="14"/>
      <name val="Arial"/>
    </font>
    <font>
      <b/>
      <sz val="12"/>
      <color rgb="FF242424"/>
      <name val="Arial"/>
    </font>
    <font>
      <b/>
      <sz val="12"/>
      <color rgb="FF000000"/>
      <name val="Arial"/>
      <family val="2"/>
      <charset val="1"/>
    </font>
    <font>
      <sz val="13"/>
      <color rgb="FF00B050"/>
      <name val="Times New Roman"/>
    </font>
    <font>
      <sz val="11"/>
      <color theme="0" tint="-0.34998626667073579"/>
      <name val="Arial"/>
      <family val="2"/>
    </font>
    <font>
      <sz val="12"/>
      <color rgb="FFFF0000"/>
      <name val="新細明體"/>
      <family val="1"/>
      <charset val="136"/>
    </font>
    <font>
      <sz val="14"/>
      <name val="Times New Roman"/>
      <family val="1"/>
    </font>
    <font>
      <sz val="12"/>
      <color rgb="FFFF0000"/>
      <name val="Times New Roman"/>
      <family val="1"/>
    </font>
    <font>
      <sz val="12"/>
      <color rgb="FF00679A"/>
      <name val="Times New Roman"/>
      <family val="1"/>
    </font>
    <font>
      <sz val="12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gray0625">
        <bgColor theme="0" tint="-0.1499984740745262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FF"/>
      </bottom>
      <diagonal/>
    </border>
    <border>
      <left style="thin">
        <color indexed="64"/>
      </left>
      <right/>
      <top style="thin">
        <color indexed="64"/>
      </top>
      <bottom style="double">
        <color rgb="FF0000F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rgb="FF0000FF"/>
      </bottom>
      <diagonal/>
    </border>
    <border>
      <left/>
      <right/>
      <top style="double">
        <color rgb="FF0000FF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rgb="FF0000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rgb="FF0000FF"/>
      </bottom>
      <diagonal/>
    </border>
    <border>
      <left style="medium">
        <color indexed="64"/>
      </left>
      <right style="medium">
        <color indexed="64"/>
      </right>
      <top style="double">
        <color rgb="FF0000FF"/>
      </top>
      <bottom/>
      <diagonal/>
    </border>
    <border>
      <left/>
      <right/>
      <top/>
      <bottom style="double">
        <color rgb="FF0000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double">
        <color rgb="FF0000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rgb="FF0000FF"/>
      </bottom>
      <diagonal/>
    </border>
    <border>
      <left style="thin">
        <color indexed="64"/>
      </left>
      <right/>
      <top style="medium">
        <color indexed="64"/>
      </top>
      <bottom style="double">
        <color rgb="FF0000FF"/>
      </bottom>
      <diagonal/>
    </border>
    <border>
      <left/>
      <right/>
      <top style="medium">
        <color indexed="64"/>
      </top>
      <bottom style="double">
        <color rgb="FF0000FF"/>
      </bottom>
      <diagonal/>
    </border>
    <border>
      <left/>
      <right style="thin">
        <color indexed="64"/>
      </right>
      <top style="medium">
        <color indexed="64"/>
      </top>
      <bottom style="double">
        <color rgb="FF0000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rgb="FF0000FF"/>
      </top>
      <bottom style="medium">
        <color indexed="64"/>
      </bottom>
      <diagonal/>
    </border>
    <border>
      <left style="thin">
        <color indexed="64"/>
      </left>
      <right/>
      <top style="double">
        <color rgb="FF0000FF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FF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rgb="FF0000F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rgb="FF0000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FF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FF"/>
      </bottom>
      <diagonal/>
    </border>
    <border>
      <left style="medium">
        <color indexed="64"/>
      </left>
      <right/>
      <top/>
      <bottom style="double">
        <color rgb="FF0000FF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FF"/>
      </top>
      <bottom style="medium">
        <color indexed="64"/>
      </bottom>
      <diagonal/>
    </border>
    <border>
      <left style="thin">
        <color rgb="FF000000"/>
      </left>
      <right/>
      <top style="double">
        <color rgb="FF0000F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double">
        <color rgb="FF0000FF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rgb="FF0000FF"/>
      </top>
      <bottom/>
      <diagonal/>
    </border>
    <border>
      <left style="medium">
        <color rgb="FF000000"/>
      </left>
      <right style="medium">
        <color indexed="64"/>
      </right>
      <top style="double">
        <color rgb="FF0000FF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double">
        <color rgb="FF0000FF"/>
      </bottom>
      <diagonal/>
    </border>
    <border>
      <left style="medium">
        <color rgb="FF000000"/>
      </left>
      <right style="medium">
        <color indexed="64"/>
      </right>
      <top style="double">
        <color rgb="FF0000FF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double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FF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rgb="FF0000F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rgb="FF0000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rgb="FF0000FF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FF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FF"/>
      </bottom>
      <diagonal/>
    </border>
    <border>
      <left style="thin">
        <color indexed="64"/>
      </left>
      <right style="thin">
        <color indexed="64"/>
      </right>
      <top/>
      <bottom style="double">
        <color rgb="FF0000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rgb="FF0000F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rgb="FF0000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double">
        <color rgb="FF0000FF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double">
        <color rgb="FF0000FF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double">
        <color rgb="FF0000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rgb="FF0000FF"/>
      </bottom>
      <diagonal/>
    </border>
    <border>
      <left/>
      <right style="thin">
        <color theme="1"/>
      </right>
      <top style="thin">
        <color theme="1"/>
      </top>
      <bottom style="double">
        <color rgb="FF0000FF"/>
      </bottom>
      <diagonal/>
    </border>
    <border>
      <left style="thin">
        <color theme="1"/>
      </left>
      <right/>
      <top style="thin">
        <color theme="1"/>
      </top>
      <bottom style="double">
        <color rgb="FF0000FF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double">
        <color rgb="FF0000FF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double">
        <color rgb="FF0000FF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double">
        <color rgb="FF0000FF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double">
        <color rgb="FF0000FF"/>
      </bottom>
      <diagonal/>
    </border>
    <border>
      <left/>
      <right style="thin">
        <color theme="1"/>
      </right>
      <top style="medium">
        <color theme="1"/>
      </top>
      <bottom style="double">
        <color rgb="FF0000FF"/>
      </bottom>
      <diagonal/>
    </border>
    <border>
      <left style="thin">
        <color theme="1"/>
      </left>
      <right/>
      <top style="medium">
        <color theme="1"/>
      </top>
      <bottom style="double">
        <color rgb="FF0000FF"/>
      </bottom>
      <diagonal/>
    </border>
    <border>
      <left/>
      <right style="medium">
        <color theme="1"/>
      </right>
      <top style="thin">
        <color theme="1"/>
      </top>
      <bottom style="double">
        <color rgb="FF0000FF"/>
      </bottom>
      <diagonal/>
    </border>
    <border>
      <left/>
      <right style="medium">
        <color theme="1"/>
      </right>
      <top style="medium">
        <color theme="1"/>
      </top>
      <bottom style="double">
        <color rgb="FF0000FF"/>
      </bottom>
      <diagonal/>
    </border>
    <border>
      <left style="medium">
        <color theme="1"/>
      </left>
      <right style="thin">
        <color theme="1"/>
      </right>
      <top/>
      <bottom style="double">
        <color rgb="FF0000FF"/>
      </bottom>
      <diagonal/>
    </border>
    <border>
      <left style="thin">
        <color theme="1"/>
      </left>
      <right style="thin">
        <color theme="1"/>
      </right>
      <top/>
      <bottom style="double">
        <color rgb="FF0000FF"/>
      </bottom>
      <diagonal/>
    </border>
    <border>
      <left style="thin">
        <color theme="1"/>
      </left>
      <right style="medium">
        <color theme="1"/>
      </right>
      <top/>
      <bottom style="double">
        <color rgb="FF0000FF"/>
      </bottom>
      <diagonal/>
    </border>
    <border>
      <left/>
      <right style="thin">
        <color theme="1"/>
      </right>
      <top/>
      <bottom style="double">
        <color rgb="FF0000FF"/>
      </bottom>
      <diagonal/>
    </border>
    <border>
      <left style="thin">
        <color theme="1"/>
      </left>
      <right/>
      <top/>
      <bottom style="double">
        <color rgb="FF0000FF"/>
      </bottom>
      <diagonal/>
    </border>
    <border>
      <left style="medium">
        <color rgb="FF000000"/>
      </left>
      <right/>
      <top/>
      <bottom style="double">
        <color rgb="FF0000FF"/>
      </bottom>
      <diagonal/>
    </border>
    <border>
      <left style="medium">
        <color rgb="FF000000"/>
      </left>
      <right style="thin">
        <color indexed="64"/>
      </right>
      <top/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rgb="FF0000FF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rgb="FF0000FF"/>
      </bottom>
      <diagonal/>
    </border>
    <border>
      <left/>
      <right/>
      <top style="thin">
        <color indexed="64"/>
      </top>
      <bottom style="double">
        <color rgb="FF0000FF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double">
        <color rgb="FF0000FF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FF"/>
      </bottom>
      <diagonal/>
    </border>
    <border>
      <left/>
      <right style="thin">
        <color indexed="64"/>
      </right>
      <top/>
      <bottom style="double">
        <color rgb="FF0000FF"/>
      </bottom>
      <diagonal/>
    </border>
    <border>
      <left style="thin">
        <color rgb="FF0000FF"/>
      </left>
      <right style="thin">
        <color indexed="64"/>
      </right>
      <top style="thin">
        <color indexed="64"/>
      </top>
      <bottom style="double">
        <color rgb="FF0000FF"/>
      </bottom>
      <diagonal/>
    </border>
    <border>
      <left style="medium">
        <color rgb="FF0000FF"/>
      </left>
      <right/>
      <top/>
      <bottom style="double">
        <color rgb="FF0000FF"/>
      </bottom>
      <diagonal/>
    </border>
    <border>
      <left style="medium">
        <color rgb="FF0000FF"/>
      </left>
      <right/>
      <top style="medium">
        <color indexed="64"/>
      </top>
      <bottom style="double">
        <color rgb="FF0000FF"/>
      </bottom>
      <diagonal/>
    </border>
    <border>
      <left style="medium">
        <color rgb="FF0000FF"/>
      </left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/>
      <top style="thin">
        <color indexed="64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double">
        <color rgb="FF0000FF"/>
      </top>
      <bottom/>
      <diagonal/>
    </border>
    <border>
      <left style="thin">
        <color indexed="64"/>
      </left>
      <right style="medium">
        <color rgb="FF000000"/>
      </right>
      <top/>
      <bottom style="double">
        <color rgb="FF0000FF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double">
        <color rgb="FF0000FF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double">
        <color rgb="FF0000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double">
        <color rgb="FF0000FF"/>
      </bottom>
      <diagonal/>
    </border>
    <border>
      <left/>
      <right style="thin">
        <color rgb="FF000000"/>
      </right>
      <top/>
      <bottom style="double">
        <color rgb="FF0000FF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FF"/>
      </bottom>
      <diagonal/>
    </border>
    <border>
      <left style="thin">
        <color rgb="FF000000"/>
      </left>
      <right/>
      <top/>
      <bottom style="double">
        <color rgb="FF0000FF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FF"/>
      </left>
      <right/>
      <top style="medium">
        <color rgb="FF0000FF"/>
      </top>
      <bottom style="thin">
        <color rgb="FF000000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00"/>
      </bottom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double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double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FF"/>
      </bottom>
      <diagonal/>
    </border>
    <border>
      <left style="medium">
        <color rgb="FF000000"/>
      </left>
      <right style="medium">
        <color rgb="FF000000"/>
      </right>
      <top style="double">
        <color rgb="FF0000FF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F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FF"/>
      </bottom>
      <diagonal/>
    </border>
    <border>
      <left/>
      <right style="thin">
        <color rgb="FF000000"/>
      </right>
      <top style="double">
        <color rgb="FF0000FF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/>
      <top/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double">
        <color rgb="FF0000FF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double">
        <color rgb="FF0000FF"/>
      </top>
      <bottom/>
      <diagonal/>
    </border>
    <border>
      <left style="medium">
        <color theme="1"/>
      </left>
      <right style="medium">
        <color theme="1"/>
      </right>
      <top/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thin">
        <color rgb="FF000000"/>
      </top>
      <bottom style="double">
        <color rgb="FF0000FF"/>
      </bottom>
      <diagonal/>
    </border>
    <border>
      <left/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double">
        <color rgb="FF0000FF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FF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double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1"/>
      </left>
      <right style="medium">
        <color theme="1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FF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FF"/>
      </bottom>
      <diagonal/>
    </border>
    <border>
      <left style="thin">
        <color rgb="FF000000"/>
      </left>
      <right style="medium">
        <color rgb="FF000000"/>
      </right>
      <top style="double">
        <color rgb="FF0000FF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FF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double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FF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thin">
        <color theme="1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medium">
        <color rgb="FF000000"/>
      </bottom>
      <diagonal/>
    </border>
    <border>
      <left style="thin">
        <color theme="1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</borders>
  <cellStyleXfs count="2">
    <xf numFmtId="0" fontId="0" fillId="0" borderId="0">
      <alignment vertical="center"/>
    </xf>
    <xf numFmtId="0" fontId="49" fillId="0" borderId="0"/>
  </cellStyleXfs>
  <cellXfs count="142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8" fillId="0" borderId="0" xfId="0" applyFont="1" applyAlignment="1">
      <alignment vertical="center" wrapText="1"/>
    </xf>
    <xf numFmtId="0" fontId="4" fillId="0" borderId="5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0" xfId="0" applyFont="1">
      <alignment vertical="center"/>
    </xf>
    <xf numFmtId="0" fontId="21" fillId="0" borderId="3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0" fillId="4" borderId="25" xfId="0" applyFont="1" applyFill="1" applyBorder="1" applyAlignment="1">
      <alignment horizontal="center"/>
    </xf>
    <xf numFmtId="0" fontId="21" fillId="4" borderId="24" xfId="0" applyFont="1" applyFill="1" applyBorder="1" applyAlignment="1">
      <alignment horizontal="center"/>
    </xf>
    <xf numFmtId="0" fontId="21" fillId="4" borderId="25" xfId="0" applyFont="1" applyFill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4" borderId="14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22" fillId="0" borderId="15" xfId="0" applyNumberFormat="1" applyFont="1" applyBorder="1" applyAlignment="1">
      <alignment horizontal="left" vertical="center"/>
    </xf>
    <xf numFmtId="164" fontId="22" fillId="0" borderId="14" xfId="0" applyNumberFormat="1" applyFont="1" applyBorder="1" applyAlignment="1">
      <alignment horizontal="left" vertical="center"/>
    </xf>
    <xf numFmtId="164" fontId="22" fillId="0" borderId="12" xfId="0" applyNumberFormat="1" applyFont="1" applyBorder="1" applyAlignment="1">
      <alignment horizontal="left" vertical="center"/>
    </xf>
    <xf numFmtId="164" fontId="22" fillId="0" borderId="13" xfId="0" applyNumberFormat="1" applyFont="1" applyBorder="1" applyAlignment="1">
      <alignment horizontal="left" vertical="center"/>
    </xf>
    <xf numFmtId="164" fontId="22" fillId="0" borderId="26" xfId="0" applyNumberFormat="1" applyFont="1" applyBorder="1" applyAlignment="1">
      <alignment horizontal="left" vertical="center"/>
    </xf>
    <xf numFmtId="0" fontId="24" fillId="0" borderId="0" xfId="0" applyFont="1">
      <alignment vertical="center"/>
    </xf>
    <xf numFmtId="0" fontId="22" fillId="3" borderId="26" xfId="0" applyFont="1" applyFill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wrapText="1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22" fillId="3" borderId="47" xfId="0" applyFont="1" applyFill="1" applyBorder="1" applyAlignment="1">
      <alignment horizontal="left" vertical="center"/>
    </xf>
    <xf numFmtId="164" fontId="22" fillId="0" borderId="48" xfId="0" applyNumberFormat="1" applyFont="1" applyBorder="1" applyAlignment="1">
      <alignment horizontal="left" vertical="center"/>
    </xf>
    <xf numFmtId="0" fontId="20" fillId="4" borderId="4" xfId="0" applyFont="1" applyFill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9" fillId="2" borderId="5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19" fillId="2" borderId="57" xfId="0" applyFont="1" applyFill="1" applyBorder="1" applyAlignment="1">
      <alignment horizontal="center"/>
    </xf>
    <xf numFmtId="0" fontId="20" fillId="2" borderId="52" xfId="0" applyFont="1" applyFill="1" applyBorder="1" applyAlignment="1">
      <alignment horizontal="center"/>
    </xf>
    <xf numFmtId="0" fontId="20" fillId="2" borderId="56" xfId="0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1" xfId="0" applyFont="1" applyBorder="1" applyAlignment="1">
      <alignment horizontal="center" vertical="center"/>
    </xf>
    <xf numFmtId="0" fontId="19" fillId="8" borderId="53" xfId="0" applyFont="1" applyFill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/>
    </xf>
    <xf numFmtId="0" fontId="20" fillId="2" borderId="57" xfId="0" applyFont="1" applyFill="1" applyBorder="1" applyAlignment="1">
      <alignment horizontal="center"/>
    </xf>
    <xf numFmtId="0" fontId="19" fillId="2" borderId="52" xfId="0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164" fontId="22" fillId="0" borderId="40" xfId="0" applyNumberFormat="1" applyFont="1" applyBorder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164" fontId="22" fillId="0" borderId="27" xfId="0" applyNumberFormat="1" applyFont="1" applyBorder="1" applyAlignment="1">
      <alignment horizontal="left" vertical="center"/>
    </xf>
    <xf numFmtId="0" fontId="20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14" fillId="3" borderId="24" xfId="0" applyFont="1" applyFill="1" applyBorder="1" applyAlignment="1">
      <alignment horizontal="left" vertical="center"/>
    </xf>
    <xf numFmtId="0" fontId="19" fillId="0" borderId="3" xfId="0" applyFont="1" applyBorder="1" applyAlignment="1">
      <alignment horizontal="center" wrapText="1"/>
    </xf>
    <xf numFmtId="0" fontId="12" fillId="0" borderId="66" xfId="0" applyFont="1" applyBorder="1" applyAlignment="1">
      <alignment horizontal="center" vertical="center"/>
    </xf>
    <xf numFmtId="0" fontId="22" fillId="3" borderId="65" xfId="0" applyFont="1" applyFill="1" applyBorder="1" applyAlignment="1">
      <alignment horizontal="left" vertical="center"/>
    </xf>
    <xf numFmtId="164" fontId="14" fillId="0" borderId="65" xfId="0" applyNumberFormat="1" applyFont="1" applyBorder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12" fillId="0" borderId="67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/>
    </xf>
    <xf numFmtId="0" fontId="12" fillId="0" borderId="77" xfId="0" applyFont="1" applyBorder="1" applyAlignment="1">
      <alignment horizontal="center" vertical="center"/>
    </xf>
    <xf numFmtId="0" fontId="19" fillId="0" borderId="78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164" fontId="14" fillId="0" borderId="32" xfId="0" applyNumberFormat="1" applyFont="1" applyBorder="1" applyAlignment="1">
      <alignment horizontal="left" vertical="center"/>
    </xf>
    <xf numFmtId="164" fontId="22" fillId="0" borderId="76" xfId="0" applyNumberFormat="1" applyFont="1" applyBorder="1" applyAlignment="1">
      <alignment horizontal="left" vertical="center"/>
    </xf>
    <xf numFmtId="0" fontId="14" fillId="3" borderId="36" xfId="0" applyFont="1" applyFill="1" applyBorder="1" applyAlignment="1">
      <alignment horizontal="left" vertical="center"/>
    </xf>
    <xf numFmtId="164" fontId="22" fillId="0" borderId="65" xfId="0" applyNumberFormat="1" applyFont="1" applyBorder="1" applyAlignment="1">
      <alignment horizontal="left" vertical="center"/>
    </xf>
    <xf numFmtId="164" fontId="14" fillId="0" borderId="72" xfId="0" applyNumberFormat="1" applyFont="1" applyBorder="1" applyAlignment="1">
      <alignment horizontal="left" vertical="center"/>
    </xf>
    <xf numFmtId="164" fontId="14" fillId="0" borderId="14" xfId="0" applyNumberFormat="1" applyFont="1" applyBorder="1" applyAlignment="1">
      <alignment horizontal="left" vertical="center"/>
    </xf>
    <xf numFmtId="164" fontId="22" fillId="0" borderId="71" xfId="0" applyNumberFormat="1" applyFont="1" applyBorder="1" applyAlignment="1">
      <alignment horizontal="left" vertical="center"/>
    </xf>
    <xf numFmtId="0" fontId="12" fillId="0" borderId="8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25" fillId="0" borderId="37" xfId="0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left" vertical="center"/>
    </xf>
    <xf numFmtId="0" fontId="14" fillId="10" borderId="91" xfId="0" applyFont="1" applyFill="1" applyBorder="1" applyAlignment="1">
      <alignment horizontal="left" vertical="center"/>
    </xf>
    <xf numFmtId="0" fontId="16" fillId="0" borderId="83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8" borderId="50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center" vertical="center"/>
    </xf>
    <xf numFmtId="0" fontId="19" fillId="8" borderId="54" xfId="0" applyFont="1" applyFill="1" applyBorder="1" applyAlignment="1">
      <alignment horizontal="center" vertical="center"/>
    </xf>
    <xf numFmtId="0" fontId="14" fillId="0" borderId="76" xfId="0" applyFont="1" applyBorder="1" applyAlignment="1">
      <alignment horizontal="left" vertical="center"/>
    </xf>
    <xf numFmtId="0" fontId="12" fillId="0" borderId="68" xfId="0" applyFont="1" applyBorder="1" applyAlignment="1">
      <alignment horizontal="center" vertical="center"/>
    </xf>
    <xf numFmtId="0" fontId="20" fillId="2" borderId="3" xfId="0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20" fillId="2" borderId="25" xfId="0" applyFont="1" applyFill="1" applyBorder="1" applyAlignment="1">
      <alignment horizontal="center"/>
    </xf>
    <xf numFmtId="0" fontId="19" fillId="11" borderId="38" xfId="0" applyFont="1" applyFill="1" applyBorder="1">
      <alignment vertical="center"/>
    </xf>
    <xf numFmtId="0" fontId="20" fillId="11" borderId="38" xfId="0" applyFont="1" applyFill="1" applyBorder="1">
      <alignment vertical="center"/>
    </xf>
    <xf numFmtId="0" fontId="19" fillId="11" borderId="44" xfId="0" applyFont="1" applyFill="1" applyBorder="1">
      <alignment vertical="center"/>
    </xf>
    <xf numFmtId="0" fontId="0" fillId="0" borderId="41" xfId="0" applyBorder="1">
      <alignment vertical="center"/>
    </xf>
    <xf numFmtId="0" fontId="0" fillId="12" borderId="37" xfId="0" applyFill="1" applyBorder="1">
      <alignment vertical="center"/>
    </xf>
    <xf numFmtId="0" fontId="12" fillId="0" borderId="43" xfId="0" applyFont="1" applyBorder="1">
      <alignment vertical="center"/>
    </xf>
    <xf numFmtId="0" fontId="12" fillId="12" borderId="43" xfId="0" applyFont="1" applyFill="1" applyBorder="1">
      <alignment vertical="center"/>
    </xf>
    <xf numFmtId="0" fontId="0" fillId="12" borderId="43" xfId="0" applyFill="1" applyBorder="1">
      <alignment vertical="center"/>
    </xf>
    <xf numFmtId="0" fontId="15" fillId="0" borderId="0" xfId="0" applyFont="1" applyAlignment="1">
      <alignment horizontal="left" vertical="center" wrapText="1"/>
    </xf>
    <xf numFmtId="0" fontId="27" fillId="0" borderId="66" xfId="0" applyFont="1" applyBorder="1">
      <alignment vertical="center"/>
    </xf>
    <xf numFmtId="0" fontId="28" fillId="0" borderId="66" xfId="0" applyFont="1" applyBorder="1" applyAlignment="1">
      <alignment horizontal="center" vertical="center"/>
    </xf>
    <xf numFmtId="2" fontId="0" fillId="0" borderId="0" xfId="0" applyNumberFormat="1">
      <alignment vertical="center"/>
    </xf>
    <xf numFmtId="0" fontId="14" fillId="3" borderId="74" xfId="0" applyFont="1" applyFill="1" applyBorder="1" applyAlignment="1">
      <alignment horizontal="left" vertical="center"/>
    </xf>
    <xf numFmtId="0" fontId="14" fillId="9" borderId="96" xfId="0" applyFont="1" applyFill="1" applyBorder="1" applyAlignment="1">
      <alignment horizontal="left" vertical="center"/>
    </xf>
    <xf numFmtId="0" fontId="28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indent="1"/>
    </xf>
    <xf numFmtId="0" fontId="27" fillId="0" borderId="3" xfId="0" applyFont="1" applyBorder="1">
      <alignment vertical="center"/>
    </xf>
    <xf numFmtId="0" fontId="29" fillId="0" borderId="3" xfId="0" applyFont="1" applyBorder="1" applyAlignment="1">
      <alignment horizontal="left" vertical="center"/>
    </xf>
    <xf numFmtId="0" fontId="19" fillId="5" borderId="1" xfId="0" applyFont="1" applyFill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8" borderId="14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8" borderId="24" xfId="0" applyFont="1" applyFill="1" applyBorder="1" applyAlignment="1">
      <alignment horizontal="center" vertical="center"/>
    </xf>
    <xf numFmtId="0" fontId="19" fillId="0" borderId="24" xfId="0" applyFont="1" applyBorder="1" applyAlignment="1"/>
    <xf numFmtId="0" fontId="19" fillId="8" borderId="25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0" fontId="20" fillId="4" borderId="58" xfId="0" applyFont="1" applyFill="1" applyBorder="1" applyAlignment="1">
      <alignment horizontal="center"/>
    </xf>
    <xf numFmtId="0" fontId="19" fillId="7" borderId="58" xfId="0" applyFont="1" applyFill="1" applyBorder="1" applyAlignment="1">
      <alignment horizontal="center" vertical="center"/>
    </xf>
    <xf numFmtId="0" fontId="19" fillId="2" borderId="58" xfId="0" applyFont="1" applyFill="1" applyBorder="1" applyAlignment="1">
      <alignment horizontal="center"/>
    </xf>
    <xf numFmtId="0" fontId="20" fillId="0" borderId="58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58" xfId="0" applyFont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19" fillId="2" borderId="27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19" fillId="2" borderId="28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19" fillId="8" borderId="27" xfId="0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2" borderId="28" xfId="0" applyFont="1" applyFill="1" applyBorder="1" applyAlignment="1">
      <alignment horizontal="center"/>
    </xf>
    <xf numFmtId="0" fontId="19" fillId="0" borderId="28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4" borderId="24" xfId="0" applyFont="1" applyFill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4" borderId="3" xfId="0" applyFont="1" applyFill="1" applyBorder="1" applyAlignment="1">
      <alignment horizontal="center"/>
    </xf>
    <xf numFmtId="0" fontId="1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97" xfId="0" applyBorder="1">
      <alignment vertical="center"/>
    </xf>
    <xf numFmtId="0" fontId="0" fillId="0" borderId="83" xfId="0" applyBorder="1">
      <alignment vertical="center"/>
    </xf>
    <xf numFmtId="0" fontId="12" fillId="0" borderId="98" xfId="0" applyFont="1" applyBorder="1" applyAlignment="1">
      <alignment horizontal="center" vertical="center"/>
    </xf>
    <xf numFmtId="0" fontId="20" fillId="4" borderId="40" xfId="0" applyFont="1" applyFill="1" applyBorder="1" applyAlignment="1">
      <alignment horizontal="center"/>
    </xf>
    <xf numFmtId="0" fontId="21" fillId="4" borderId="9" xfId="0" applyFont="1" applyFill="1" applyBorder="1" applyAlignment="1">
      <alignment horizontal="center"/>
    </xf>
    <xf numFmtId="0" fontId="20" fillId="4" borderId="99" xfId="0" applyFont="1" applyFill="1" applyBorder="1" applyAlignment="1">
      <alignment horizontal="center"/>
    </xf>
    <xf numFmtId="0" fontId="21" fillId="4" borderId="100" xfId="0" applyFont="1" applyFill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21" fillId="4" borderId="40" xfId="0" applyFont="1" applyFill="1" applyBorder="1" applyAlignment="1">
      <alignment horizontal="center"/>
    </xf>
    <xf numFmtId="0" fontId="21" fillId="4" borderId="99" xfId="0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7" borderId="6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3" borderId="14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9" borderId="14" xfId="0" applyFont="1" applyFill="1" applyBorder="1" applyAlignment="1">
      <alignment horizontal="left" vertical="center"/>
    </xf>
    <xf numFmtId="0" fontId="19" fillId="7" borderId="38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0" fontId="19" fillId="7" borderId="5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/>
    </xf>
    <xf numFmtId="0" fontId="19" fillId="7" borderId="3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4" fillId="3" borderId="103" xfId="0" applyFont="1" applyFill="1" applyBorder="1" applyAlignment="1">
      <alignment horizontal="left" vertical="center"/>
    </xf>
    <xf numFmtId="0" fontId="26" fillId="0" borderId="105" xfId="0" applyFont="1" applyBorder="1" applyAlignment="1">
      <alignment horizontal="center" vertical="center"/>
    </xf>
    <xf numFmtId="0" fontId="19" fillId="0" borderId="105" xfId="0" applyFont="1" applyBorder="1" applyAlignment="1"/>
    <xf numFmtId="0" fontId="19" fillId="0" borderId="32" xfId="0" applyFont="1" applyBorder="1" applyAlignment="1"/>
    <xf numFmtId="0" fontId="19" fillId="0" borderId="20" xfId="0" applyFont="1" applyBorder="1" applyAlignment="1"/>
    <xf numFmtId="0" fontId="20" fillId="0" borderId="20" xfId="0" applyFont="1" applyBorder="1" applyAlignment="1">
      <alignment horizontal="center"/>
    </xf>
    <xf numFmtId="0" fontId="19" fillId="0" borderId="21" xfId="0" applyFont="1" applyBorder="1" applyAlignment="1"/>
    <xf numFmtId="0" fontId="20" fillId="0" borderId="103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20" fillId="0" borderId="105" xfId="0" applyFont="1" applyBorder="1" applyAlignment="1">
      <alignment horizontal="center"/>
    </xf>
    <xf numFmtId="0" fontId="19" fillId="0" borderId="103" xfId="0" applyFont="1" applyBorder="1" applyAlignment="1"/>
    <xf numFmtId="0" fontId="19" fillId="0" borderId="103" xfId="0" applyFont="1" applyBorder="1" applyAlignment="1">
      <alignment horizontal="center"/>
    </xf>
    <xf numFmtId="0" fontId="19" fillId="0" borderId="105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164" fontId="14" fillId="0" borderId="103" xfId="0" applyNumberFormat="1" applyFont="1" applyBorder="1" applyAlignment="1">
      <alignment horizontal="left" vertical="center"/>
    </xf>
    <xf numFmtId="164" fontId="22" fillId="0" borderId="103" xfId="0" applyNumberFormat="1" applyFont="1" applyBorder="1" applyAlignment="1">
      <alignment horizontal="left" vertical="center"/>
    </xf>
    <xf numFmtId="0" fontId="19" fillId="2" borderId="2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wrapText="1"/>
    </xf>
    <xf numFmtId="0" fontId="19" fillId="2" borderId="103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20" fillId="2" borderId="105" xfId="0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2" fillId="3" borderId="103" xfId="0" applyFont="1" applyFill="1" applyBorder="1" applyAlignment="1">
      <alignment horizontal="left" vertical="center"/>
    </xf>
    <xf numFmtId="0" fontId="19" fillId="2" borderId="103" xfId="0" applyFont="1" applyFill="1" applyBorder="1" applyAlignment="1">
      <alignment horizontal="center"/>
    </xf>
    <xf numFmtId="0" fontId="19" fillId="2" borderId="20" xfId="0" applyFont="1" applyFill="1" applyBorder="1" applyAlignment="1">
      <alignment horizontal="center"/>
    </xf>
    <xf numFmtId="0" fontId="19" fillId="2" borderId="105" xfId="0" applyFont="1" applyFill="1" applyBorder="1" applyAlignment="1">
      <alignment horizontal="center"/>
    </xf>
    <xf numFmtId="0" fontId="19" fillId="2" borderId="32" xfId="0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5" fillId="0" borderId="3" xfId="0" applyFont="1" applyBorder="1">
      <alignment vertical="center"/>
    </xf>
    <xf numFmtId="0" fontId="10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2" borderId="8" xfId="0" applyNumberFormat="1" applyFont="1" applyFill="1" applyBorder="1" applyAlignment="1">
      <alignment horizontal="center" vertical="center"/>
    </xf>
    <xf numFmtId="2" fontId="10" fillId="2" borderId="8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10" fillId="0" borderId="3" xfId="0" applyFont="1" applyBorder="1">
      <alignment vertical="center"/>
    </xf>
    <xf numFmtId="164" fontId="10" fillId="0" borderId="3" xfId="0" applyNumberFormat="1" applyFont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0" fontId="15" fillId="0" borderId="4" xfId="0" applyFont="1" applyBorder="1">
      <alignment vertical="center"/>
    </xf>
    <xf numFmtId="0" fontId="10" fillId="0" borderId="14" xfId="0" applyFont="1" applyBorder="1" applyAlignment="1">
      <alignment horizontal="center" vertical="center"/>
    </xf>
    <xf numFmtId="2" fontId="10" fillId="2" borderId="62" xfId="0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4" fontId="10" fillId="2" borderId="11" xfId="0" applyNumberFormat="1" applyFont="1" applyFill="1" applyBorder="1" applyAlignment="1">
      <alignment horizontal="center" vertical="center"/>
    </xf>
    <xf numFmtId="2" fontId="10" fillId="2" borderId="80" xfId="0" applyNumberFormat="1" applyFont="1" applyFill="1" applyBorder="1" applyAlignment="1">
      <alignment horizontal="center" vertical="center"/>
    </xf>
    <xf numFmtId="0" fontId="15" fillId="0" borderId="11" xfId="0" applyFont="1" applyBorder="1">
      <alignment vertical="center"/>
    </xf>
    <xf numFmtId="0" fontId="10" fillId="0" borderId="80" xfId="0" applyFont="1" applyBorder="1" applyAlignment="1">
      <alignment horizontal="left" vertical="center"/>
    </xf>
    <xf numFmtId="0" fontId="15" fillId="0" borderId="80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2" fontId="10" fillId="2" borderId="66" xfId="0" applyNumberFormat="1" applyFont="1" applyFill="1" applyBorder="1" applyAlignment="1">
      <alignment horizontal="center" vertical="center"/>
    </xf>
    <xf numFmtId="0" fontId="15" fillId="0" borderId="66" xfId="0" applyFont="1" applyBorder="1">
      <alignment vertical="center"/>
    </xf>
    <xf numFmtId="0" fontId="10" fillId="0" borderId="66" xfId="0" applyFont="1" applyBorder="1" applyAlignment="1">
      <alignment horizontal="left" vertical="center"/>
    </xf>
    <xf numFmtId="0" fontId="15" fillId="2" borderId="66" xfId="0" applyFont="1" applyFill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4" fontId="10" fillId="0" borderId="66" xfId="0" applyNumberFormat="1" applyFont="1" applyBorder="1" applyAlignment="1">
      <alignment horizontal="center" vertical="center"/>
    </xf>
    <xf numFmtId="164" fontId="10" fillId="0" borderId="94" xfId="0" applyNumberFormat="1" applyFont="1" applyBorder="1" applyAlignment="1">
      <alignment horizontal="center" vertical="center"/>
    </xf>
    <xf numFmtId="0" fontId="19" fillId="0" borderId="57" xfId="0" applyFont="1" applyBorder="1">
      <alignment vertical="center"/>
    </xf>
    <xf numFmtId="0" fontId="20" fillId="0" borderId="106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0" fontId="19" fillId="0" borderId="106" xfId="0" applyFont="1" applyBorder="1" applyAlignment="1">
      <alignment horizontal="center"/>
    </xf>
    <xf numFmtId="0" fontId="19" fillId="0" borderId="107" xfId="0" applyFont="1" applyBorder="1" applyAlignment="1">
      <alignment horizontal="center"/>
    </xf>
    <xf numFmtId="0" fontId="19" fillId="0" borderId="108" xfId="0" applyFont="1" applyBorder="1" applyAlignment="1"/>
    <xf numFmtId="0" fontId="12" fillId="0" borderId="94" xfId="0" applyFont="1" applyBorder="1" applyAlignment="1">
      <alignment horizontal="center" vertical="center"/>
    </xf>
    <xf numFmtId="0" fontId="12" fillId="0" borderId="111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99" xfId="0" applyFont="1" applyBorder="1" applyAlignment="1">
      <alignment horizontal="center"/>
    </xf>
    <xf numFmtId="0" fontId="19" fillId="0" borderId="10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0" fillId="2" borderId="20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107" xfId="0" applyFont="1" applyBorder="1" applyAlignment="1">
      <alignment horizontal="center"/>
    </xf>
    <xf numFmtId="0" fontId="19" fillId="0" borderId="94" xfId="0" applyFont="1" applyBorder="1" applyAlignment="1">
      <alignment horizontal="center"/>
    </xf>
    <xf numFmtId="0" fontId="19" fillId="0" borderId="113" xfId="0" applyFont="1" applyBorder="1" applyAlignment="1">
      <alignment horizontal="center"/>
    </xf>
    <xf numFmtId="0" fontId="19" fillId="0" borderId="114" xfId="0" applyFont="1" applyBorder="1" applyAlignment="1">
      <alignment horizontal="center"/>
    </xf>
    <xf numFmtId="0" fontId="19" fillId="0" borderId="77" xfId="0" applyFont="1" applyBorder="1" applyAlignment="1">
      <alignment horizontal="center"/>
    </xf>
    <xf numFmtId="0" fontId="20" fillId="0" borderId="115" xfId="0" applyFont="1" applyBorder="1" applyAlignment="1">
      <alignment horizontal="center"/>
    </xf>
    <xf numFmtId="0" fontId="19" fillId="0" borderId="55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19" fillId="0" borderId="115" xfId="0" applyFont="1" applyBorder="1" applyAlignment="1">
      <alignment horizontal="center"/>
    </xf>
    <xf numFmtId="0" fontId="19" fillId="14" borderId="57" xfId="0" applyFont="1" applyFill="1" applyBorder="1" applyAlignment="1">
      <alignment horizontal="center"/>
    </xf>
    <xf numFmtId="0" fontId="19" fillId="14" borderId="55" xfId="0" applyFont="1" applyFill="1" applyBorder="1" applyAlignment="1">
      <alignment horizontal="center"/>
    </xf>
    <xf numFmtId="0" fontId="19" fillId="14" borderId="52" xfId="0" applyFont="1" applyFill="1" applyBorder="1" applyAlignment="1">
      <alignment horizontal="center"/>
    </xf>
    <xf numFmtId="0" fontId="19" fillId="14" borderId="115" xfId="0" applyFont="1" applyFill="1" applyBorder="1" applyAlignment="1">
      <alignment horizontal="center"/>
    </xf>
    <xf numFmtId="0" fontId="19" fillId="14" borderId="56" xfId="0" applyFont="1" applyFill="1" applyBorder="1" applyAlignment="1">
      <alignment horizontal="center"/>
    </xf>
    <xf numFmtId="0" fontId="14" fillId="10" borderId="114" xfId="0" applyFont="1" applyFill="1" applyBorder="1" applyAlignment="1">
      <alignment horizontal="left" vertical="center"/>
    </xf>
    <xf numFmtId="0" fontId="20" fillId="0" borderId="56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19" fillId="0" borderId="116" xfId="0" applyFont="1" applyBorder="1" applyAlignment="1">
      <alignment horizontal="center"/>
    </xf>
    <xf numFmtId="0" fontId="19" fillId="0" borderId="117" xfId="0" applyFont="1" applyBorder="1" applyAlignment="1">
      <alignment horizontal="center"/>
    </xf>
    <xf numFmtId="0" fontId="19" fillId="0" borderId="1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30" fillId="0" borderId="56" xfId="0" applyFont="1" applyBorder="1" applyAlignment="1">
      <alignment horizontal="center"/>
    </xf>
    <xf numFmtId="0" fontId="20" fillId="2" borderId="103" xfId="0" applyFont="1" applyFill="1" applyBorder="1" applyAlignment="1">
      <alignment horizontal="center" vertical="center"/>
    </xf>
    <xf numFmtId="0" fontId="14" fillId="3" borderId="107" xfId="0" applyFont="1" applyFill="1" applyBorder="1" applyAlignment="1">
      <alignment horizontal="left" vertical="center"/>
    </xf>
    <xf numFmtId="0" fontId="14" fillId="3" borderId="121" xfId="0" applyFont="1" applyFill="1" applyBorder="1" applyAlignment="1">
      <alignment horizontal="left" vertical="center"/>
    </xf>
    <xf numFmtId="0" fontId="12" fillId="0" borderId="12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19" fillId="0" borderId="108" xfId="0" applyFont="1" applyBorder="1" applyAlignment="1">
      <alignment horizontal="center"/>
    </xf>
    <xf numFmtId="0" fontId="19" fillId="0" borderId="123" xfId="0" applyFont="1" applyBorder="1" applyAlignment="1">
      <alignment horizontal="center"/>
    </xf>
    <xf numFmtId="0" fontId="19" fillId="0" borderId="124" xfId="0" applyFont="1" applyBorder="1" applyAlignment="1">
      <alignment horizontal="center"/>
    </xf>
    <xf numFmtId="0" fontId="20" fillId="0" borderId="12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2" fillId="0" borderId="127" xfId="0" applyFont="1" applyBorder="1" applyAlignment="1">
      <alignment horizontal="center"/>
    </xf>
    <xf numFmtId="0" fontId="19" fillId="0" borderId="126" xfId="0" applyFont="1" applyBorder="1" applyAlignment="1">
      <alignment horizontal="center" vertical="center"/>
    </xf>
    <xf numFmtId="0" fontId="20" fillId="0" borderId="125" xfId="0" applyFont="1" applyBorder="1" applyAlignment="1">
      <alignment horizontal="center"/>
    </xf>
    <xf numFmtId="0" fontId="19" fillId="0" borderId="130" xfId="0" applyFont="1" applyBorder="1" applyAlignment="1">
      <alignment horizontal="center"/>
    </xf>
    <xf numFmtId="0" fontId="20" fillId="0" borderId="94" xfId="0" applyFont="1" applyBorder="1" applyAlignment="1">
      <alignment horizontal="center"/>
    </xf>
    <xf numFmtId="165" fontId="21" fillId="0" borderId="24" xfId="0" applyNumberFormat="1" applyFont="1" applyBorder="1" applyAlignment="1">
      <alignment horizontal="center"/>
    </xf>
    <xf numFmtId="0" fontId="19" fillId="7" borderId="9" xfId="0" applyFont="1" applyFill="1" applyBorder="1" applyAlignment="1">
      <alignment horizontal="center" vertical="center"/>
    </xf>
    <xf numFmtId="0" fontId="19" fillId="7" borderId="99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horizontal="center" vertical="center"/>
    </xf>
    <xf numFmtId="0" fontId="19" fillId="0" borderId="59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60" xfId="0" applyFont="1" applyBorder="1" applyAlignment="1">
      <alignment horizontal="center"/>
    </xf>
    <xf numFmtId="165" fontId="21" fillId="0" borderId="14" xfId="0" applyNumberFormat="1" applyFont="1" applyBorder="1" applyAlignment="1">
      <alignment horizontal="center"/>
    </xf>
    <xf numFmtId="0" fontId="19" fillId="7" borderId="100" xfId="0" applyFont="1" applyFill="1" applyBorder="1" applyAlignment="1">
      <alignment horizontal="center" vertical="center"/>
    </xf>
    <xf numFmtId="0" fontId="19" fillId="0" borderId="63" xfId="0" applyFont="1" applyBorder="1" applyAlignment="1">
      <alignment horizontal="center"/>
    </xf>
    <xf numFmtId="165" fontId="21" fillId="0" borderId="102" xfId="0" applyNumberFormat="1" applyFont="1" applyBorder="1" applyAlignment="1">
      <alignment horizontal="center"/>
    </xf>
    <xf numFmtId="165" fontId="21" fillId="0" borderId="58" xfId="0" applyNumberFormat="1" applyFont="1" applyBorder="1" applyAlignment="1">
      <alignment horizontal="center"/>
    </xf>
    <xf numFmtId="0" fontId="19" fillId="7" borderId="11" xfId="0" applyFont="1" applyFill="1" applyBorder="1" applyAlignment="1">
      <alignment horizontal="center" vertical="center"/>
    </xf>
    <xf numFmtId="0" fontId="19" fillId="0" borderId="61" xfId="0" applyFont="1" applyBorder="1" applyAlignment="1">
      <alignment horizontal="center"/>
    </xf>
    <xf numFmtId="0" fontId="19" fillId="0" borderId="56" xfId="0" applyFont="1" applyBorder="1" applyAlignment="1">
      <alignment horizontal="center"/>
    </xf>
    <xf numFmtId="0" fontId="19" fillId="0" borderId="52" xfId="0" applyFont="1" applyBorder="1" applyAlignment="1">
      <alignment horizontal="center"/>
    </xf>
    <xf numFmtId="0" fontId="19" fillId="0" borderId="115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8" borderId="115" xfId="0" applyFont="1" applyFill="1" applyBorder="1" applyAlignment="1">
      <alignment horizontal="center" vertical="center"/>
    </xf>
    <xf numFmtId="0" fontId="19" fillId="8" borderId="55" xfId="0" applyFont="1" applyFill="1" applyBorder="1" applyAlignment="1">
      <alignment horizontal="center" vertical="center"/>
    </xf>
    <xf numFmtId="0" fontId="19" fillId="8" borderId="57" xfId="0" applyFont="1" applyFill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2" borderId="115" xfId="0" applyFont="1" applyFill="1" applyBorder="1" applyAlignment="1">
      <alignment horizontal="center"/>
    </xf>
    <xf numFmtId="0" fontId="20" fillId="2" borderId="55" xfId="0" applyFont="1" applyFill="1" applyBorder="1" applyAlignment="1">
      <alignment horizontal="center"/>
    </xf>
    <xf numFmtId="0" fontId="19" fillId="8" borderId="56" xfId="0" applyFont="1" applyFill="1" applyBorder="1" applyAlignment="1">
      <alignment horizontal="center" vertical="center"/>
    </xf>
    <xf numFmtId="0" fontId="19" fillId="0" borderId="132" xfId="0" applyFont="1" applyBorder="1" applyAlignment="1">
      <alignment horizontal="center"/>
    </xf>
    <xf numFmtId="0" fontId="19" fillId="0" borderId="45" xfId="0" applyFont="1" applyBorder="1" applyAlignment="1">
      <alignment horizontal="center"/>
    </xf>
    <xf numFmtId="0" fontId="19" fillId="0" borderId="133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46" xfId="0" applyFont="1" applyBorder="1" applyAlignment="1">
      <alignment horizontal="center"/>
    </xf>
    <xf numFmtId="0" fontId="19" fillId="2" borderId="132" xfId="0" applyFont="1" applyFill="1" applyBorder="1" applyAlignment="1">
      <alignment horizontal="center"/>
    </xf>
    <xf numFmtId="0" fontId="19" fillId="2" borderId="45" xfId="0" applyFont="1" applyFill="1" applyBorder="1" applyAlignment="1">
      <alignment horizontal="center"/>
    </xf>
    <xf numFmtId="0" fontId="19" fillId="2" borderId="133" xfId="0" applyFont="1" applyFill="1" applyBorder="1" applyAlignment="1">
      <alignment horizontal="center"/>
    </xf>
    <xf numFmtId="0" fontId="19" fillId="2" borderId="48" xfId="0" applyFont="1" applyFill="1" applyBorder="1" applyAlignment="1">
      <alignment horizontal="center"/>
    </xf>
    <xf numFmtId="0" fontId="19" fillId="2" borderId="46" xfId="0" applyFont="1" applyFill="1" applyBorder="1" applyAlignment="1">
      <alignment horizontal="center"/>
    </xf>
    <xf numFmtId="0" fontId="19" fillId="0" borderId="133" xfId="0" applyFont="1" applyBorder="1" applyAlignment="1">
      <alignment horizontal="center" vertical="center"/>
    </xf>
    <xf numFmtId="0" fontId="19" fillId="0" borderId="105" xfId="0" applyFont="1" applyBorder="1" applyAlignment="1">
      <alignment horizontal="center" vertical="center"/>
    </xf>
    <xf numFmtId="0" fontId="19" fillId="0" borderId="134" xfId="0" applyFont="1" applyBorder="1" applyAlignment="1">
      <alignment horizontal="center"/>
    </xf>
    <xf numFmtId="0" fontId="19" fillId="0" borderId="135" xfId="0" applyFont="1" applyBorder="1" applyAlignment="1">
      <alignment horizontal="center"/>
    </xf>
    <xf numFmtId="0" fontId="19" fillId="0" borderId="137" xfId="0" applyFont="1" applyBorder="1" applyAlignment="1">
      <alignment horizontal="center"/>
    </xf>
    <xf numFmtId="0" fontId="19" fillId="0" borderId="138" xfId="0" applyFont="1" applyBorder="1" applyAlignment="1">
      <alignment horizontal="center"/>
    </xf>
    <xf numFmtId="0" fontId="19" fillId="0" borderId="139" xfId="0" applyFont="1" applyBorder="1" applyAlignment="1">
      <alignment horizontal="center"/>
    </xf>
    <xf numFmtId="165" fontId="21" fillId="0" borderId="134" xfId="0" applyNumberFormat="1" applyFont="1" applyBorder="1" applyAlignment="1">
      <alignment horizontal="center"/>
    </xf>
    <xf numFmtId="0" fontId="21" fillId="4" borderId="134" xfId="0" applyFont="1" applyFill="1" applyBorder="1" applyAlignment="1">
      <alignment horizontal="center"/>
    </xf>
    <xf numFmtId="0" fontId="20" fillId="4" borderId="134" xfId="0" applyFont="1" applyFill="1" applyBorder="1" applyAlignment="1">
      <alignment horizontal="center"/>
    </xf>
    <xf numFmtId="0" fontId="19" fillId="0" borderId="144" xfId="0" applyFont="1" applyBorder="1" applyAlignment="1">
      <alignment horizontal="center"/>
    </xf>
    <xf numFmtId="165" fontId="21" fillId="0" borderId="135" xfId="0" applyNumberFormat="1" applyFont="1" applyBorder="1" applyAlignment="1">
      <alignment horizontal="center"/>
    </xf>
    <xf numFmtId="165" fontId="21" fillId="0" borderId="137" xfId="0" applyNumberFormat="1" applyFont="1" applyBorder="1" applyAlignment="1">
      <alignment horizontal="center"/>
    </xf>
    <xf numFmtId="0" fontId="21" fillId="4" borderId="138" xfId="0" applyFont="1" applyFill="1" applyBorder="1" applyAlignment="1">
      <alignment horizontal="center"/>
    </xf>
    <xf numFmtId="0" fontId="20" fillId="4" borderId="139" xfId="0" applyFont="1" applyFill="1" applyBorder="1" applyAlignment="1">
      <alignment horizontal="center"/>
    </xf>
    <xf numFmtId="165" fontId="21" fillId="0" borderId="144" xfId="0" applyNumberFormat="1" applyFont="1" applyBorder="1" applyAlignment="1">
      <alignment horizontal="center"/>
    </xf>
    <xf numFmtId="0" fontId="21" fillId="4" borderId="144" xfId="0" applyFont="1" applyFill="1" applyBorder="1" applyAlignment="1">
      <alignment horizontal="center"/>
    </xf>
    <xf numFmtId="165" fontId="21" fillId="0" borderId="138" xfId="0" applyNumberFormat="1" applyFont="1" applyBorder="1" applyAlignment="1">
      <alignment horizontal="center"/>
    </xf>
    <xf numFmtId="165" fontId="21" fillId="0" borderId="139" xfId="0" applyNumberFormat="1" applyFont="1" applyBorder="1" applyAlignment="1">
      <alignment horizontal="center"/>
    </xf>
    <xf numFmtId="0" fontId="19" fillId="7" borderId="148" xfId="0" applyFont="1" applyFill="1" applyBorder="1" applyAlignment="1">
      <alignment horizontal="center" vertical="center"/>
    </xf>
    <xf numFmtId="0" fontId="19" fillId="0" borderId="149" xfId="0" applyFont="1" applyBorder="1" applyAlignment="1">
      <alignment horizontal="center"/>
    </xf>
    <xf numFmtId="165" fontId="21" fillId="0" borderId="150" xfId="0" applyNumberFormat="1" applyFont="1" applyBorder="1" applyAlignment="1">
      <alignment horizontal="center"/>
    </xf>
    <xf numFmtId="0" fontId="20" fillId="4" borderId="150" xfId="0" applyFont="1" applyFill="1" applyBorder="1" applyAlignment="1">
      <alignment horizontal="center"/>
    </xf>
    <xf numFmtId="0" fontId="19" fillId="7" borderId="151" xfId="0" applyFont="1" applyFill="1" applyBorder="1" applyAlignment="1">
      <alignment horizontal="center" vertical="center"/>
    </xf>
    <xf numFmtId="0" fontId="19" fillId="0" borderId="152" xfId="0" applyFont="1" applyBorder="1" applyAlignment="1">
      <alignment horizontal="center"/>
    </xf>
    <xf numFmtId="0" fontId="19" fillId="0" borderId="153" xfId="0" applyFont="1" applyBorder="1" applyAlignment="1">
      <alignment horizontal="center"/>
    </xf>
    <xf numFmtId="0" fontId="19" fillId="7" borderId="140" xfId="0" applyFont="1" applyFill="1" applyBorder="1" applyAlignment="1">
      <alignment horizontal="center" vertical="center"/>
    </xf>
    <xf numFmtId="0" fontId="19" fillId="7" borderId="141" xfId="0" applyFont="1" applyFill="1" applyBorder="1" applyAlignment="1">
      <alignment horizontal="center" vertical="center"/>
    </xf>
    <xf numFmtId="0" fontId="19" fillId="7" borderId="142" xfId="0" applyFont="1" applyFill="1" applyBorder="1" applyAlignment="1">
      <alignment horizontal="center" vertical="center"/>
    </xf>
    <xf numFmtId="0" fontId="19" fillId="7" borderId="145" xfId="0" applyFont="1" applyFill="1" applyBorder="1" applyAlignment="1">
      <alignment horizontal="center" vertical="center"/>
    </xf>
    <xf numFmtId="0" fontId="19" fillId="0" borderId="159" xfId="0" applyFont="1" applyBorder="1" applyAlignment="1">
      <alignment horizontal="center"/>
    </xf>
    <xf numFmtId="0" fontId="19" fillId="7" borderId="160" xfId="0" applyFont="1" applyFill="1" applyBorder="1" applyAlignment="1">
      <alignment horizontal="center" vertical="center"/>
    </xf>
    <xf numFmtId="0" fontId="19" fillId="0" borderId="161" xfId="0" applyFont="1" applyBorder="1" applyAlignment="1">
      <alignment horizontal="center"/>
    </xf>
    <xf numFmtId="0" fontId="19" fillId="0" borderId="150" xfId="0" applyFont="1" applyBorder="1" applyAlignment="1">
      <alignment horizontal="center"/>
    </xf>
    <xf numFmtId="165" fontId="21" fillId="0" borderId="136" xfId="0" applyNumberFormat="1" applyFont="1" applyBorder="1" applyAlignment="1">
      <alignment horizontal="center"/>
    </xf>
    <xf numFmtId="0" fontId="21" fillId="4" borderId="139" xfId="0" applyFont="1" applyFill="1" applyBorder="1" applyAlignment="1">
      <alignment horizontal="center"/>
    </xf>
    <xf numFmtId="165" fontId="21" fillId="0" borderId="143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165" fontId="21" fillId="0" borderId="165" xfId="0" applyNumberFormat="1" applyFont="1" applyBorder="1" applyAlignment="1">
      <alignment horizontal="center"/>
    </xf>
    <xf numFmtId="0" fontId="20" fillId="4" borderId="144" xfId="0" applyFont="1" applyFill="1" applyBorder="1" applyAlignment="1">
      <alignment horizontal="center"/>
    </xf>
    <xf numFmtId="0" fontId="20" fillId="4" borderId="138" xfId="0" applyFont="1" applyFill="1" applyBorder="1" applyAlignment="1">
      <alignment horizontal="center"/>
    </xf>
    <xf numFmtId="165" fontId="21" fillId="0" borderId="166" xfId="0" applyNumberFormat="1" applyFont="1" applyBorder="1" applyAlignment="1">
      <alignment horizontal="center"/>
    </xf>
    <xf numFmtId="0" fontId="19" fillId="7" borderId="166" xfId="0" applyFont="1" applyFill="1" applyBorder="1" applyAlignment="1">
      <alignment horizontal="center" vertical="center"/>
    </xf>
    <xf numFmtId="0" fontId="19" fillId="0" borderId="166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8" borderId="0" xfId="0" applyFont="1" applyFill="1" applyAlignment="1">
      <alignment horizontal="center" vertical="center"/>
    </xf>
    <xf numFmtId="0" fontId="19" fillId="5" borderId="170" xfId="0" applyFont="1" applyFill="1" applyBorder="1">
      <alignment vertical="center"/>
    </xf>
    <xf numFmtId="165" fontId="21" fillId="0" borderId="171" xfId="0" applyNumberFormat="1" applyFont="1" applyBorder="1" applyAlignment="1">
      <alignment horizontal="center"/>
    </xf>
    <xf numFmtId="0" fontId="20" fillId="4" borderId="171" xfId="0" applyFont="1" applyFill="1" applyBorder="1" applyAlignment="1">
      <alignment horizontal="center"/>
    </xf>
    <xf numFmtId="0" fontId="19" fillId="7" borderId="172" xfId="0" applyFont="1" applyFill="1" applyBorder="1" applyAlignment="1">
      <alignment horizontal="center" vertical="center"/>
    </xf>
    <xf numFmtId="0" fontId="19" fillId="5" borderId="173" xfId="0" applyFont="1" applyFill="1" applyBorder="1">
      <alignment vertical="center"/>
    </xf>
    <xf numFmtId="0" fontId="21" fillId="4" borderId="166" xfId="0" applyFont="1" applyFill="1" applyBorder="1" applyAlignment="1">
      <alignment horizontal="center"/>
    </xf>
    <xf numFmtId="0" fontId="19" fillId="0" borderId="174" xfId="0" applyFont="1" applyBorder="1" applyAlignment="1">
      <alignment horizontal="center"/>
    </xf>
    <xf numFmtId="0" fontId="19" fillId="0" borderId="171" xfId="0" applyFont="1" applyBorder="1" applyAlignment="1">
      <alignment horizontal="center"/>
    </xf>
    <xf numFmtId="0" fontId="20" fillId="0" borderId="175" xfId="0" applyFont="1" applyBorder="1" applyAlignment="1">
      <alignment horizontal="center"/>
    </xf>
    <xf numFmtId="0" fontId="19" fillId="0" borderId="176" xfId="0" applyFont="1" applyBorder="1" applyAlignment="1">
      <alignment horizontal="center"/>
    </xf>
    <xf numFmtId="0" fontId="19" fillId="0" borderId="175" xfId="0" applyFont="1" applyBorder="1" applyAlignment="1">
      <alignment horizontal="center"/>
    </xf>
    <xf numFmtId="0" fontId="19" fillId="0" borderId="177" xfId="0" applyFont="1" applyBorder="1" applyAlignment="1">
      <alignment horizontal="center"/>
    </xf>
    <xf numFmtId="0" fontId="19" fillId="0" borderId="178" xfId="0" applyFont="1" applyBorder="1" applyAlignment="1">
      <alignment horizontal="center"/>
    </xf>
    <xf numFmtId="0" fontId="19" fillId="0" borderId="179" xfId="0" applyFont="1" applyBorder="1" applyAlignment="1">
      <alignment horizontal="center"/>
    </xf>
    <xf numFmtId="0" fontId="19" fillId="0" borderId="173" xfId="0" applyFont="1" applyBorder="1" applyAlignment="1">
      <alignment horizontal="center"/>
    </xf>
    <xf numFmtId="0" fontId="20" fillId="0" borderId="180" xfId="0" applyFont="1" applyBorder="1" applyAlignment="1">
      <alignment horizontal="center"/>
    </xf>
    <xf numFmtId="0" fontId="19" fillId="0" borderId="181" xfId="0" applyFont="1" applyBorder="1" applyAlignment="1">
      <alignment horizontal="center"/>
    </xf>
    <xf numFmtId="0" fontId="19" fillId="11" borderId="164" xfId="0" applyFont="1" applyFill="1" applyBorder="1">
      <alignment vertical="center"/>
    </xf>
    <xf numFmtId="0" fontId="19" fillId="2" borderId="175" xfId="0" applyFont="1" applyFill="1" applyBorder="1" applyAlignment="1">
      <alignment horizontal="center"/>
    </xf>
    <xf numFmtId="0" fontId="20" fillId="0" borderId="176" xfId="0" applyFont="1" applyBorder="1" applyAlignment="1">
      <alignment horizontal="center" vertical="center"/>
    </xf>
    <xf numFmtId="0" fontId="19" fillId="2" borderId="177" xfId="0" applyFont="1" applyFill="1" applyBorder="1" applyAlignment="1">
      <alignment horizontal="center"/>
    </xf>
    <xf numFmtId="0" fontId="20" fillId="2" borderId="177" xfId="0" applyFont="1" applyFill="1" applyBorder="1" applyAlignment="1">
      <alignment horizontal="center"/>
    </xf>
    <xf numFmtId="0" fontId="20" fillId="2" borderId="176" xfId="0" applyFont="1" applyFill="1" applyBorder="1" applyAlignment="1">
      <alignment horizontal="center"/>
    </xf>
    <xf numFmtId="0" fontId="19" fillId="2" borderId="178" xfId="0" applyFont="1" applyFill="1" applyBorder="1" applyAlignment="1">
      <alignment horizontal="center"/>
    </xf>
    <xf numFmtId="0" fontId="19" fillId="2" borderId="179" xfId="0" applyFont="1" applyFill="1" applyBorder="1" applyAlignment="1">
      <alignment horizontal="center"/>
    </xf>
    <xf numFmtId="0" fontId="20" fillId="2" borderId="183" xfId="0" applyFont="1" applyFill="1" applyBorder="1" applyAlignment="1">
      <alignment horizontal="center" vertical="center"/>
    </xf>
    <xf numFmtId="0" fontId="20" fillId="2" borderId="184" xfId="0" applyFont="1" applyFill="1" applyBorder="1" applyAlignment="1">
      <alignment horizontal="center" vertical="center"/>
    </xf>
    <xf numFmtId="0" fontId="19" fillId="2" borderId="183" xfId="0" applyFont="1" applyFill="1" applyBorder="1" applyAlignment="1">
      <alignment horizontal="center" vertical="center"/>
    </xf>
    <xf numFmtId="0" fontId="19" fillId="2" borderId="185" xfId="0" applyFont="1" applyFill="1" applyBorder="1" applyAlignment="1">
      <alignment horizontal="center" vertical="center"/>
    </xf>
    <xf numFmtId="0" fontId="19" fillId="0" borderId="185" xfId="0" applyFont="1" applyBorder="1" applyAlignment="1">
      <alignment horizontal="center" vertical="center"/>
    </xf>
    <xf numFmtId="0" fontId="19" fillId="2" borderId="186" xfId="0" applyFont="1" applyFill="1" applyBorder="1" applyAlignment="1">
      <alignment horizontal="center" vertical="center"/>
    </xf>
    <xf numFmtId="0" fontId="20" fillId="2" borderId="185" xfId="0" applyFont="1" applyFill="1" applyBorder="1" applyAlignment="1">
      <alignment horizontal="center" vertical="center"/>
    </xf>
    <xf numFmtId="0" fontId="20" fillId="2" borderId="187" xfId="0" applyFont="1" applyFill="1" applyBorder="1" applyAlignment="1">
      <alignment horizontal="center" vertical="center"/>
    </xf>
    <xf numFmtId="0" fontId="20" fillId="2" borderId="175" xfId="0" applyFont="1" applyFill="1" applyBorder="1" applyAlignment="1">
      <alignment horizontal="center"/>
    </xf>
    <xf numFmtId="0" fontId="19" fillId="2" borderId="176" xfId="0" applyFont="1" applyFill="1" applyBorder="1" applyAlignment="1">
      <alignment horizontal="center"/>
    </xf>
    <xf numFmtId="0" fontId="20" fillId="0" borderId="179" xfId="0" applyFont="1" applyBorder="1" applyAlignment="1">
      <alignment horizontal="center" vertical="center"/>
    </xf>
    <xf numFmtId="0" fontId="19" fillId="0" borderId="189" xfId="0" applyFont="1" applyBorder="1" applyAlignment="1">
      <alignment horizontal="center"/>
    </xf>
    <xf numFmtId="0" fontId="19" fillId="0" borderId="190" xfId="0" applyFont="1" applyBorder="1" applyAlignment="1">
      <alignment horizontal="center"/>
    </xf>
    <xf numFmtId="0" fontId="19" fillId="0" borderId="191" xfId="0" applyFont="1" applyBorder="1" applyAlignment="1">
      <alignment horizontal="center"/>
    </xf>
    <xf numFmtId="0" fontId="19" fillId="0" borderId="192" xfId="0" applyFont="1" applyBorder="1" applyAlignment="1">
      <alignment horizontal="center"/>
    </xf>
    <xf numFmtId="0" fontId="19" fillId="0" borderId="193" xfId="0" applyFont="1" applyBorder="1" applyAlignment="1">
      <alignment horizontal="center"/>
    </xf>
    <xf numFmtId="0" fontId="20" fillId="2" borderId="179" xfId="0" applyFont="1" applyFill="1" applyBorder="1" applyAlignment="1">
      <alignment horizontal="center"/>
    </xf>
    <xf numFmtId="0" fontId="19" fillId="2" borderId="189" xfId="0" applyFont="1" applyFill="1" applyBorder="1" applyAlignment="1">
      <alignment horizontal="center"/>
    </xf>
    <xf numFmtId="0" fontId="19" fillId="2" borderId="190" xfId="0" applyFont="1" applyFill="1" applyBorder="1" applyAlignment="1">
      <alignment horizontal="center"/>
    </xf>
    <xf numFmtId="0" fontId="19" fillId="2" borderId="191" xfId="0" applyFont="1" applyFill="1" applyBorder="1" applyAlignment="1">
      <alignment horizontal="center"/>
    </xf>
    <xf numFmtId="0" fontId="19" fillId="2" borderId="192" xfId="0" applyFont="1" applyFill="1" applyBorder="1" applyAlignment="1">
      <alignment horizontal="center"/>
    </xf>
    <xf numFmtId="0" fontId="19" fillId="2" borderId="193" xfId="0" applyFont="1" applyFill="1" applyBorder="1" applyAlignment="1">
      <alignment horizontal="center"/>
    </xf>
    <xf numFmtId="0" fontId="19" fillId="0" borderId="190" xfId="0" applyFont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0" fontId="19" fillId="0" borderId="176" xfId="0" applyFont="1" applyBorder="1" applyAlignment="1">
      <alignment horizontal="center" vertical="center"/>
    </xf>
    <xf numFmtId="0" fontId="19" fillId="0" borderId="178" xfId="0" applyFont="1" applyBorder="1" applyAlignment="1">
      <alignment horizontal="center" vertical="center"/>
    </xf>
    <xf numFmtId="0" fontId="19" fillId="0" borderId="177" xfId="0" applyFont="1" applyBorder="1" applyAlignment="1">
      <alignment horizontal="center" vertical="center"/>
    </xf>
    <xf numFmtId="0" fontId="19" fillId="8" borderId="178" xfId="0" applyFont="1" applyFill="1" applyBorder="1" applyAlignment="1">
      <alignment horizontal="center" vertical="center"/>
    </xf>
    <xf numFmtId="0" fontId="19" fillId="8" borderId="177" xfId="0" applyFont="1" applyFill="1" applyBorder="1" applyAlignment="1">
      <alignment horizontal="center" vertical="center"/>
    </xf>
    <xf numFmtId="0" fontId="20" fillId="0" borderId="177" xfId="0" applyFont="1" applyBorder="1" applyAlignment="1">
      <alignment horizontal="center" vertical="center"/>
    </xf>
    <xf numFmtId="0" fontId="19" fillId="8" borderId="175" xfId="0" applyFont="1" applyFill="1" applyBorder="1" applyAlignment="1">
      <alignment horizontal="center" vertical="center"/>
    </xf>
    <xf numFmtId="0" fontId="19" fillId="0" borderId="179" xfId="0" applyFont="1" applyBorder="1" applyAlignment="1">
      <alignment horizontal="center" vertical="center"/>
    </xf>
    <xf numFmtId="0" fontId="19" fillId="0" borderId="175" xfId="0" applyFont="1" applyBorder="1" applyAlignment="1">
      <alignment horizontal="center" vertical="center"/>
    </xf>
    <xf numFmtId="0" fontId="19" fillId="0" borderId="183" xfId="0" applyFont="1" applyBorder="1" applyAlignment="1">
      <alignment horizontal="center"/>
    </xf>
    <xf numFmtId="0" fontId="19" fillId="0" borderId="184" xfId="0" applyFont="1" applyBorder="1" applyAlignment="1">
      <alignment horizontal="center"/>
    </xf>
    <xf numFmtId="0" fontId="19" fillId="0" borderId="185" xfId="0" applyFont="1" applyBorder="1" applyAlignment="1">
      <alignment horizontal="center"/>
    </xf>
    <xf numFmtId="0" fontId="19" fillId="0" borderId="186" xfId="0" applyFont="1" applyBorder="1" applyAlignment="1">
      <alignment horizontal="center"/>
    </xf>
    <xf numFmtId="0" fontId="19" fillId="0" borderId="187" xfId="0" applyFont="1" applyBorder="1" applyAlignment="1">
      <alignment horizontal="center"/>
    </xf>
    <xf numFmtId="0" fontId="19" fillId="0" borderId="183" xfId="0" applyFont="1" applyBorder="1" applyAlignment="1"/>
    <xf numFmtId="0" fontId="19" fillId="0" borderId="184" xfId="0" applyFont="1" applyBorder="1" applyAlignment="1"/>
    <xf numFmtId="0" fontId="19" fillId="0" borderId="185" xfId="0" applyFont="1" applyBorder="1" applyAlignment="1"/>
    <xf numFmtId="0" fontId="19" fillId="0" borderId="186" xfId="0" applyFont="1" applyBorder="1" applyAlignment="1"/>
    <xf numFmtId="0" fontId="19" fillId="0" borderId="187" xfId="0" applyFont="1" applyBorder="1" applyAlignment="1"/>
    <xf numFmtId="0" fontId="19" fillId="2" borderId="184" xfId="0" applyFont="1" applyFill="1" applyBorder="1" applyAlignment="1">
      <alignment horizontal="center" vertical="center"/>
    </xf>
    <xf numFmtId="0" fontId="19" fillId="2" borderId="159" xfId="0" applyFont="1" applyFill="1" applyBorder="1" applyAlignment="1">
      <alignment horizontal="center" vertical="center"/>
    </xf>
    <xf numFmtId="0" fontId="19" fillId="2" borderId="149" xfId="0" applyFont="1" applyFill="1" applyBorder="1" applyAlignment="1">
      <alignment horizontal="center" vertical="center"/>
    </xf>
    <xf numFmtId="0" fontId="20" fillId="2" borderId="149" xfId="0" applyFont="1" applyFill="1" applyBorder="1" applyAlignment="1">
      <alignment horizontal="center" vertical="center"/>
    </xf>
    <xf numFmtId="0" fontId="19" fillId="2" borderId="161" xfId="0" applyFont="1" applyFill="1" applyBorder="1" applyAlignment="1">
      <alignment horizontal="center" vertical="center"/>
    </xf>
    <xf numFmtId="0" fontId="20" fillId="2" borderId="153" xfId="0" applyFont="1" applyFill="1" applyBorder="1" applyAlignment="1">
      <alignment horizontal="center" vertical="center"/>
    </xf>
    <xf numFmtId="0" fontId="19" fillId="2" borderId="152" xfId="0" applyFont="1" applyFill="1" applyBorder="1" applyAlignment="1">
      <alignment horizontal="center" vertical="center"/>
    </xf>
    <xf numFmtId="0" fontId="20" fillId="2" borderId="161" xfId="0" applyFont="1" applyFill="1" applyBorder="1" applyAlignment="1">
      <alignment horizontal="center" vertical="center"/>
    </xf>
    <xf numFmtId="0" fontId="19" fillId="2" borderId="153" xfId="0" applyFont="1" applyFill="1" applyBorder="1" applyAlignment="1">
      <alignment horizontal="center" vertical="center"/>
    </xf>
    <xf numFmtId="0" fontId="19" fillId="0" borderId="191" xfId="0" applyFont="1" applyBorder="1" applyAlignment="1">
      <alignment horizontal="center" vertical="center"/>
    </xf>
    <xf numFmtId="0" fontId="19" fillId="8" borderId="176" xfId="0" applyFont="1" applyFill="1" applyBorder="1" applyAlignment="1">
      <alignment horizontal="center" vertical="center"/>
    </xf>
    <xf numFmtId="0" fontId="19" fillId="2" borderId="174" xfId="0" applyFont="1" applyFill="1" applyBorder="1" applyAlignment="1">
      <alignment horizontal="center" vertical="center"/>
    </xf>
    <xf numFmtId="0" fontId="19" fillId="2" borderId="173" xfId="0" applyFont="1" applyFill="1" applyBorder="1" applyAlignment="1">
      <alignment horizontal="center" vertical="center"/>
    </xf>
    <xf numFmtId="0" fontId="19" fillId="0" borderId="182" xfId="0" applyFont="1" applyBorder="1" applyAlignment="1">
      <alignment horizontal="center"/>
    </xf>
    <xf numFmtId="0" fontId="19" fillId="0" borderId="194" xfId="0" applyFont="1" applyBorder="1" applyAlignment="1">
      <alignment horizontal="center"/>
    </xf>
    <xf numFmtId="0" fontId="20" fillId="2" borderId="180" xfId="0" applyFont="1" applyFill="1" applyBorder="1" applyAlignment="1">
      <alignment horizontal="center"/>
    </xf>
    <xf numFmtId="0" fontId="19" fillId="2" borderId="181" xfId="0" applyFont="1" applyFill="1" applyBorder="1" applyAlignment="1">
      <alignment horizontal="center"/>
    </xf>
    <xf numFmtId="0" fontId="20" fillId="2" borderId="182" xfId="0" applyFont="1" applyFill="1" applyBorder="1" applyAlignment="1">
      <alignment horizontal="center" vertical="center"/>
    </xf>
    <xf numFmtId="0" fontId="19" fillId="2" borderId="194" xfId="0" applyFont="1" applyFill="1" applyBorder="1" applyAlignment="1">
      <alignment horizontal="center" vertical="center"/>
    </xf>
    <xf numFmtId="0" fontId="19" fillId="0" borderId="188" xfId="0" applyFont="1" applyBorder="1" applyAlignment="1">
      <alignment horizontal="center"/>
    </xf>
    <xf numFmtId="0" fontId="19" fillId="0" borderId="195" xfId="0" applyFont="1" applyBorder="1" applyAlignment="1">
      <alignment horizontal="center"/>
    </xf>
    <xf numFmtId="0" fontId="19" fillId="2" borderId="188" xfId="0" applyFont="1" applyFill="1" applyBorder="1" applyAlignment="1">
      <alignment horizontal="center"/>
    </xf>
    <xf numFmtId="0" fontId="19" fillId="0" borderId="180" xfId="0" applyFont="1" applyBorder="1" applyAlignment="1">
      <alignment horizontal="center" vertical="center"/>
    </xf>
    <xf numFmtId="0" fontId="19" fillId="0" borderId="181" xfId="0" applyFont="1" applyBorder="1" applyAlignment="1">
      <alignment horizontal="center" vertical="center"/>
    </xf>
    <xf numFmtId="0" fontId="20" fillId="0" borderId="180" xfId="0" applyFont="1" applyBorder="1" applyAlignment="1">
      <alignment horizontal="center" vertical="center"/>
    </xf>
    <xf numFmtId="0" fontId="19" fillId="8" borderId="181" xfId="0" applyFont="1" applyFill="1" applyBorder="1" applyAlignment="1">
      <alignment horizontal="center" vertical="center"/>
    </xf>
    <xf numFmtId="0" fontId="19" fillId="0" borderId="182" xfId="0" applyFont="1" applyBorder="1" applyAlignment="1"/>
    <xf numFmtId="0" fontId="19" fillId="0" borderId="194" xfId="0" applyFont="1" applyBorder="1" applyAlignment="1"/>
    <xf numFmtId="0" fontId="19" fillId="0" borderId="196" xfId="0" applyFont="1" applyBorder="1" applyAlignment="1">
      <alignment horizontal="center"/>
    </xf>
    <xf numFmtId="0" fontId="19" fillId="0" borderId="197" xfId="0" applyFont="1" applyBorder="1" applyAlignment="1">
      <alignment horizontal="center"/>
    </xf>
    <xf numFmtId="0" fontId="19" fillId="0" borderId="198" xfId="0" applyFont="1" applyBorder="1" applyAlignment="1">
      <alignment horizontal="center"/>
    </xf>
    <xf numFmtId="0" fontId="19" fillId="0" borderId="199" xfId="0" applyFont="1" applyBorder="1" applyAlignment="1">
      <alignment horizontal="center"/>
    </xf>
    <xf numFmtId="0" fontId="19" fillId="0" borderId="200" xfId="0" applyFont="1" applyBorder="1" applyAlignment="1">
      <alignment horizontal="center"/>
    </xf>
    <xf numFmtId="0" fontId="20" fillId="2" borderId="24" xfId="0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12" fillId="0" borderId="201" xfId="0" applyFont="1" applyBorder="1" applyAlignment="1">
      <alignment horizontal="center" vertical="center"/>
    </xf>
    <xf numFmtId="0" fontId="32" fillId="0" borderId="106" xfId="0" applyFont="1" applyBorder="1" applyAlignment="1">
      <alignment horizontal="center"/>
    </xf>
    <xf numFmtId="0" fontId="31" fillId="0" borderId="57" xfId="0" applyFont="1" applyBorder="1">
      <alignment vertical="center"/>
    </xf>
    <xf numFmtId="0" fontId="32" fillId="0" borderId="129" xfId="0" applyFont="1" applyBorder="1" applyAlignment="1">
      <alignment horizontal="center"/>
    </xf>
    <xf numFmtId="0" fontId="32" fillId="0" borderId="128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1" fillId="0" borderId="27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/>
    </xf>
    <xf numFmtId="0" fontId="31" fillId="8" borderId="8" xfId="0" applyFont="1" applyFill="1" applyBorder="1" applyAlignment="1">
      <alignment horizontal="center" vertical="center"/>
    </xf>
    <xf numFmtId="0" fontId="31" fillId="8" borderId="27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1" fillId="2" borderId="8" xfId="0" applyFont="1" applyFill="1" applyBorder="1" applyAlignment="1">
      <alignment horizontal="center"/>
    </xf>
    <xf numFmtId="0" fontId="31" fillId="2" borderId="203" xfId="0" applyFont="1" applyFill="1" applyBorder="1" applyAlignment="1">
      <alignment horizontal="center"/>
    </xf>
    <xf numFmtId="0" fontId="32" fillId="2" borderId="127" xfId="0" applyFont="1" applyFill="1" applyBorder="1" applyAlignment="1">
      <alignment horizontal="center"/>
    </xf>
    <xf numFmtId="0" fontId="32" fillId="2" borderId="202" xfId="0" applyFont="1" applyFill="1" applyBorder="1" applyAlignment="1">
      <alignment horizontal="center"/>
    </xf>
    <xf numFmtId="0" fontId="31" fillId="2" borderId="4" xfId="0" applyFont="1" applyFill="1" applyBorder="1" applyAlignment="1">
      <alignment horizontal="center"/>
    </xf>
    <xf numFmtId="0" fontId="31" fillId="2" borderId="3" xfId="0" applyFont="1" applyFill="1" applyBorder="1" applyAlignment="1">
      <alignment horizontal="center"/>
    </xf>
    <xf numFmtId="0" fontId="31" fillId="2" borderId="106" xfId="0" applyFont="1" applyFill="1" applyBorder="1" applyAlignment="1">
      <alignment horizontal="center"/>
    </xf>
    <xf numFmtId="0" fontId="32" fillId="0" borderId="4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7" borderId="3" xfId="0" applyFont="1" applyFill="1" applyBorder="1" applyAlignment="1">
      <alignment horizontal="center" vertical="center"/>
    </xf>
    <xf numFmtId="0" fontId="31" fillId="7" borderId="24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/>
    </xf>
    <xf numFmtId="0" fontId="32" fillId="4" borderId="3" xfId="0" applyFont="1" applyFill="1" applyBorder="1" applyAlignment="1">
      <alignment horizontal="center"/>
    </xf>
    <xf numFmtId="0" fontId="34" fillId="4" borderId="24" xfId="0" applyFont="1" applyFill="1" applyBorder="1" applyAlignment="1">
      <alignment horizontal="center"/>
    </xf>
    <xf numFmtId="0" fontId="32" fillId="4" borderId="4" xfId="0" applyFont="1" applyFill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4" fillId="13" borderId="24" xfId="0" applyFont="1" applyFill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20" fillId="2" borderId="27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/>
    </xf>
    <xf numFmtId="0" fontId="35" fillId="0" borderId="55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19" fillId="0" borderId="204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32" fillId="0" borderId="107" xfId="0" applyFont="1" applyBorder="1" applyAlignment="1">
      <alignment horizontal="center"/>
    </xf>
    <xf numFmtId="0" fontId="32" fillId="0" borderId="94" xfId="0" applyFont="1" applyBorder="1" applyAlignment="1">
      <alignment horizontal="center"/>
    </xf>
    <xf numFmtId="0" fontId="12" fillId="0" borderId="205" xfId="0" applyFont="1" applyBorder="1" applyAlignment="1">
      <alignment horizontal="center" vertical="center"/>
    </xf>
    <xf numFmtId="164" fontId="22" fillId="0" borderId="206" xfId="0" applyNumberFormat="1" applyFont="1" applyBorder="1" applyAlignment="1">
      <alignment horizontal="left" vertical="center"/>
    </xf>
    <xf numFmtId="164" fontId="14" fillId="0" borderId="207" xfId="0" applyNumberFormat="1" applyFont="1" applyBorder="1" applyAlignment="1">
      <alignment horizontal="left" vertical="center"/>
    </xf>
    <xf numFmtId="0" fontId="14" fillId="3" borderId="129" xfId="0" applyFont="1" applyFill="1" applyBorder="1" applyAlignment="1">
      <alignment horizontal="left" vertical="center"/>
    </xf>
    <xf numFmtId="0" fontId="14" fillId="0" borderId="70" xfId="0" applyFont="1" applyBorder="1" applyAlignment="1">
      <alignment horizontal="left" vertical="center"/>
    </xf>
    <xf numFmtId="0" fontId="14" fillId="3" borderId="70" xfId="0" applyFont="1" applyFill="1" applyBorder="1" applyAlignment="1">
      <alignment horizontal="left" vertical="center"/>
    </xf>
    <xf numFmtId="0" fontId="14" fillId="3" borderId="90" xfId="0" applyFont="1" applyFill="1" applyBorder="1" applyAlignment="1">
      <alignment horizontal="left" vertical="center"/>
    </xf>
    <xf numFmtId="0" fontId="20" fillId="14" borderId="115" xfId="0" applyFont="1" applyFill="1" applyBorder="1" applyAlignment="1">
      <alignment horizontal="center"/>
    </xf>
    <xf numFmtId="0" fontId="20" fillId="14" borderId="55" xfId="0" applyFont="1" applyFill="1" applyBorder="1" applyAlignment="1">
      <alignment horizontal="center"/>
    </xf>
    <xf numFmtId="0" fontId="30" fillId="14" borderId="56" xfId="0" applyFont="1" applyFill="1" applyBorder="1" applyAlignment="1">
      <alignment horizontal="center"/>
    </xf>
    <xf numFmtId="0" fontId="20" fillId="14" borderId="52" xfId="0" applyFont="1" applyFill="1" applyBorder="1" applyAlignment="1">
      <alignment horizontal="center"/>
    </xf>
    <xf numFmtId="0" fontId="35" fillId="14" borderId="55" xfId="0" applyFont="1" applyFill="1" applyBorder="1" applyAlignment="1">
      <alignment horizontal="center"/>
    </xf>
    <xf numFmtId="0" fontId="20" fillId="14" borderId="56" xfId="0" applyFont="1" applyFill="1" applyBorder="1" applyAlignment="1">
      <alignment horizontal="center"/>
    </xf>
    <xf numFmtId="0" fontId="30" fillId="0" borderId="55" xfId="0" applyFont="1" applyBorder="1" applyAlignment="1">
      <alignment horizontal="center"/>
    </xf>
    <xf numFmtId="0" fontId="19" fillId="14" borderId="14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0" fontId="19" fillId="14" borderId="24" xfId="0" applyFont="1" applyFill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/>
    </xf>
    <xf numFmtId="0" fontId="19" fillId="2" borderId="126" xfId="0" applyFont="1" applyFill="1" applyBorder="1" applyAlignment="1">
      <alignment horizontal="center"/>
    </xf>
    <xf numFmtId="0" fontId="20" fillId="2" borderId="126" xfId="0" applyFont="1" applyFill="1" applyBorder="1" applyAlignment="1">
      <alignment horizontal="center" vertical="center"/>
    </xf>
    <xf numFmtId="0" fontId="19" fillId="16" borderId="27" xfId="0" applyFont="1" applyFill="1" applyBorder="1" applyAlignment="1">
      <alignment horizontal="center" vertical="center"/>
    </xf>
    <xf numFmtId="0" fontId="19" fillId="16" borderId="8" xfId="0" applyFont="1" applyFill="1" applyBorder="1" applyAlignment="1">
      <alignment horizontal="center" vertical="center"/>
    </xf>
    <xf numFmtId="0" fontId="20" fillId="2" borderId="209" xfId="0" applyFont="1" applyFill="1" applyBorder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0" fontId="32" fillId="2" borderId="203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19" fillId="0" borderId="210" xfId="0" applyFont="1" applyBorder="1" applyAlignment="1">
      <alignment horizontal="center"/>
    </xf>
    <xf numFmtId="0" fontId="19" fillId="0" borderId="211" xfId="0" applyFont="1" applyBorder="1" applyAlignment="1">
      <alignment horizontal="center"/>
    </xf>
    <xf numFmtId="0" fontId="31" fillId="0" borderId="212" xfId="0" applyFont="1" applyBorder="1" applyAlignment="1">
      <alignment horizontal="center"/>
    </xf>
    <xf numFmtId="0" fontId="31" fillId="0" borderId="103" xfId="0" applyFont="1" applyBorder="1" applyAlignment="1">
      <alignment horizontal="center"/>
    </xf>
    <xf numFmtId="0" fontId="31" fillId="0" borderId="20" xfId="0" applyFont="1" applyBorder="1" applyAlignment="1">
      <alignment horizontal="center"/>
    </xf>
    <xf numFmtId="0" fontId="20" fillId="2" borderId="103" xfId="0" applyFont="1" applyFill="1" applyBorder="1" applyAlignment="1">
      <alignment horizontal="center"/>
    </xf>
    <xf numFmtId="0" fontId="31" fillId="2" borderId="21" xfId="0" applyFont="1" applyFill="1" applyBorder="1" applyAlignment="1">
      <alignment horizontal="center"/>
    </xf>
    <xf numFmtId="0" fontId="32" fillId="0" borderId="213" xfId="0" applyFont="1" applyBorder="1" applyAlignment="1">
      <alignment horizontal="center"/>
    </xf>
    <xf numFmtId="0" fontId="32" fillId="2" borderId="20" xfId="0" applyFont="1" applyFill="1" applyBorder="1" applyAlignment="1">
      <alignment horizontal="center"/>
    </xf>
    <xf numFmtId="0" fontId="20" fillId="2" borderId="126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0" fontId="31" fillId="2" borderId="214" xfId="0" applyFont="1" applyFill="1" applyBorder="1" applyAlignment="1">
      <alignment horizontal="center"/>
    </xf>
    <xf numFmtId="0" fontId="31" fillId="2" borderId="215" xfId="0" applyFont="1" applyFill="1" applyBorder="1" applyAlignment="1">
      <alignment horizontal="center"/>
    </xf>
    <xf numFmtId="0" fontId="20" fillId="0" borderId="210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2" fillId="0" borderId="103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0" fontId="19" fillId="0" borderId="121" xfId="0" applyFont="1" applyBorder="1" applyAlignment="1">
      <alignment horizontal="center"/>
    </xf>
    <xf numFmtId="0" fontId="19" fillId="0" borderId="122" xfId="0" applyFont="1" applyBorder="1" applyAlignment="1">
      <alignment horizontal="center"/>
    </xf>
    <xf numFmtId="0" fontId="19" fillId="0" borderId="216" xfId="0" applyFont="1" applyBorder="1" applyAlignment="1">
      <alignment horizontal="center"/>
    </xf>
    <xf numFmtId="0" fontId="19" fillId="0" borderId="217" xfId="0" applyFont="1" applyBorder="1" applyAlignment="1">
      <alignment horizontal="center"/>
    </xf>
    <xf numFmtId="0" fontId="31" fillId="0" borderId="122" xfId="0" applyFont="1" applyBorder="1" applyAlignment="1">
      <alignment horizontal="center"/>
    </xf>
    <xf numFmtId="0" fontId="31" fillId="0" borderId="30" xfId="0" applyFont="1" applyBorder="1" applyAlignment="1">
      <alignment horizontal="center"/>
    </xf>
    <xf numFmtId="0" fontId="32" fillId="0" borderId="121" xfId="0" applyFont="1" applyBorder="1" applyAlignment="1">
      <alignment horizontal="center"/>
    </xf>
    <xf numFmtId="0" fontId="32" fillId="0" borderId="122" xfId="0" applyFont="1" applyBorder="1" applyAlignment="1">
      <alignment horizontal="center"/>
    </xf>
    <xf numFmtId="0" fontId="20" fillId="2" borderId="210" xfId="0" applyFont="1" applyFill="1" applyBorder="1" applyAlignment="1">
      <alignment horizontal="center" vertical="center"/>
    </xf>
    <xf numFmtId="0" fontId="19" fillId="16" borderId="103" xfId="0" applyFont="1" applyFill="1" applyBorder="1" applyAlignment="1">
      <alignment horizontal="center" vertical="center"/>
    </xf>
    <xf numFmtId="0" fontId="19" fillId="16" borderId="20" xfId="0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center" vertical="center"/>
    </xf>
    <xf numFmtId="0" fontId="19" fillId="2" borderId="10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/>
    </xf>
    <xf numFmtId="0" fontId="32" fillId="2" borderId="213" xfId="0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/>
    </xf>
    <xf numFmtId="0" fontId="19" fillId="16" borderId="218" xfId="0" applyFont="1" applyFill="1" applyBorder="1" applyAlignment="1">
      <alignment horizontal="center" vertical="center"/>
    </xf>
    <xf numFmtId="0" fontId="12" fillId="0" borderId="219" xfId="0" applyFont="1" applyBorder="1" applyAlignment="1">
      <alignment horizontal="center" vertical="center"/>
    </xf>
    <xf numFmtId="0" fontId="12" fillId="0" borderId="220" xfId="0" applyFont="1" applyBorder="1" applyAlignment="1">
      <alignment horizontal="center" vertical="center"/>
    </xf>
    <xf numFmtId="0" fontId="32" fillId="0" borderId="221" xfId="0" applyFont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19" fillId="0" borderId="222" xfId="0" applyFont="1" applyBorder="1" applyAlignment="1"/>
    <xf numFmtId="0" fontId="20" fillId="0" borderId="223" xfId="0" applyFont="1" applyBorder="1" applyAlignment="1">
      <alignment horizontal="center"/>
    </xf>
    <xf numFmtId="0" fontId="19" fillId="0" borderId="123" xfId="0" applyFont="1" applyBorder="1" applyAlignment="1"/>
    <xf numFmtId="0" fontId="19" fillId="0" borderId="124" xfId="0" applyFont="1" applyBorder="1" applyAlignment="1"/>
    <xf numFmtId="0" fontId="32" fillId="0" borderId="125" xfId="0" applyFont="1" applyBorder="1" applyAlignment="1">
      <alignment horizontal="center"/>
    </xf>
    <xf numFmtId="0" fontId="32" fillId="0" borderId="130" xfId="0" applyFont="1" applyBorder="1" applyAlignment="1">
      <alignment horizontal="center"/>
    </xf>
    <xf numFmtId="0" fontId="31" fillId="0" borderId="108" xfId="0" applyFont="1" applyBorder="1" applyAlignment="1"/>
    <xf numFmtId="0" fontId="32" fillId="0" borderId="108" xfId="0" applyFont="1" applyBorder="1" applyAlignment="1">
      <alignment horizontal="center"/>
    </xf>
    <xf numFmtId="0" fontId="32" fillId="0" borderId="30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1" fillId="17" borderId="3" xfId="0" applyFont="1" applyFill="1" applyBorder="1" applyAlignment="1">
      <alignment horizontal="center"/>
    </xf>
    <xf numFmtId="0" fontId="31" fillId="17" borderId="20" xfId="0" applyFont="1" applyFill="1" applyBorder="1" applyAlignment="1">
      <alignment horizontal="center"/>
    </xf>
    <xf numFmtId="0" fontId="31" fillId="17" borderId="8" xfId="0" applyFont="1" applyFill="1" applyBorder="1" applyAlignment="1">
      <alignment horizontal="center" vertical="center"/>
    </xf>
    <xf numFmtId="0" fontId="32" fillId="17" borderId="3" xfId="0" applyFont="1" applyFill="1" applyBorder="1" applyAlignment="1">
      <alignment horizontal="center"/>
    </xf>
    <xf numFmtId="0" fontId="19" fillId="0" borderId="223" xfId="0" applyFont="1" applyBorder="1" applyAlignment="1">
      <alignment horizontal="center"/>
    </xf>
    <xf numFmtId="0" fontId="19" fillId="0" borderId="125" xfId="0" applyFont="1" applyBorder="1" applyAlignment="1">
      <alignment horizontal="center"/>
    </xf>
    <xf numFmtId="0" fontId="19" fillId="2" borderId="224" xfId="0" applyFont="1" applyFill="1" applyBorder="1" applyAlignment="1">
      <alignment horizontal="center"/>
    </xf>
    <xf numFmtId="0" fontId="19" fillId="2" borderId="225" xfId="0" applyFont="1" applyFill="1" applyBorder="1" applyAlignment="1">
      <alignment horizontal="center"/>
    </xf>
    <xf numFmtId="0" fontId="20" fillId="15" borderId="100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38" fillId="0" borderId="46" xfId="0" applyFont="1" applyBorder="1" applyAlignment="1">
      <alignment horizontal="center" vertical="center"/>
    </xf>
    <xf numFmtId="0" fontId="20" fillId="4" borderId="108" xfId="0" applyFont="1" applyFill="1" applyBorder="1" applyAlignment="1">
      <alignment horizontal="center"/>
    </xf>
    <xf numFmtId="0" fontId="20" fillId="0" borderId="108" xfId="0" applyFont="1" applyBorder="1" applyAlignment="1">
      <alignment horizontal="center"/>
    </xf>
    <xf numFmtId="0" fontId="20" fillId="4" borderId="32" xfId="0" applyFont="1" applyFill="1" applyBorder="1" applyAlignment="1">
      <alignment horizontal="center"/>
    </xf>
    <xf numFmtId="0" fontId="20" fillId="4" borderId="20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37" fillId="16" borderId="46" xfId="0" applyFont="1" applyFill="1" applyBorder="1" applyAlignment="1">
      <alignment horizontal="center" vertical="center"/>
    </xf>
    <xf numFmtId="0" fontId="21" fillId="18" borderId="58" xfId="0" applyFont="1" applyFill="1" applyBorder="1" applyAlignment="1">
      <alignment horizontal="center"/>
    </xf>
    <xf numFmtId="0" fontId="32" fillId="0" borderId="20" xfId="0" applyFont="1" applyBorder="1" applyAlignment="1">
      <alignment horizontal="center" vertical="center"/>
    </xf>
    <xf numFmtId="0" fontId="40" fillId="4" borderId="46" xfId="0" applyFont="1" applyFill="1" applyBorder="1" applyAlignment="1">
      <alignment horizontal="center" vertical="center"/>
    </xf>
    <xf numFmtId="0" fontId="19" fillId="9" borderId="227" xfId="0" applyFont="1" applyFill="1" applyBorder="1" applyAlignment="1">
      <alignment horizontal="center"/>
    </xf>
    <xf numFmtId="0" fontId="19" fillId="9" borderId="228" xfId="0" applyFont="1" applyFill="1" applyBorder="1" applyAlignment="1">
      <alignment horizontal="center"/>
    </xf>
    <xf numFmtId="0" fontId="20" fillId="2" borderId="229" xfId="0" applyFont="1" applyFill="1" applyBorder="1" applyAlignment="1">
      <alignment horizontal="center"/>
    </xf>
    <xf numFmtId="0" fontId="31" fillId="9" borderId="227" xfId="0" applyFont="1" applyFill="1" applyBorder="1" applyAlignment="1">
      <alignment horizontal="center"/>
    </xf>
    <xf numFmtId="0" fontId="32" fillId="2" borderId="231" xfId="0" applyFont="1" applyFill="1" applyBorder="1" applyAlignment="1">
      <alignment horizontal="center"/>
    </xf>
    <xf numFmtId="0" fontId="20" fillId="2" borderId="231" xfId="0" applyFont="1" applyFill="1" applyBorder="1" applyAlignment="1">
      <alignment horizontal="center"/>
    </xf>
    <xf numFmtId="0" fontId="19" fillId="0" borderId="232" xfId="0" applyFont="1" applyBorder="1" applyAlignment="1">
      <alignment horizontal="center"/>
    </xf>
    <xf numFmtId="0" fontId="19" fillId="9" borderId="233" xfId="0" applyFont="1" applyFill="1" applyBorder="1" applyAlignment="1">
      <alignment horizontal="center"/>
    </xf>
    <xf numFmtId="0" fontId="31" fillId="0" borderId="40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2" borderId="234" xfId="0" applyFont="1" applyFill="1" applyBorder="1" applyAlignment="1">
      <alignment horizontal="center"/>
    </xf>
    <xf numFmtId="0" fontId="19" fillId="0" borderId="226" xfId="0" applyFont="1" applyBorder="1" applyAlignment="1">
      <alignment horizontal="center"/>
    </xf>
    <xf numFmtId="0" fontId="19" fillId="0" borderId="227" xfId="0" applyFont="1" applyBorder="1" applyAlignment="1">
      <alignment horizontal="center"/>
    </xf>
    <xf numFmtId="0" fontId="30" fillId="0" borderId="227" xfId="0" applyFont="1" applyBorder="1" applyAlignment="1">
      <alignment horizontal="center"/>
    </xf>
    <xf numFmtId="0" fontId="20" fillId="0" borderId="227" xfId="0" applyFont="1" applyBorder="1" applyAlignment="1">
      <alignment horizontal="center"/>
    </xf>
    <xf numFmtId="0" fontId="19" fillId="9" borderId="230" xfId="0" applyFont="1" applyFill="1" applyBorder="1" applyAlignment="1">
      <alignment horizontal="center"/>
    </xf>
    <xf numFmtId="0" fontId="19" fillId="9" borderId="231" xfId="0" applyFont="1" applyFill="1" applyBorder="1" applyAlignment="1">
      <alignment horizontal="center"/>
    </xf>
    <xf numFmtId="0" fontId="30" fillId="9" borderId="231" xfId="0" applyFont="1" applyFill="1" applyBorder="1" applyAlignment="1">
      <alignment horizontal="center"/>
    </xf>
    <xf numFmtId="0" fontId="20" fillId="9" borderId="231" xfId="0" applyFont="1" applyFill="1" applyBorder="1" applyAlignment="1">
      <alignment horizontal="center"/>
    </xf>
    <xf numFmtId="0" fontId="32" fillId="0" borderId="228" xfId="0" applyFont="1" applyBorder="1" applyAlignment="1">
      <alignment horizontal="center"/>
    </xf>
    <xf numFmtId="0" fontId="32" fillId="9" borderId="229" xfId="0" applyFont="1" applyFill="1" applyBorder="1" applyAlignment="1">
      <alignment horizontal="center"/>
    </xf>
    <xf numFmtId="0" fontId="19" fillId="0" borderId="235" xfId="0" applyFont="1" applyBorder="1" applyAlignment="1">
      <alignment horizontal="center"/>
    </xf>
    <xf numFmtId="0" fontId="19" fillId="9" borderId="236" xfId="0" applyFont="1" applyFill="1" applyBorder="1" applyAlignment="1">
      <alignment horizontal="center"/>
    </xf>
    <xf numFmtId="0" fontId="31" fillId="9" borderId="233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2" fillId="0" borderId="237" xfId="0" applyFont="1" applyBorder="1" applyAlignment="1">
      <alignment horizontal="center" vertical="center"/>
    </xf>
    <xf numFmtId="0" fontId="20" fillId="9" borderId="238" xfId="0" applyFont="1" applyFill="1" applyBorder="1" applyAlignment="1">
      <alignment horizontal="center"/>
    </xf>
    <xf numFmtId="0" fontId="12" fillId="0" borderId="239" xfId="0" applyFont="1" applyBorder="1" applyAlignment="1">
      <alignment horizontal="center" vertical="center"/>
    </xf>
    <xf numFmtId="0" fontId="14" fillId="10" borderId="240" xfId="0" applyFont="1" applyFill="1" applyBorder="1" applyAlignment="1">
      <alignment horizontal="left" vertical="center"/>
    </xf>
    <xf numFmtId="0" fontId="12" fillId="0" borderId="241" xfId="0" applyFont="1" applyBorder="1" applyAlignment="1">
      <alignment horizontal="center" vertical="center"/>
    </xf>
    <xf numFmtId="0" fontId="12" fillId="0" borderId="242" xfId="0" applyFont="1" applyBorder="1" applyAlignment="1">
      <alignment horizontal="center" vertical="center"/>
    </xf>
    <xf numFmtId="0" fontId="14" fillId="10" borderId="243" xfId="0" applyFont="1" applyFill="1" applyBorder="1" applyAlignment="1">
      <alignment horizontal="left" vertical="center"/>
    </xf>
    <xf numFmtId="0" fontId="12" fillId="0" borderId="244" xfId="0" applyFont="1" applyBorder="1" applyAlignment="1">
      <alignment horizontal="center" vertical="center"/>
    </xf>
    <xf numFmtId="0" fontId="14" fillId="10" borderId="245" xfId="0" applyFont="1" applyFill="1" applyBorder="1" applyAlignment="1">
      <alignment horizontal="left" vertical="center"/>
    </xf>
    <xf numFmtId="0" fontId="12" fillId="0" borderId="231" xfId="0" applyFont="1" applyBorder="1" applyAlignment="1">
      <alignment horizontal="center" vertical="center"/>
    </xf>
    <xf numFmtId="0" fontId="10" fillId="0" borderId="24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/>
    </xf>
    <xf numFmtId="0" fontId="20" fillId="9" borderId="246" xfId="0" applyFont="1" applyFill="1" applyBorder="1" applyAlignment="1">
      <alignment horizontal="center"/>
    </xf>
    <xf numFmtId="0" fontId="31" fillId="16" borderId="20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12" fillId="0" borderId="248" xfId="0" applyFont="1" applyBorder="1" applyAlignment="1">
      <alignment horizontal="center" vertical="center"/>
    </xf>
    <xf numFmtId="0" fontId="19" fillId="2" borderId="249" xfId="0" applyFont="1" applyFill="1" applyBorder="1" applyAlignment="1">
      <alignment horizontal="center"/>
    </xf>
    <xf numFmtId="0" fontId="20" fillId="2" borderId="250" xfId="0" applyFont="1" applyFill="1" applyBorder="1" applyAlignment="1">
      <alignment horizontal="center"/>
    </xf>
    <xf numFmtId="0" fontId="19" fillId="2" borderId="251" xfId="0" applyFont="1" applyFill="1" applyBorder="1" applyAlignment="1">
      <alignment horizontal="center"/>
    </xf>
    <xf numFmtId="0" fontId="39" fillId="0" borderId="252" xfId="0" applyFont="1" applyBorder="1" applyAlignment="1">
      <alignment horizontal="center" vertical="center"/>
    </xf>
    <xf numFmtId="0" fontId="20" fillId="2" borderId="249" xfId="0" applyFont="1" applyFill="1" applyBorder="1" applyAlignment="1">
      <alignment horizontal="center"/>
    </xf>
    <xf numFmtId="0" fontId="19" fillId="0" borderId="249" xfId="0" applyFont="1" applyBorder="1" applyAlignment="1">
      <alignment horizontal="center"/>
    </xf>
    <xf numFmtId="0" fontId="19" fillId="0" borderId="250" xfId="0" applyFont="1" applyBorder="1" applyAlignment="1">
      <alignment horizontal="center"/>
    </xf>
    <xf numFmtId="0" fontId="20" fillId="2" borderId="250" xfId="0" applyFont="1" applyFill="1" applyBorder="1" applyAlignment="1">
      <alignment horizontal="center" vertical="center"/>
    </xf>
    <xf numFmtId="0" fontId="20" fillId="2" borderId="251" xfId="0" applyFont="1" applyFill="1" applyBorder="1" applyAlignment="1">
      <alignment horizontal="center"/>
    </xf>
    <xf numFmtId="0" fontId="39" fillId="0" borderId="3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/>
    </xf>
    <xf numFmtId="0" fontId="20" fillId="18" borderId="12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/>
    </xf>
    <xf numFmtId="0" fontId="14" fillId="10" borderId="261" xfId="0" applyFont="1" applyFill="1" applyBorder="1" applyAlignment="1">
      <alignment horizontal="left" vertical="center"/>
    </xf>
    <xf numFmtId="0" fontId="12" fillId="0" borderId="262" xfId="0" applyFont="1" applyBorder="1" applyAlignment="1">
      <alignment horizontal="center" vertical="center"/>
    </xf>
    <xf numFmtId="0" fontId="12" fillId="0" borderId="263" xfId="0" applyFont="1" applyBorder="1" applyAlignment="1">
      <alignment horizontal="center" vertical="center"/>
    </xf>
    <xf numFmtId="0" fontId="19" fillId="2" borderId="264" xfId="0" applyFont="1" applyFill="1" applyBorder="1" applyAlignment="1">
      <alignment horizontal="center"/>
    </xf>
    <xf numFmtId="0" fontId="20" fillId="2" borderId="215" xfId="0" applyFont="1" applyFill="1" applyBorder="1" applyAlignment="1">
      <alignment horizontal="center"/>
    </xf>
    <xf numFmtId="0" fontId="20" fillId="2" borderId="265" xfId="0" applyFont="1" applyFill="1" applyBorder="1" applyAlignment="1">
      <alignment horizontal="center"/>
    </xf>
    <xf numFmtId="0" fontId="19" fillId="2" borderId="215" xfId="0" applyFont="1" applyFill="1" applyBorder="1" applyAlignment="1">
      <alignment horizontal="center"/>
    </xf>
    <xf numFmtId="0" fontId="20" fillId="0" borderId="266" xfId="0" applyFont="1" applyBorder="1" applyAlignment="1">
      <alignment horizontal="center" vertical="center"/>
    </xf>
    <xf numFmtId="0" fontId="19" fillId="2" borderId="266" xfId="0" applyFont="1" applyFill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9" fillId="2" borderId="121" xfId="0" applyFont="1" applyFill="1" applyBorder="1" applyAlignment="1">
      <alignment horizontal="center"/>
    </xf>
    <xf numFmtId="0" fontId="19" fillId="2" borderId="122" xfId="0" applyFont="1" applyFill="1" applyBorder="1" applyAlignment="1">
      <alignment horizontal="center"/>
    </xf>
    <xf numFmtId="0" fontId="19" fillId="2" borderId="216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19" fillId="0" borderId="122" xfId="0" applyFont="1" applyBorder="1" applyAlignment="1">
      <alignment horizontal="center" vertical="center"/>
    </xf>
    <xf numFmtId="0" fontId="20" fillId="2" borderId="266" xfId="0" applyFont="1" applyFill="1" applyBorder="1" applyAlignment="1">
      <alignment horizontal="center"/>
    </xf>
    <xf numFmtId="0" fontId="19" fillId="8" borderId="215" xfId="0" applyFont="1" applyFill="1" applyBorder="1" applyAlignment="1">
      <alignment horizontal="center" vertical="center"/>
    </xf>
    <xf numFmtId="0" fontId="20" fillId="0" borderId="215" xfId="0" applyFont="1" applyBorder="1" applyAlignment="1">
      <alignment horizontal="center" vertical="center"/>
    </xf>
    <xf numFmtId="0" fontId="19" fillId="0" borderId="265" xfId="0" applyFont="1" applyBorder="1" applyAlignment="1">
      <alignment horizontal="center" vertical="center"/>
    </xf>
    <xf numFmtId="0" fontId="19" fillId="0" borderId="215" xfId="0" applyFont="1" applyBorder="1" applyAlignment="1">
      <alignment horizontal="center" vertical="center"/>
    </xf>
    <xf numFmtId="0" fontId="19" fillId="0" borderId="264" xfId="0" applyFont="1" applyBorder="1" applyAlignment="1">
      <alignment horizontal="center" vertical="center"/>
    </xf>
    <xf numFmtId="0" fontId="19" fillId="8" borderId="264" xfId="0" applyFont="1" applyFill="1" applyBorder="1" applyAlignment="1">
      <alignment horizontal="center" vertical="center"/>
    </xf>
    <xf numFmtId="0" fontId="20" fillId="0" borderId="265" xfId="0" applyFont="1" applyBorder="1" applyAlignment="1">
      <alignment horizontal="center" vertical="center"/>
    </xf>
    <xf numFmtId="0" fontId="19" fillId="0" borderId="266" xfId="0" applyFont="1" applyBorder="1" applyAlignment="1">
      <alignment horizontal="center" vertical="center"/>
    </xf>
    <xf numFmtId="0" fontId="19" fillId="8" borderId="266" xfId="0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/>
    </xf>
    <xf numFmtId="0" fontId="19" fillId="0" borderId="215" xfId="0" applyFont="1" applyBorder="1" applyAlignment="1">
      <alignment horizontal="center"/>
    </xf>
    <xf numFmtId="0" fontId="20" fillId="0" borderId="121" xfId="0" applyFont="1" applyBorder="1" applyAlignment="1">
      <alignment horizontal="center"/>
    </xf>
    <xf numFmtId="0" fontId="21" fillId="4" borderId="116" xfId="0" applyFont="1" applyFill="1" applyBorder="1" applyAlignment="1">
      <alignment horizontal="center"/>
    </xf>
    <xf numFmtId="0" fontId="21" fillId="4" borderId="117" xfId="0" applyFont="1" applyFill="1" applyBorder="1" applyAlignment="1">
      <alignment horizontal="center"/>
    </xf>
    <xf numFmtId="0" fontId="20" fillId="4" borderId="117" xfId="0" applyFont="1" applyFill="1" applyBorder="1" applyAlignment="1">
      <alignment horizontal="center"/>
    </xf>
    <xf numFmtId="0" fontId="20" fillId="4" borderId="118" xfId="0" applyFont="1" applyFill="1" applyBorder="1" applyAlignment="1">
      <alignment horizontal="center"/>
    </xf>
    <xf numFmtId="0" fontId="20" fillId="4" borderId="120" xfId="0" applyFont="1" applyFill="1" applyBorder="1" applyAlignment="1">
      <alignment horizontal="center"/>
    </xf>
    <xf numFmtId="0" fontId="21" fillId="4" borderId="118" xfId="0" applyFont="1" applyFill="1" applyBorder="1" applyAlignment="1">
      <alignment horizontal="center"/>
    </xf>
    <xf numFmtId="0" fontId="19" fillId="7" borderId="27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19" fillId="7" borderId="28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9" fillId="2" borderId="265" xfId="0" applyFont="1" applyFill="1" applyBorder="1" applyAlignment="1">
      <alignment horizontal="center"/>
    </xf>
    <xf numFmtId="0" fontId="19" fillId="8" borderId="265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/>
    </xf>
    <xf numFmtId="0" fontId="20" fillId="0" borderId="122" xfId="0" applyFont="1" applyBorder="1" applyAlignment="1">
      <alignment horizontal="center"/>
    </xf>
    <xf numFmtId="0" fontId="20" fillId="18" borderId="20" xfId="0" applyFont="1" applyFill="1" applyBorder="1" applyAlignment="1">
      <alignment horizontal="center" vertical="center"/>
    </xf>
    <xf numFmtId="0" fontId="19" fillId="0" borderId="210" xfId="0" applyFont="1" applyBorder="1" applyAlignment="1"/>
    <xf numFmtId="0" fontId="19" fillId="7" borderId="126" xfId="0" applyFont="1" applyFill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0" fontId="21" fillId="0" borderId="269" xfId="0" applyFont="1" applyBorder="1" applyAlignment="1">
      <alignment horizontal="center"/>
    </xf>
    <xf numFmtId="0" fontId="21" fillId="0" borderId="270" xfId="0" applyFont="1" applyBorder="1" applyAlignment="1">
      <alignment horizontal="center"/>
    </xf>
    <xf numFmtId="0" fontId="19" fillId="7" borderId="269" xfId="0" applyFont="1" applyFill="1" applyBorder="1" applyAlignment="1">
      <alignment horizontal="center" vertical="center"/>
    </xf>
    <xf numFmtId="0" fontId="19" fillId="7" borderId="270" xfId="0" applyFont="1" applyFill="1" applyBorder="1" applyAlignment="1">
      <alignment horizontal="center" vertical="center"/>
    </xf>
    <xf numFmtId="0" fontId="19" fillId="0" borderId="273" xfId="0" applyFont="1" applyBorder="1" applyAlignment="1">
      <alignment horizontal="center"/>
    </xf>
    <xf numFmtId="0" fontId="19" fillId="0" borderId="274" xfId="0" applyFont="1" applyBorder="1" applyAlignment="1">
      <alignment horizontal="center"/>
    </xf>
    <xf numFmtId="0" fontId="19" fillId="0" borderId="271" xfId="0" applyFont="1" applyBorder="1" applyAlignment="1">
      <alignment horizontal="center"/>
    </xf>
    <xf numFmtId="0" fontId="19" fillId="0" borderId="272" xfId="0" applyFont="1" applyBorder="1" applyAlignment="1">
      <alignment horizontal="center"/>
    </xf>
    <xf numFmtId="0" fontId="19" fillId="16" borderId="275" xfId="0" applyFont="1" applyFill="1" applyBorder="1" applyAlignment="1">
      <alignment horizontal="center" vertical="center"/>
    </xf>
    <xf numFmtId="0" fontId="19" fillId="16" borderId="276" xfId="0" applyFont="1" applyFill="1" applyBorder="1" applyAlignment="1">
      <alignment horizontal="center" vertical="center"/>
    </xf>
    <xf numFmtId="0" fontId="20" fillId="2" borderId="121" xfId="0" applyFont="1" applyFill="1" applyBorder="1" applyAlignment="1">
      <alignment horizontal="center" vertical="center"/>
    </xf>
    <xf numFmtId="0" fontId="19" fillId="0" borderId="66" xfId="0" applyFont="1" applyBorder="1" applyAlignment="1">
      <alignment horizontal="center"/>
    </xf>
    <xf numFmtId="0" fontId="20" fillId="4" borderId="278" xfId="0" applyFont="1" applyFill="1" applyBorder="1" applyAlignment="1">
      <alignment horizontal="center"/>
    </xf>
    <xf numFmtId="0" fontId="21" fillId="4" borderId="119" xfId="0" applyFont="1" applyFill="1" applyBorder="1" applyAlignment="1">
      <alignment horizontal="center"/>
    </xf>
    <xf numFmtId="0" fontId="21" fillId="4" borderId="120" xfId="0" applyFont="1" applyFill="1" applyBorder="1" applyAlignment="1">
      <alignment horizontal="center"/>
    </xf>
    <xf numFmtId="0" fontId="21" fillId="4" borderId="279" xfId="0" applyFont="1" applyFill="1" applyBorder="1" applyAlignment="1">
      <alignment horizontal="center"/>
    </xf>
    <xf numFmtId="0" fontId="21" fillId="4" borderId="280" xfId="0" applyFont="1" applyFill="1" applyBorder="1" applyAlignment="1">
      <alignment horizontal="center"/>
    </xf>
    <xf numFmtId="0" fontId="19" fillId="2" borderId="281" xfId="0" applyFont="1" applyFill="1" applyBorder="1" applyAlignment="1">
      <alignment horizontal="center"/>
    </xf>
    <xf numFmtId="0" fontId="19" fillId="2" borderId="282" xfId="0" applyFont="1" applyFill="1" applyBorder="1" applyAlignment="1">
      <alignment horizontal="center"/>
    </xf>
    <xf numFmtId="0" fontId="20" fillId="0" borderId="281" xfId="0" applyFont="1" applyBorder="1" applyAlignment="1">
      <alignment horizontal="center" vertical="center"/>
    </xf>
    <xf numFmtId="0" fontId="20" fillId="2" borderId="281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left" vertical="center"/>
    </xf>
    <xf numFmtId="0" fontId="19" fillId="2" borderId="76" xfId="0" applyFont="1" applyFill="1" applyBorder="1" applyAlignment="1">
      <alignment horizontal="center"/>
    </xf>
    <xf numFmtId="0" fontId="20" fillId="2" borderId="121" xfId="0" applyFont="1" applyFill="1" applyBorder="1" applyAlignment="1">
      <alignment horizontal="center"/>
    </xf>
    <xf numFmtId="0" fontId="20" fillId="0" borderId="122" xfId="0" applyFont="1" applyBorder="1" applyAlignment="1">
      <alignment horizontal="center" vertical="center"/>
    </xf>
    <xf numFmtId="0" fontId="20" fillId="2" borderId="122" xfId="0" applyFont="1" applyFill="1" applyBorder="1" applyAlignment="1">
      <alignment horizontal="center"/>
    </xf>
    <xf numFmtId="0" fontId="19" fillId="2" borderId="217" xfId="0" applyFont="1" applyFill="1" applyBorder="1" applyAlignment="1">
      <alignment horizontal="center"/>
    </xf>
    <xf numFmtId="0" fontId="19" fillId="0" borderId="216" xfId="0" applyFont="1" applyBorder="1" applyAlignment="1">
      <alignment horizontal="center" vertical="center"/>
    </xf>
    <xf numFmtId="164" fontId="22" fillId="0" borderId="217" xfId="0" applyNumberFormat="1" applyFont="1" applyBorder="1" applyAlignment="1">
      <alignment horizontal="left" vertical="center"/>
    </xf>
    <xf numFmtId="0" fontId="20" fillId="0" borderId="217" xfId="0" applyFont="1" applyBorder="1" applyAlignment="1">
      <alignment horizontal="center"/>
    </xf>
    <xf numFmtId="0" fontId="19" fillId="0" borderId="126" xfId="0" applyFont="1" applyBorder="1" applyAlignment="1">
      <alignment horizontal="center"/>
    </xf>
    <xf numFmtId="0" fontId="19" fillId="8" borderId="282" xfId="0" applyFont="1" applyFill="1" applyBorder="1" applyAlignment="1">
      <alignment horizontal="center" vertical="center"/>
    </xf>
    <xf numFmtId="0" fontId="19" fillId="0" borderId="282" xfId="0" applyFont="1" applyBorder="1" applyAlignment="1">
      <alignment horizontal="center" vertical="center"/>
    </xf>
    <xf numFmtId="0" fontId="20" fillId="0" borderId="283" xfId="0" applyFont="1" applyBorder="1" applyAlignment="1">
      <alignment horizontal="center"/>
    </xf>
    <xf numFmtId="0" fontId="19" fillId="0" borderId="284" xfId="0" applyFont="1" applyBorder="1" applyAlignment="1">
      <alignment horizontal="center"/>
    </xf>
    <xf numFmtId="0" fontId="19" fillId="0" borderId="68" xfId="0" applyFont="1" applyBorder="1" applyAlignment="1">
      <alignment horizontal="center"/>
    </xf>
    <xf numFmtId="0" fontId="20" fillId="4" borderId="68" xfId="0" applyFont="1" applyFill="1" applyBorder="1" applyAlignment="1">
      <alignment horizontal="center"/>
    </xf>
    <xf numFmtId="0" fontId="19" fillId="0" borderId="285" xfId="0" applyFont="1" applyBorder="1" applyAlignment="1">
      <alignment horizontal="center"/>
    </xf>
    <xf numFmtId="0" fontId="19" fillId="0" borderId="286" xfId="0" applyFont="1" applyBorder="1" applyAlignment="1">
      <alignment horizontal="center"/>
    </xf>
    <xf numFmtId="0" fontId="19" fillId="0" borderId="111" xfId="0" applyFont="1" applyBorder="1" applyAlignment="1">
      <alignment horizontal="center"/>
    </xf>
    <xf numFmtId="0" fontId="20" fillId="0" borderId="68" xfId="0" applyFont="1" applyBorder="1" applyAlignment="1">
      <alignment horizontal="center"/>
    </xf>
    <xf numFmtId="0" fontId="19" fillId="0" borderId="28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20" fillId="4" borderId="27" xfId="0" applyFont="1" applyFill="1" applyBorder="1" applyAlignment="1">
      <alignment horizontal="center"/>
    </xf>
    <xf numFmtId="0" fontId="20" fillId="4" borderId="8" xfId="0" applyFont="1" applyFill="1" applyBorder="1" applyAlignment="1">
      <alignment horizontal="center"/>
    </xf>
    <xf numFmtId="0" fontId="19" fillId="0" borderId="282" xfId="0" applyFont="1" applyBorder="1" applyAlignment="1">
      <alignment horizontal="center"/>
    </xf>
    <xf numFmtId="0" fontId="14" fillId="0" borderId="287" xfId="0" applyFont="1" applyBorder="1" applyAlignment="1">
      <alignment horizontal="center" vertical="center"/>
    </xf>
    <xf numFmtId="164" fontId="22" fillId="0" borderId="100" xfId="0" applyNumberFormat="1" applyFont="1" applyBorder="1" applyAlignment="1">
      <alignment horizontal="left" vertical="center"/>
    </xf>
    <xf numFmtId="164" fontId="22" fillId="0" borderId="36" xfId="0" applyNumberFormat="1" applyFont="1" applyBorder="1" applyAlignment="1">
      <alignment horizontal="left" vertical="center"/>
    </xf>
    <xf numFmtId="0" fontId="14" fillId="0" borderId="295" xfId="0" applyFont="1" applyBorder="1" applyAlignment="1">
      <alignment horizontal="left" vertical="center"/>
    </xf>
    <xf numFmtId="0" fontId="14" fillId="3" borderId="295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20" fillId="2" borderId="159" xfId="0" applyFont="1" applyFill="1" applyBorder="1" applyAlignment="1">
      <alignment horizontal="center" vertical="center"/>
    </xf>
    <xf numFmtId="0" fontId="22" fillId="3" borderId="296" xfId="0" applyFont="1" applyFill="1" applyBorder="1" applyAlignment="1">
      <alignment horizontal="left" vertical="center"/>
    </xf>
    <xf numFmtId="0" fontId="12" fillId="0" borderId="297" xfId="0" applyFont="1" applyBorder="1" applyAlignment="1">
      <alignment horizontal="center" vertical="center"/>
    </xf>
    <xf numFmtId="0" fontId="12" fillId="0" borderId="151" xfId="0" applyFont="1" applyBorder="1" applyAlignment="1">
      <alignment horizontal="center" vertical="center"/>
    </xf>
    <xf numFmtId="0" fontId="19" fillId="2" borderId="298" xfId="0" applyFont="1" applyFill="1" applyBorder="1" applyAlignment="1">
      <alignment horizontal="center"/>
    </xf>
    <xf numFmtId="0" fontId="19" fillId="2" borderId="297" xfId="0" applyFont="1" applyFill="1" applyBorder="1" applyAlignment="1">
      <alignment horizontal="center"/>
    </xf>
    <xf numFmtId="0" fontId="19" fillId="2" borderId="151" xfId="0" applyFont="1" applyFill="1" applyBorder="1" applyAlignment="1">
      <alignment horizontal="center"/>
    </xf>
    <xf numFmtId="0" fontId="19" fillId="2" borderId="299" xfId="0" applyFont="1" applyFill="1" applyBorder="1" applyAlignment="1">
      <alignment horizontal="center"/>
    </xf>
    <xf numFmtId="0" fontId="19" fillId="2" borderId="300" xfId="0" applyFont="1" applyFill="1" applyBorder="1" applyAlignment="1">
      <alignment horizontal="center"/>
    </xf>
    <xf numFmtId="0" fontId="19" fillId="0" borderId="297" xfId="0" applyFont="1" applyBorder="1" applyAlignment="1">
      <alignment horizontal="center" vertical="center"/>
    </xf>
    <xf numFmtId="0" fontId="20" fillId="2" borderId="297" xfId="0" applyFont="1" applyFill="1" applyBorder="1" applyAlignment="1">
      <alignment horizontal="center"/>
    </xf>
    <xf numFmtId="0" fontId="20" fillId="2" borderId="299" xfId="0" applyFont="1" applyFill="1" applyBorder="1" applyAlignment="1">
      <alignment horizontal="center"/>
    </xf>
    <xf numFmtId="0" fontId="20" fillId="0" borderId="151" xfId="0" applyFont="1" applyBorder="1" applyAlignment="1">
      <alignment horizontal="center" vertical="center"/>
    </xf>
    <xf numFmtId="0" fontId="20" fillId="2" borderId="151" xfId="0" applyFont="1" applyFill="1" applyBorder="1" applyAlignment="1">
      <alignment horizontal="center"/>
    </xf>
    <xf numFmtId="0" fontId="19" fillId="8" borderId="298" xfId="0" applyFont="1" applyFill="1" applyBorder="1" applyAlignment="1">
      <alignment horizontal="center" vertical="center"/>
    </xf>
    <xf numFmtId="0" fontId="19" fillId="8" borderId="297" xfId="0" applyFont="1" applyFill="1" applyBorder="1" applyAlignment="1">
      <alignment horizontal="center" vertical="center"/>
    </xf>
    <xf numFmtId="0" fontId="20" fillId="0" borderId="297" xfId="0" applyFont="1" applyBorder="1" applyAlignment="1">
      <alignment horizontal="center" vertical="center"/>
    </xf>
    <xf numFmtId="0" fontId="19" fillId="0" borderId="299" xfId="0" applyFont="1" applyBorder="1" applyAlignment="1">
      <alignment horizontal="center" vertical="center"/>
    </xf>
    <xf numFmtId="0" fontId="19" fillId="0" borderId="300" xfId="0" applyFont="1" applyBorder="1" applyAlignment="1">
      <alignment horizontal="center" vertical="center"/>
    </xf>
    <xf numFmtId="0" fontId="19" fillId="8" borderId="300" xfId="0" applyFont="1" applyFill="1" applyBorder="1" applyAlignment="1">
      <alignment horizontal="center" vertical="center"/>
    </xf>
    <xf numFmtId="0" fontId="19" fillId="8" borderId="299" xfId="0" applyFont="1" applyFill="1" applyBorder="1" applyAlignment="1">
      <alignment horizontal="center" vertical="center"/>
    </xf>
    <xf numFmtId="164" fontId="22" fillId="0" borderId="32" xfId="0" applyNumberFormat="1" applyFont="1" applyBorder="1" applyAlignment="1">
      <alignment horizontal="left" vertical="center"/>
    </xf>
    <xf numFmtId="0" fontId="14" fillId="3" borderId="100" xfId="0" applyFont="1" applyFill="1" applyBorder="1" applyAlignment="1">
      <alignment horizontal="left" vertical="center"/>
    </xf>
    <xf numFmtId="0" fontId="14" fillId="0" borderId="65" xfId="0" applyFont="1" applyBorder="1" applyAlignment="1">
      <alignment horizontal="left" vertical="center"/>
    </xf>
    <xf numFmtId="0" fontId="14" fillId="0" borderId="304" xfId="0" applyFont="1" applyBorder="1" applyAlignment="1">
      <alignment horizontal="center" vertical="center"/>
    </xf>
    <xf numFmtId="164" fontId="22" fillId="0" borderId="312" xfId="0" applyNumberFormat="1" applyFont="1" applyBorder="1" applyAlignment="1">
      <alignment horizontal="left" vertical="center"/>
    </xf>
    <xf numFmtId="0" fontId="12" fillId="0" borderId="313" xfId="0" applyFont="1" applyBorder="1" applyAlignment="1">
      <alignment horizontal="center" vertical="center"/>
    </xf>
    <xf numFmtId="0" fontId="12" fillId="0" borderId="314" xfId="0" applyFont="1" applyBorder="1" applyAlignment="1">
      <alignment horizontal="center" vertical="center"/>
    </xf>
    <xf numFmtId="0" fontId="20" fillId="0" borderId="315" xfId="0" applyFont="1" applyBorder="1" applyAlignment="1">
      <alignment horizontal="center"/>
    </xf>
    <xf numFmtId="0" fontId="20" fillId="0" borderId="316" xfId="0" applyFont="1" applyBorder="1" applyAlignment="1">
      <alignment horizontal="center"/>
    </xf>
    <xf numFmtId="0" fontId="19" fillId="0" borderId="316" xfId="0" applyFont="1" applyBorder="1" applyAlignment="1">
      <alignment horizontal="center"/>
    </xf>
    <xf numFmtId="0" fontId="19" fillId="0" borderId="317" xfId="0" applyFont="1" applyBorder="1" applyAlignment="1">
      <alignment horizontal="center"/>
    </xf>
    <xf numFmtId="0" fontId="19" fillId="0" borderId="315" xfId="0" applyFont="1" applyBorder="1" applyAlignment="1">
      <alignment horizontal="center"/>
    </xf>
    <xf numFmtId="0" fontId="19" fillId="0" borderId="318" xfId="0" applyFont="1" applyBorder="1" applyAlignment="1">
      <alignment horizontal="center"/>
    </xf>
    <xf numFmtId="0" fontId="19" fillId="0" borderId="319" xfId="0" applyFont="1" applyBorder="1" applyAlignment="1">
      <alignment horizontal="center"/>
    </xf>
    <xf numFmtId="0" fontId="14" fillId="0" borderId="36" xfId="0" applyFont="1" applyBorder="1" applyAlignment="1">
      <alignment horizontal="left" vertical="center"/>
    </xf>
    <xf numFmtId="0" fontId="30" fillId="2" borderId="8" xfId="0" applyFont="1" applyFill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0" fontId="14" fillId="3" borderId="321" xfId="0" applyFont="1" applyFill="1" applyBorder="1" applyAlignment="1">
      <alignment horizontal="left" vertical="center"/>
    </xf>
    <xf numFmtId="0" fontId="31" fillId="0" borderId="107" xfId="0" applyFont="1" applyBorder="1" applyAlignment="1">
      <alignment horizontal="center"/>
    </xf>
    <xf numFmtId="0" fontId="31" fillId="0" borderId="94" xfId="0" applyFont="1" applyBorder="1" applyAlignment="1">
      <alignment horizontal="center"/>
    </xf>
    <xf numFmtId="0" fontId="31" fillId="0" borderId="113" xfId="0" applyFont="1" applyBorder="1" applyAlignment="1">
      <alignment horizontal="center"/>
    </xf>
    <xf numFmtId="0" fontId="31" fillId="16" borderId="103" xfId="0" applyFont="1" applyFill="1" applyBorder="1" applyAlignment="1">
      <alignment horizontal="center" vertical="center"/>
    </xf>
    <xf numFmtId="0" fontId="32" fillId="0" borderId="113" xfId="0" applyFont="1" applyBorder="1" applyAlignment="1">
      <alignment horizontal="center"/>
    </xf>
    <xf numFmtId="0" fontId="31" fillId="0" borderId="66" xfId="0" applyFont="1" applyBorder="1" applyAlignment="1">
      <alignment horizontal="center" vertical="center"/>
    </xf>
    <xf numFmtId="0" fontId="14" fillId="10" borderId="0" xfId="0" applyFont="1" applyFill="1" applyAlignment="1">
      <alignment horizontal="left" vertical="center"/>
    </xf>
    <xf numFmtId="0" fontId="14" fillId="10" borderId="66" xfId="0" applyFont="1" applyFill="1" applyBorder="1" applyAlignment="1">
      <alignment horizontal="left" vertical="center"/>
    </xf>
    <xf numFmtId="0" fontId="19" fillId="9" borderId="66" xfId="0" applyFont="1" applyFill="1" applyBorder="1" applyAlignment="1">
      <alignment horizontal="center"/>
    </xf>
    <xf numFmtId="0" fontId="31" fillId="9" borderId="66" xfId="0" applyFont="1" applyFill="1" applyBorder="1">
      <alignment vertical="center"/>
    </xf>
    <xf numFmtId="0" fontId="12" fillId="9" borderId="67" xfId="0" applyFont="1" applyFill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19" fillId="2" borderId="239" xfId="0" applyFont="1" applyFill="1" applyBorder="1" applyAlignment="1">
      <alignment horizontal="center"/>
    </xf>
    <xf numFmtId="0" fontId="31" fillId="9" borderId="255" xfId="0" applyFont="1" applyFill="1" applyBorder="1">
      <alignment vertical="center"/>
    </xf>
    <xf numFmtId="0" fontId="20" fillId="2" borderId="322" xfId="0" applyFont="1" applyFill="1" applyBorder="1" applyAlignment="1">
      <alignment horizontal="center"/>
    </xf>
    <xf numFmtId="0" fontId="19" fillId="9" borderId="67" xfId="0" applyFont="1" applyFill="1" applyBorder="1" applyAlignment="1">
      <alignment horizontal="center"/>
    </xf>
    <xf numFmtId="0" fontId="31" fillId="9" borderId="67" xfId="0" applyFont="1" applyFill="1" applyBorder="1">
      <alignment vertical="center"/>
    </xf>
    <xf numFmtId="0" fontId="31" fillId="9" borderId="66" xfId="0" applyFont="1" applyFill="1" applyBorder="1" applyAlignment="1">
      <alignment horizontal="center"/>
    </xf>
    <xf numFmtId="0" fontId="41" fillId="0" borderId="66" xfId="0" applyFont="1" applyBorder="1" applyAlignment="1">
      <alignment horizontal="center" vertical="center"/>
    </xf>
    <xf numFmtId="0" fontId="32" fillId="0" borderId="66" xfId="0" applyFont="1" applyBorder="1" applyAlignment="1">
      <alignment horizontal="center" vertical="center"/>
    </xf>
    <xf numFmtId="0" fontId="42" fillId="0" borderId="66" xfId="0" applyFont="1" applyBorder="1" applyAlignment="1">
      <alignment horizontal="center" vertical="center"/>
    </xf>
    <xf numFmtId="0" fontId="31" fillId="9" borderId="66" xfId="0" applyFont="1" applyFill="1" applyBorder="1" applyAlignment="1">
      <alignment horizontal="center" vertical="center"/>
    </xf>
    <xf numFmtId="0" fontId="41" fillId="9" borderId="66" xfId="0" applyFont="1" applyFill="1" applyBorder="1" applyAlignment="1">
      <alignment horizontal="center" vertical="center"/>
    </xf>
    <xf numFmtId="0" fontId="32" fillId="9" borderId="66" xfId="0" applyFont="1" applyFill="1" applyBorder="1" applyAlignment="1">
      <alignment horizontal="center" vertical="center"/>
    </xf>
    <xf numFmtId="0" fontId="42" fillId="9" borderId="66" xfId="0" applyFont="1" applyFill="1" applyBorder="1" applyAlignment="1">
      <alignment horizontal="center" vertical="center"/>
    </xf>
    <xf numFmtId="0" fontId="32" fillId="0" borderId="66" xfId="0" applyFont="1" applyBorder="1" applyAlignment="1">
      <alignment horizontal="center"/>
    </xf>
    <xf numFmtId="0" fontId="19" fillId="9" borderId="323" xfId="0" applyFont="1" applyFill="1" applyBorder="1" applyAlignment="1">
      <alignment horizontal="center"/>
    </xf>
    <xf numFmtId="0" fontId="19" fillId="0" borderId="323" xfId="0" applyFont="1" applyBorder="1" applyAlignment="1">
      <alignment horizontal="center"/>
    </xf>
    <xf numFmtId="0" fontId="32" fillId="0" borderId="67" xfId="0" applyFont="1" applyBorder="1" applyAlignment="1">
      <alignment horizontal="center" vertical="center"/>
    </xf>
    <xf numFmtId="0" fontId="32" fillId="9" borderId="67" xfId="0" applyFont="1" applyFill="1" applyBorder="1" applyAlignment="1">
      <alignment horizontal="center" vertical="center"/>
    </xf>
    <xf numFmtId="0" fontId="19" fillId="9" borderId="324" xfId="0" applyFont="1" applyFill="1" applyBorder="1" applyAlignment="1">
      <alignment horizontal="center"/>
    </xf>
    <xf numFmtId="0" fontId="31" fillId="9" borderId="324" xfId="0" applyFont="1" applyFill="1" applyBorder="1">
      <alignment vertical="center"/>
    </xf>
    <xf numFmtId="0" fontId="19" fillId="9" borderId="65" xfId="0" applyFont="1" applyFill="1" applyBorder="1" applyAlignment="1">
      <alignment horizontal="center"/>
    </xf>
    <xf numFmtId="0" fontId="20" fillId="14" borderId="253" xfId="0" applyFont="1" applyFill="1" applyBorder="1" applyAlignment="1">
      <alignment horizontal="center"/>
    </xf>
    <xf numFmtId="0" fontId="19" fillId="2" borderId="325" xfId="0" applyFont="1" applyFill="1" applyBorder="1" applyAlignment="1">
      <alignment horizontal="center"/>
    </xf>
    <xf numFmtId="0" fontId="20" fillId="0" borderId="292" xfId="0" applyFont="1" applyBorder="1" applyAlignment="1">
      <alignment horizontal="center"/>
    </xf>
    <xf numFmtId="0" fontId="31" fillId="9" borderId="292" xfId="0" applyFont="1" applyFill="1" applyBorder="1">
      <alignment vertical="center"/>
    </xf>
    <xf numFmtId="0" fontId="19" fillId="0" borderId="328" xfId="0" applyFont="1" applyBorder="1" applyAlignment="1">
      <alignment horizontal="center"/>
    </xf>
    <xf numFmtId="0" fontId="20" fillId="0" borderId="326" xfId="0" applyFont="1" applyBorder="1" applyAlignment="1">
      <alignment horizontal="center"/>
    </xf>
    <xf numFmtId="0" fontId="19" fillId="9" borderId="330" xfId="0" applyFont="1" applyFill="1" applyBorder="1" applyAlignment="1">
      <alignment horizontal="center"/>
    </xf>
    <xf numFmtId="0" fontId="19" fillId="9" borderId="69" xfId="0" applyFont="1" applyFill="1" applyBorder="1" applyAlignment="1">
      <alignment horizontal="center"/>
    </xf>
    <xf numFmtId="0" fontId="31" fillId="9" borderId="69" xfId="0" applyFont="1" applyFill="1" applyBorder="1" applyAlignment="1">
      <alignment horizontal="center"/>
    </xf>
    <xf numFmtId="0" fontId="19" fillId="9" borderId="329" xfId="0" applyFont="1" applyFill="1" applyBorder="1" applyAlignment="1">
      <alignment horizontal="center"/>
    </xf>
    <xf numFmtId="0" fontId="20" fillId="0" borderId="331" xfId="0" applyFont="1" applyBorder="1" applyAlignment="1">
      <alignment horizontal="center"/>
    </xf>
    <xf numFmtId="0" fontId="20" fillId="0" borderId="62" xfId="0" applyFont="1" applyBorder="1" applyAlignment="1">
      <alignment horizontal="center"/>
    </xf>
    <xf numFmtId="0" fontId="19" fillId="0" borderId="62" xfId="0" applyFont="1" applyBorder="1" applyAlignment="1">
      <alignment horizontal="center"/>
    </xf>
    <xf numFmtId="0" fontId="19" fillId="0" borderId="332" xfId="0" applyFont="1" applyBorder="1" applyAlignment="1">
      <alignment horizontal="center"/>
    </xf>
    <xf numFmtId="0" fontId="19" fillId="0" borderId="333" xfId="0" applyFont="1" applyBorder="1" applyAlignment="1">
      <alignment horizontal="center"/>
    </xf>
    <xf numFmtId="0" fontId="19" fillId="0" borderId="334" xfId="0" applyFont="1" applyBorder="1" applyAlignment="1">
      <alignment horizontal="center"/>
    </xf>
    <xf numFmtId="0" fontId="20" fillId="2" borderId="216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322" xfId="0" applyBorder="1">
      <alignment vertical="center"/>
    </xf>
    <xf numFmtId="0" fontId="20" fillId="4" borderId="30" xfId="0" applyFont="1" applyFill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31" fillId="0" borderId="322" xfId="0" applyFont="1" applyBorder="1" applyAlignment="1">
      <alignment horizontal="center" vertical="center"/>
    </xf>
    <xf numFmtId="0" fontId="14" fillId="9" borderId="65" xfId="0" applyFont="1" applyFill="1" applyBorder="1" applyAlignment="1">
      <alignment horizontal="left" vertical="center"/>
    </xf>
    <xf numFmtId="0" fontId="14" fillId="10" borderId="65" xfId="0" applyFont="1" applyFill="1" applyBorder="1" applyAlignment="1">
      <alignment horizontal="left" vertical="center"/>
    </xf>
    <xf numFmtId="0" fontId="31" fillId="9" borderId="253" xfId="0" applyFont="1" applyFill="1" applyBorder="1">
      <alignment vertical="center"/>
    </xf>
    <xf numFmtId="0" fontId="19" fillId="9" borderId="325" xfId="0" applyFont="1" applyFill="1" applyBorder="1" applyAlignment="1">
      <alignment horizontal="center"/>
    </xf>
    <xf numFmtId="0" fontId="31" fillId="9" borderId="239" xfId="0" applyFont="1" applyFill="1" applyBorder="1">
      <alignment vertical="center"/>
    </xf>
    <xf numFmtId="0" fontId="31" fillId="9" borderId="239" xfId="0" applyFont="1" applyFill="1" applyBorder="1" applyAlignment="1">
      <alignment horizontal="center" vertical="center"/>
    </xf>
    <xf numFmtId="0" fontId="41" fillId="9" borderId="322" xfId="0" applyFont="1" applyFill="1" applyBorder="1" applyAlignment="1">
      <alignment horizontal="center" vertical="center"/>
    </xf>
    <xf numFmtId="0" fontId="32" fillId="9" borderId="322" xfId="0" applyFont="1" applyFill="1" applyBorder="1" applyAlignment="1">
      <alignment horizontal="center" vertical="center"/>
    </xf>
    <xf numFmtId="0" fontId="31" fillId="9" borderId="243" xfId="0" applyFont="1" applyFill="1" applyBorder="1" applyAlignment="1">
      <alignment horizontal="center" vertical="center"/>
    </xf>
    <xf numFmtId="0" fontId="42" fillId="9" borderId="239" xfId="0" applyFont="1" applyFill="1" applyBorder="1" applyAlignment="1">
      <alignment horizontal="center" vertical="center"/>
    </xf>
    <xf numFmtId="0" fontId="32" fillId="9" borderId="239" xfId="0" applyFont="1" applyFill="1" applyBorder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33" fillId="0" borderId="338" xfId="0" applyFont="1" applyBorder="1" applyAlignment="1">
      <alignment horizontal="center"/>
    </xf>
    <xf numFmtId="0" fontId="19" fillId="0" borderId="239" xfId="0" applyFont="1" applyBorder="1" applyAlignment="1">
      <alignment horizontal="center"/>
    </xf>
    <xf numFmtId="0" fontId="20" fillId="0" borderId="239" xfId="0" applyFont="1" applyBorder="1" applyAlignment="1">
      <alignment horizontal="center"/>
    </xf>
    <xf numFmtId="0" fontId="19" fillId="0" borderId="244" xfId="0" applyFont="1" applyBorder="1" applyAlignment="1">
      <alignment horizontal="center"/>
    </xf>
    <xf numFmtId="0" fontId="14" fillId="10" borderId="71" xfId="0" applyFont="1" applyFill="1" applyBorder="1" applyAlignment="1">
      <alignment horizontal="left" vertical="center"/>
    </xf>
    <xf numFmtId="0" fontId="31" fillId="0" borderId="69" xfId="0" applyFont="1" applyBorder="1" applyAlignment="1">
      <alignment horizontal="center" vertical="center"/>
    </xf>
    <xf numFmtId="0" fontId="31" fillId="9" borderId="69" xfId="0" applyFont="1" applyFill="1" applyBorder="1">
      <alignment vertical="center"/>
    </xf>
    <xf numFmtId="0" fontId="31" fillId="9" borderId="70" xfId="0" applyFont="1" applyFill="1" applyBorder="1">
      <alignment vertical="center"/>
    </xf>
    <xf numFmtId="0" fontId="31" fillId="9" borderId="323" xfId="0" applyFont="1" applyFill="1" applyBorder="1">
      <alignment vertical="center"/>
    </xf>
    <xf numFmtId="0" fontId="31" fillId="9" borderId="256" xfId="0" applyFont="1" applyFill="1" applyBorder="1">
      <alignment vertical="center"/>
    </xf>
    <xf numFmtId="0" fontId="31" fillId="9" borderId="257" xfId="0" applyFont="1" applyFill="1" applyBorder="1">
      <alignment vertical="center"/>
    </xf>
    <xf numFmtId="0" fontId="31" fillId="0" borderId="70" xfId="0" applyFont="1" applyBorder="1" applyAlignment="1">
      <alignment horizontal="center" vertical="center"/>
    </xf>
    <xf numFmtId="0" fontId="20" fillId="2" borderId="239" xfId="0" applyFont="1" applyFill="1" applyBorder="1" applyAlignment="1">
      <alignment horizontal="center"/>
    </xf>
    <xf numFmtId="0" fontId="19" fillId="9" borderId="243" xfId="0" applyFont="1" applyFill="1" applyBorder="1" applyAlignment="1">
      <alignment horizontal="center"/>
    </xf>
    <xf numFmtId="0" fontId="19" fillId="9" borderId="239" xfId="0" applyFont="1" applyFill="1" applyBorder="1" applyAlignment="1">
      <alignment horizontal="center"/>
    </xf>
    <xf numFmtId="0" fontId="31" fillId="9" borderId="239" xfId="0" applyFont="1" applyFill="1" applyBorder="1" applyAlignment="1">
      <alignment horizontal="center"/>
    </xf>
    <xf numFmtId="0" fontId="19" fillId="9" borderId="244" xfId="0" applyFont="1" applyFill="1" applyBorder="1" applyAlignment="1">
      <alignment horizontal="center"/>
    </xf>
    <xf numFmtId="0" fontId="31" fillId="9" borderId="341" xfId="0" applyFont="1" applyFill="1" applyBorder="1">
      <alignment vertical="center"/>
    </xf>
    <xf numFmtId="0" fontId="19" fillId="9" borderId="71" xfId="0" applyFont="1" applyFill="1" applyBorder="1" applyAlignment="1">
      <alignment horizontal="center"/>
    </xf>
    <xf numFmtId="0" fontId="41" fillId="0" borderId="69" xfId="0" applyFont="1" applyBorder="1" applyAlignment="1">
      <alignment horizontal="center" vertical="center"/>
    </xf>
    <xf numFmtId="0" fontId="32" fillId="0" borderId="69" xfId="0" applyFont="1" applyBorder="1" applyAlignment="1">
      <alignment horizontal="center" vertical="center"/>
    </xf>
    <xf numFmtId="0" fontId="42" fillId="0" borderId="69" xfId="0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/>
    </xf>
    <xf numFmtId="0" fontId="31" fillId="9" borderId="65" xfId="0" applyFont="1" applyFill="1" applyBorder="1">
      <alignment vertical="center"/>
    </xf>
    <xf numFmtId="0" fontId="31" fillId="9" borderId="336" xfId="0" applyFont="1" applyFill="1" applyBorder="1">
      <alignment vertical="center"/>
    </xf>
    <xf numFmtId="0" fontId="31" fillId="9" borderId="342" xfId="0" applyFont="1" applyFill="1" applyBorder="1">
      <alignment vertical="center"/>
    </xf>
    <xf numFmtId="0" fontId="20" fillId="0" borderId="343" xfId="0" applyFont="1" applyBorder="1" applyAlignment="1">
      <alignment horizontal="center"/>
    </xf>
    <xf numFmtId="0" fontId="20" fillId="0" borderId="110" xfId="0" applyFont="1" applyBorder="1" applyAlignment="1">
      <alignment horizontal="center" vertical="center"/>
    </xf>
    <xf numFmtId="0" fontId="19" fillId="0" borderId="344" xfId="0" applyFont="1" applyBorder="1" applyAlignment="1">
      <alignment horizontal="center"/>
    </xf>
    <xf numFmtId="0" fontId="19" fillId="0" borderId="345" xfId="0" applyFont="1" applyBorder="1" applyAlignment="1">
      <alignment horizontal="center"/>
    </xf>
    <xf numFmtId="0" fontId="19" fillId="0" borderId="346" xfId="0" applyFont="1" applyBorder="1" applyAlignment="1">
      <alignment horizontal="center"/>
    </xf>
    <xf numFmtId="0" fontId="19" fillId="2" borderId="243" xfId="0" applyFont="1" applyFill="1" applyBorder="1" applyAlignment="1">
      <alignment horizontal="center"/>
    </xf>
    <xf numFmtId="0" fontId="31" fillId="0" borderId="330" xfId="0" applyFont="1" applyBorder="1" applyAlignment="1">
      <alignment horizontal="center" vertical="center"/>
    </xf>
    <xf numFmtId="0" fontId="31" fillId="0" borderId="323" xfId="0" applyFont="1" applyBorder="1" applyAlignment="1">
      <alignment horizontal="center" vertical="center"/>
    </xf>
    <xf numFmtId="0" fontId="31" fillId="9" borderId="323" xfId="0" applyFont="1" applyFill="1" applyBorder="1" applyAlignment="1">
      <alignment horizontal="center" vertical="center"/>
    </xf>
    <xf numFmtId="0" fontId="31" fillId="9" borderId="338" xfId="0" applyFont="1" applyFill="1" applyBorder="1" applyAlignment="1">
      <alignment horizontal="center" vertical="center"/>
    </xf>
    <xf numFmtId="0" fontId="31" fillId="9" borderId="347" xfId="0" applyFont="1" applyFill="1" applyBorder="1">
      <alignment vertical="center"/>
    </xf>
    <xf numFmtId="0" fontId="30" fillId="2" borderId="322" xfId="0" applyFont="1" applyFill="1" applyBorder="1" applyAlignment="1">
      <alignment horizontal="center"/>
    </xf>
    <xf numFmtId="0" fontId="31" fillId="9" borderId="0" xfId="0" applyFont="1" applyFill="1">
      <alignment vertical="center"/>
    </xf>
    <xf numFmtId="0" fontId="19" fillId="0" borderId="97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333" xfId="0" applyFont="1" applyBorder="1" applyAlignment="1">
      <alignment horizontal="center" vertical="center"/>
    </xf>
    <xf numFmtId="0" fontId="19" fillId="0" borderId="348" xfId="0" applyFont="1" applyBorder="1" applyAlignment="1">
      <alignment horizontal="center"/>
    </xf>
    <xf numFmtId="0" fontId="20" fillId="0" borderId="327" xfId="0" applyFont="1" applyBorder="1" applyAlignment="1">
      <alignment horizontal="center"/>
    </xf>
    <xf numFmtId="0" fontId="19" fillId="0" borderId="331" xfId="0" applyFont="1" applyBorder="1" applyAlignment="1">
      <alignment horizontal="center" vertical="center"/>
    </xf>
    <xf numFmtId="0" fontId="20" fillId="0" borderId="332" xfId="0" applyFont="1" applyBorder="1" applyAlignment="1">
      <alignment horizontal="center" vertical="center"/>
    </xf>
    <xf numFmtId="0" fontId="20" fillId="0" borderId="344" xfId="0" applyFont="1" applyBorder="1" applyAlignment="1">
      <alignment horizontal="center"/>
    </xf>
    <xf numFmtId="0" fontId="31" fillId="0" borderId="345" xfId="0" applyFont="1" applyBorder="1" applyAlignment="1">
      <alignment horizontal="center"/>
    </xf>
    <xf numFmtId="0" fontId="20" fillId="0" borderId="324" xfId="0" applyFont="1" applyBorder="1" applyAlignment="1">
      <alignment horizontal="center"/>
    </xf>
    <xf numFmtId="0" fontId="20" fillId="0" borderId="244" xfId="0" applyFont="1" applyBorder="1" applyAlignment="1">
      <alignment horizontal="center"/>
    </xf>
    <xf numFmtId="0" fontId="19" fillId="0" borderId="97" xfId="0" applyFont="1" applyBorder="1" applyAlignment="1">
      <alignment horizontal="center"/>
    </xf>
    <xf numFmtId="0" fontId="42" fillId="0" borderId="339" xfId="0" applyFont="1" applyBorder="1" applyAlignment="1">
      <alignment horizontal="center" vertical="center"/>
    </xf>
    <xf numFmtId="0" fontId="42" fillId="0" borderId="340" xfId="0" applyFont="1" applyBorder="1" applyAlignment="1">
      <alignment horizontal="center" vertical="center"/>
    </xf>
    <xf numFmtId="0" fontId="42" fillId="0" borderId="234" xfId="0" applyFont="1" applyBorder="1" applyAlignment="1">
      <alignment horizontal="center" vertical="center"/>
    </xf>
    <xf numFmtId="0" fontId="42" fillId="0" borderId="229" xfId="0" applyFont="1" applyBorder="1" applyAlignment="1">
      <alignment horizontal="center" vertical="center"/>
    </xf>
    <xf numFmtId="0" fontId="42" fillId="0" borderId="80" xfId="0" applyFont="1" applyBorder="1" applyAlignment="1">
      <alignment horizontal="center"/>
    </xf>
    <xf numFmtId="0" fontId="32" fillId="0" borderId="80" xfId="0" applyFont="1" applyBorder="1" applyAlignment="1">
      <alignment horizontal="center"/>
    </xf>
    <xf numFmtId="0" fontId="20" fillId="0" borderId="80" xfId="0" applyFont="1" applyBorder="1" applyAlignment="1">
      <alignment horizontal="center"/>
    </xf>
    <xf numFmtId="0" fontId="20" fillId="0" borderId="349" xfId="0" applyFont="1" applyBorder="1" applyAlignment="1">
      <alignment horizontal="center"/>
    </xf>
    <xf numFmtId="0" fontId="19" fillId="9" borderId="350" xfId="0" applyFont="1" applyFill="1" applyBorder="1" applyAlignment="1">
      <alignment horizontal="center"/>
    </xf>
    <xf numFmtId="0" fontId="19" fillId="9" borderId="80" xfId="0" applyFont="1" applyFill="1" applyBorder="1" applyAlignment="1">
      <alignment horizontal="center"/>
    </xf>
    <xf numFmtId="0" fontId="19" fillId="9" borderId="349" xfId="0" applyFont="1" applyFill="1" applyBorder="1" applyAlignment="1">
      <alignment horizontal="center"/>
    </xf>
    <xf numFmtId="0" fontId="20" fillId="0" borderId="66" xfId="0" applyFont="1" applyBorder="1" applyAlignment="1">
      <alignment horizontal="center"/>
    </xf>
    <xf numFmtId="0" fontId="19" fillId="0" borderId="67" xfId="0" applyFont="1" applyBorder="1" applyAlignment="1">
      <alignment horizontal="center"/>
    </xf>
    <xf numFmtId="0" fontId="19" fillId="0" borderId="80" xfId="0" applyFont="1" applyBorder="1" applyAlignment="1">
      <alignment horizontal="center"/>
    </xf>
    <xf numFmtId="0" fontId="33" fillId="0" borderId="325" xfId="0" applyFont="1" applyBorder="1" applyAlignment="1">
      <alignment horizontal="center"/>
    </xf>
    <xf numFmtId="0" fontId="43" fillId="0" borderId="0" xfId="0" applyFont="1">
      <alignment vertical="center"/>
    </xf>
    <xf numFmtId="0" fontId="20" fillId="0" borderId="10" xfId="0" applyFont="1" applyBorder="1" applyAlignment="1">
      <alignment horizontal="center"/>
    </xf>
    <xf numFmtId="0" fontId="20" fillId="18" borderId="3" xfId="0" applyFont="1" applyFill="1" applyBorder="1" applyAlignment="1">
      <alignment horizontal="center"/>
    </xf>
    <xf numFmtId="0" fontId="33" fillId="0" borderId="223" xfId="0" applyFont="1" applyBorder="1" applyAlignment="1">
      <alignment horizontal="center"/>
    </xf>
    <xf numFmtId="0" fontId="33" fillId="0" borderId="108" xfId="0" applyFont="1" applyBorder="1" applyAlignment="1">
      <alignment horizontal="center"/>
    </xf>
    <xf numFmtId="0" fontId="33" fillId="0" borderId="123" xfId="0" applyFont="1" applyBorder="1" applyAlignment="1">
      <alignment horizontal="center"/>
    </xf>
    <xf numFmtId="0" fontId="33" fillId="0" borderId="125" xfId="0" applyFont="1" applyBorder="1" applyAlignment="1">
      <alignment horizontal="center"/>
    </xf>
    <xf numFmtId="0" fontId="19" fillId="18" borderId="20" xfId="0" applyFont="1" applyFill="1" applyBorder="1" applyAlignment="1">
      <alignment horizontal="center" vertical="center"/>
    </xf>
    <xf numFmtId="0" fontId="30" fillId="16" borderId="105" xfId="0" applyFont="1" applyFill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/>
    </xf>
    <xf numFmtId="0" fontId="20" fillId="0" borderId="99" xfId="0" applyFont="1" applyBorder="1" applyAlignment="1">
      <alignment horizontal="center"/>
    </xf>
    <xf numFmtId="0" fontId="20" fillId="4" borderId="122" xfId="0" applyFont="1" applyFill="1" applyBorder="1" applyAlignment="1">
      <alignment horizontal="center"/>
    </xf>
    <xf numFmtId="0" fontId="20" fillId="9" borderId="121" xfId="0" applyFont="1" applyFill="1" applyBorder="1" applyAlignment="1">
      <alignment horizontal="center"/>
    </xf>
    <xf numFmtId="0" fontId="19" fillId="9" borderId="122" xfId="0" applyFont="1" applyFill="1" applyBorder="1" applyAlignment="1">
      <alignment horizontal="center"/>
    </xf>
    <xf numFmtId="0" fontId="19" fillId="9" borderId="216" xfId="0" applyFont="1" applyFill="1" applyBorder="1" applyAlignment="1">
      <alignment horizontal="center"/>
    </xf>
    <xf numFmtId="0" fontId="19" fillId="9" borderId="30" xfId="0" applyFont="1" applyFill="1" applyBorder="1" applyAlignment="1">
      <alignment horizontal="center"/>
    </xf>
    <xf numFmtId="0" fontId="19" fillId="9" borderId="121" xfId="0" applyFont="1" applyFill="1" applyBorder="1" applyAlignment="1">
      <alignment horizontal="center"/>
    </xf>
    <xf numFmtId="0" fontId="20" fillId="0" borderId="159" xfId="0" applyFont="1" applyBorder="1" applyAlignment="1">
      <alignment horizontal="center"/>
    </xf>
    <xf numFmtId="0" fontId="20" fillId="0" borderId="149" xfId="0" applyFont="1" applyBorder="1" applyAlignment="1">
      <alignment horizontal="center"/>
    </xf>
    <xf numFmtId="0" fontId="20" fillId="0" borderId="152" xfId="0" applyFont="1" applyBorder="1" applyAlignment="1">
      <alignment horizontal="center"/>
    </xf>
    <xf numFmtId="0" fontId="20" fillId="0" borderId="150" xfId="0" applyFont="1" applyBorder="1" applyAlignment="1">
      <alignment horizontal="center"/>
    </xf>
    <xf numFmtId="0" fontId="20" fillId="0" borderId="138" xfId="0" applyFont="1" applyBorder="1" applyAlignment="1">
      <alignment horizontal="center"/>
    </xf>
    <xf numFmtId="0" fontId="20" fillId="0" borderId="134" xfId="0" applyFont="1" applyBorder="1" applyAlignment="1">
      <alignment horizontal="center"/>
    </xf>
    <xf numFmtId="0" fontId="20" fillId="0" borderId="144" xfId="0" applyFont="1" applyBorder="1" applyAlignment="1">
      <alignment horizontal="center"/>
    </xf>
    <xf numFmtId="0" fontId="19" fillId="11" borderId="0" xfId="0" applyFont="1" applyFill="1">
      <alignment vertical="center"/>
    </xf>
    <xf numFmtId="0" fontId="21" fillId="4" borderId="150" xfId="0" applyFont="1" applyFill="1" applyBorder="1" applyAlignment="1">
      <alignment horizontal="center"/>
    </xf>
    <xf numFmtId="0" fontId="19" fillId="2" borderId="187" xfId="0" applyFont="1" applyFill="1" applyBorder="1" applyAlignment="1">
      <alignment horizontal="center" vertical="center"/>
    </xf>
    <xf numFmtId="0" fontId="19" fillId="8" borderId="179" xfId="0" applyFont="1" applyFill="1" applyBorder="1" applyAlignment="1">
      <alignment horizontal="center" vertical="center"/>
    </xf>
    <xf numFmtId="0" fontId="13" fillId="0" borderId="352" xfId="0" applyFont="1" applyBorder="1" applyAlignment="1">
      <alignment horizontal="center" vertical="center"/>
    </xf>
    <xf numFmtId="0" fontId="19" fillId="5" borderId="324" xfId="0" applyFont="1" applyFill="1" applyBorder="1" applyAlignment="1">
      <alignment horizontal="center" vertical="center"/>
    </xf>
    <xf numFmtId="165" fontId="21" fillId="0" borderId="324" xfId="0" applyNumberFormat="1" applyFont="1" applyBorder="1" applyAlignment="1">
      <alignment horizontal="center"/>
    </xf>
    <xf numFmtId="0" fontId="21" fillId="4" borderId="324" xfId="0" applyFont="1" applyFill="1" applyBorder="1" applyAlignment="1">
      <alignment horizontal="center"/>
    </xf>
    <xf numFmtId="0" fontId="19" fillId="0" borderId="324" xfId="0" applyFont="1" applyBorder="1" applyAlignment="1">
      <alignment horizontal="center"/>
    </xf>
    <xf numFmtId="0" fontId="19" fillId="0" borderId="329" xfId="0" applyFont="1" applyBorder="1" applyAlignment="1">
      <alignment horizontal="center"/>
    </xf>
    <xf numFmtId="0" fontId="19" fillId="0" borderId="347" xfId="0" applyFont="1" applyBorder="1" applyAlignment="1">
      <alignment horizontal="center"/>
    </xf>
    <xf numFmtId="0" fontId="19" fillId="0" borderId="353" xfId="0" applyFont="1" applyBorder="1" applyAlignment="1">
      <alignment horizontal="center" vertical="center"/>
    </xf>
    <xf numFmtId="0" fontId="19" fillId="0" borderId="340" xfId="0" applyFont="1" applyBorder="1" applyAlignment="1">
      <alignment horizontal="center"/>
    </xf>
    <xf numFmtId="0" fontId="19" fillId="0" borderId="354" xfId="0" applyFont="1" applyBorder="1" applyAlignment="1"/>
    <xf numFmtId="0" fontId="19" fillId="0" borderId="354" xfId="0" applyFont="1" applyBorder="1" applyAlignment="1">
      <alignment horizontal="center"/>
    </xf>
    <xf numFmtId="0" fontId="19" fillId="8" borderId="347" xfId="0" applyFont="1" applyFill="1" applyBorder="1" applyAlignment="1">
      <alignment horizontal="center" vertical="center"/>
    </xf>
    <xf numFmtId="0" fontId="19" fillId="0" borderId="347" xfId="0" applyFont="1" applyBorder="1" applyAlignment="1">
      <alignment horizontal="center" vertical="center"/>
    </xf>
    <xf numFmtId="0" fontId="19" fillId="2" borderId="340" xfId="0" applyFont="1" applyFill="1" applyBorder="1" applyAlignment="1">
      <alignment horizontal="center" vertical="center"/>
    </xf>
    <xf numFmtId="0" fontId="19" fillId="2" borderId="355" xfId="0" applyFont="1" applyFill="1" applyBorder="1" applyAlignment="1">
      <alignment horizontal="center" vertical="center"/>
    </xf>
    <xf numFmtId="0" fontId="19" fillId="2" borderId="347" xfId="0" applyFont="1" applyFill="1" applyBorder="1" applyAlignment="1">
      <alignment horizontal="center"/>
    </xf>
    <xf numFmtId="0" fontId="19" fillId="2" borderId="244" xfId="0" applyFont="1" applyFill="1" applyBorder="1" applyAlignment="1">
      <alignment horizontal="center"/>
    </xf>
    <xf numFmtId="0" fontId="19" fillId="2" borderId="353" xfId="0" applyFont="1" applyFill="1" applyBorder="1" applyAlignment="1">
      <alignment horizontal="center"/>
    </xf>
    <xf numFmtId="0" fontId="19" fillId="0" borderId="356" xfId="0" applyFont="1" applyBorder="1" applyAlignment="1">
      <alignment horizontal="center"/>
    </xf>
    <xf numFmtId="0" fontId="19" fillId="7" borderId="229" xfId="0" applyFont="1" applyFill="1" applyBorder="1" applyAlignment="1">
      <alignment horizontal="center" vertical="center"/>
    </xf>
    <xf numFmtId="0" fontId="19" fillId="0" borderId="357" xfId="0" applyFont="1" applyBorder="1" applyAlignment="1">
      <alignment horizontal="center"/>
    </xf>
    <xf numFmtId="0" fontId="19" fillId="0" borderId="358" xfId="0" applyFont="1" applyBorder="1" applyAlignment="1">
      <alignment horizontal="center"/>
    </xf>
    <xf numFmtId="0" fontId="19" fillId="0" borderId="359" xfId="0" applyFont="1" applyBorder="1" applyAlignment="1">
      <alignment horizontal="center"/>
    </xf>
    <xf numFmtId="0" fontId="19" fillId="0" borderId="360" xfId="0" applyFont="1" applyBorder="1" applyAlignment="1">
      <alignment horizontal="center"/>
    </xf>
    <xf numFmtId="0" fontId="19" fillId="0" borderId="361" xfId="0" applyFont="1" applyBorder="1" applyAlignment="1">
      <alignment horizontal="center"/>
    </xf>
    <xf numFmtId="0" fontId="19" fillId="0" borderId="362" xfId="0" applyFont="1" applyBorder="1" applyAlignment="1">
      <alignment horizontal="center"/>
    </xf>
    <xf numFmtId="0" fontId="19" fillId="0" borderId="363" xfId="0" applyFont="1" applyBorder="1" applyAlignment="1">
      <alignment horizontal="center"/>
    </xf>
    <xf numFmtId="0" fontId="44" fillId="0" borderId="0" xfId="0" applyFont="1">
      <alignment vertical="center"/>
    </xf>
    <xf numFmtId="0" fontId="25" fillId="0" borderId="0" xfId="0" applyFont="1" applyAlignment="1">
      <alignment vertical="center" wrapText="1"/>
    </xf>
    <xf numFmtId="0" fontId="20" fillId="9" borderId="122" xfId="0" applyFont="1" applyFill="1" applyBorder="1" applyAlignment="1">
      <alignment horizontal="center"/>
    </xf>
    <xf numFmtId="0" fontId="32" fillId="9" borderId="284" xfId="0" applyFont="1" applyFill="1" applyBorder="1" applyAlignment="1">
      <alignment horizontal="center"/>
    </xf>
    <xf numFmtId="0" fontId="31" fillId="9" borderId="68" xfId="0" applyFont="1" applyFill="1" applyBorder="1" applyAlignment="1">
      <alignment horizontal="center"/>
    </xf>
    <xf numFmtId="0" fontId="31" fillId="9" borderId="285" xfId="0" applyFont="1" applyFill="1" applyBorder="1" applyAlignment="1">
      <alignment horizontal="center"/>
    </xf>
    <xf numFmtId="0" fontId="31" fillId="9" borderId="111" xfId="0" applyFont="1" applyFill="1" applyBorder="1" applyAlignment="1">
      <alignment horizontal="center"/>
    </xf>
    <xf numFmtId="0" fontId="32" fillId="0" borderId="68" xfId="0" applyFont="1" applyBorder="1" applyAlignment="1">
      <alignment horizontal="center"/>
    </xf>
    <xf numFmtId="0" fontId="32" fillId="0" borderId="111" xfId="0" applyFont="1" applyBorder="1" applyAlignment="1">
      <alignment horizontal="center"/>
    </xf>
    <xf numFmtId="0" fontId="31" fillId="9" borderId="284" xfId="0" applyFont="1" applyFill="1" applyBorder="1" applyAlignment="1">
      <alignment horizontal="center"/>
    </xf>
    <xf numFmtId="0" fontId="30" fillId="0" borderId="122" xfId="0" applyFont="1" applyBorder="1" applyAlignment="1">
      <alignment horizontal="center"/>
    </xf>
    <xf numFmtId="0" fontId="35" fillId="0" borderId="122" xfId="0" applyFont="1" applyBorder="1" applyAlignment="1">
      <alignment horizontal="center"/>
    </xf>
    <xf numFmtId="0" fontId="20" fillId="0" borderId="216" xfId="0" applyFont="1" applyBorder="1" applyAlignment="1">
      <alignment horizontal="center"/>
    </xf>
    <xf numFmtId="0" fontId="31" fillId="0" borderId="121" xfId="0" applyFont="1" applyBorder="1" applyAlignment="1">
      <alignment horizontal="center"/>
    </xf>
    <xf numFmtId="0" fontId="31" fillId="0" borderId="216" xfId="0" applyFont="1" applyBorder="1" applyAlignment="1">
      <alignment horizontal="center"/>
    </xf>
    <xf numFmtId="0" fontId="31" fillId="0" borderId="217" xfId="0" applyFont="1" applyBorder="1" applyAlignment="1">
      <alignment horizontal="center"/>
    </xf>
    <xf numFmtId="0" fontId="20" fillId="18" borderId="8" xfId="0" applyFont="1" applyFill="1" applyBorder="1" applyAlignment="1">
      <alignment horizontal="center"/>
    </xf>
    <xf numFmtId="0" fontId="19" fillId="18" borderId="216" xfId="0" applyFont="1" applyFill="1" applyBorder="1" applyAlignment="1">
      <alignment horizontal="center"/>
    </xf>
    <xf numFmtId="0" fontId="19" fillId="18" borderId="105" xfId="0" applyFont="1" applyFill="1" applyBorder="1" applyAlignment="1">
      <alignment horizontal="center"/>
    </xf>
    <xf numFmtId="0" fontId="20" fillId="2" borderId="300" xfId="0" applyFont="1" applyFill="1" applyBorder="1" applyAlignment="1">
      <alignment horizontal="center"/>
    </xf>
    <xf numFmtId="0" fontId="10" fillId="0" borderId="9" xfId="0" applyFont="1" applyBorder="1" applyAlignment="1">
      <alignment horizontal="left" vertical="center"/>
    </xf>
    <xf numFmtId="0" fontId="15" fillId="0" borderId="66" xfId="0" applyFont="1" applyBorder="1" applyAlignment="1">
      <alignment horizontal="center" vertical="center"/>
    </xf>
    <xf numFmtId="0" fontId="31" fillId="2" borderId="133" xfId="0" applyFont="1" applyFill="1" applyBorder="1" applyAlignment="1">
      <alignment horizontal="center"/>
    </xf>
    <xf numFmtId="0" fontId="12" fillId="0" borderId="11" xfId="0" applyFont="1" applyBorder="1" applyAlignment="1">
      <alignment wrapText="1" indent="2"/>
    </xf>
    <xf numFmtId="0" fontId="20" fillId="0" borderId="319" xfId="0" applyFont="1" applyBorder="1" applyAlignment="1">
      <alignment horizontal="center"/>
    </xf>
    <xf numFmtId="0" fontId="45" fillId="0" borderId="0" xfId="0" applyFont="1">
      <alignment vertical="center"/>
    </xf>
    <xf numFmtId="0" fontId="19" fillId="7" borderId="0" xfId="0" applyFont="1" applyFill="1" applyAlignment="1">
      <alignment horizontal="center" vertical="center"/>
    </xf>
    <xf numFmtId="0" fontId="19" fillId="5" borderId="66" xfId="0" applyFont="1" applyFill="1" applyBorder="1" applyAlignment="1">
      <alignment horizontal="center" vertical="center"/>
    </xf>
    <xf numFmtId="0" fontId="30" fillId="4" borderId="66" xfId="0" applyFont="1" applyFill="1" applyBorder="1" applyAlignment="1">
      <alignment horizontal="center"/>
    </xf>
    <xf numFmtId="0" fontId="31" fillId="0" borderId="159" xfId="0" applyFont="1" applyBorder="1" applyAlignment="1">
      <alignment horizontal="center"/>
    </xf>
    <xf numFmtId="0" fontId="31" fillId="0" borderId="183" xfId="0" applyFont="1" applyBorder="1" applyAlignment="1">
      <alignment horizontal="center"/>
    </xf>
    <xf numFmtId="0" fontId="31" fillId="2" borderId="159" xfId="0" applyFont="1" applyFill="1" applyBorder="1" applyAlignment="1">
      <alignment horizontal="center" vertical="center"/>
    </xf>
    <xf numFmtId="0" fontId="31" fillId="2" borderId="183" xfId="0" applyFont="1" applyFill="1" applyBorder="1" applyAlignment="1">
      <alignment horizontal="center" vertical="center"/>
    </xf>
    <xf numFmtId="0" fontId="31" fillId="2" borderId="175" xfId="0" applyFont="1" applyFill="1" applyBorder="1" applyAlignment="1">
      <alignment horizontal="center"/>
    </xf>
    <xf numFmtId="0" fontId="31" fillId="0" borderId="189" xfId="0" applyFont="1" applyBorder="1" applyAlignment="1">
      <alignment horizontal="center"/>
    </xf>
    <xf numFmtId="0" fontId="31" fillId="2" borderId="189" xfId="0" applyFont="1" applyFill="1" applyBorder="1" applyAlignment="1">
      <alignment horizontal="center"/>
    </xf>
    <xf numFmtId="0" fontId="31" fillId="0" borderId="138" xfId="0" applyFont="1" applyBorder="1" applyAlignment="1">
      <alignment horizontal="center"/>
    </xf>
    <xf numFmtId="0" fontId="31" fillId="8" borderId="175" xfId="0" applyFont="1" applyFill="1" applyBorder="1" applyAlignment="1">
      <alignment horizontal="center" vertical="center"/>
    </xf>
    <xf numFmtId="0" fontId="31" fillId="0" borderId="357" xfId="0" applyFont="1" applyBorder="1" applyAlignment="1">
      <alignment horizontal="center"/>
    </xf>
    <xf numFmtId="0" fontId="31" fillId="0" borderId="175" xfId="0" applyFont="1" applyBorder="1" applyAlignment="1">
      <alignment horizontal="center" vertical="center"/>
    </xf>
    <xf numFmtId="0" fontId="31" fillId="0" borderId="183" xfId="0" applyFont="1" applyBorder="1" applyAlignment="1"/>
    <xf numFmtId="0" fontId="32" fillId="0" borderId="175" xfId="0" applyFont="1" applyBorder="1" applyAlignment="1">
      <alignment horizontal="center"/>
    </xf>
    <xf numFmtId="165" fontId="21" fillId="0" borderId="69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0" fillId="0" borderId="284" xfId="0" applyFont="1" applyBorder="1" applyAlignment="1">
      <alignment horizontal="center"/>
    </xf>
    <xf numFmtId="0" fontId="35" fillId="0" borderId="68" xfId="0" applyFont="1" applyBorder="1" applyAlignment="1">
      <alignment horizontal="center"/>
    </xf>
    <xf numFmtId="0" fontId="20" fillId="0" borderId="111" xfId="0" applyFont="1" applyBorder="1" applyAlignment="1">
      <alignment horizontal="center"/>
    </xf>
    <xf numFmtId="0" fontId="31" fillId="0" borderId="68" xfId="0" applyFont="1" applyBorder="1" applyAlignment="1">
      <alignment horizontal="center"/>
    </xf>
    <xf numFmtId="0" fontId="31" fillId="0" borderId="111" xfId="0" applyFont="1" applyBorder="1" applyAlignment="1">
      <alignment horizontal="center"/>
    </xf>
    <xf numFmtId="0" fontId="31" fillId="0" borderId="284" xfId="0" applyFont="1" applyBorder="1" applyAlignment="1">
      <alignment horizontal="center"/>
    </xf>
    <xf numFmtId="0" fontId="19" fillId="9" borderId="284" xfId="0" applyFont="1" applyFill="1" applyBorder="1" applyAlignment="1">
      <alignment horizontal="center"/>
    </xf>
    <xf numFmtId="0" fontId="19" fillId="9" borderId="68" xfId="0" applyFont="1" applyFill="1" applyBorder="1" applyAlignment="1">
      <alignment horizontal="center"/>
    </xf>
    <xf numFmtId="0" fontId="19" fillId="9" borderId="285" xfId="0" applyFont="1" applyFill="1" applyBorder="1" applyAlignment="1">
      <alignment horizontal="center"/>
    </xf>
    <xf numFmtId="0" fontId="19" fillId="9" borderId="286" xfId="0" applyFont="1" applyFill="1" applyBorder="1" applyAlignment="1">
      <alignment horizontal="center"/>
    </xf>
    <xf numFmtId="0" fontId="19" fillId="9" borderId="111" xfId="0" applyFont="1" applyFill="1" applyBorder="1" applyAlignment="1">
      <alignment horizontal="center"/>
    </xf>
    <xf numFmtId="0" fontId="10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31" fillId="9" borderId="286" xfId="0" applyFont="1" applyFill="1" applyBorder="1" applyAlignment="1">
      <alignment horizontal="center"/>
    </xf>
    <xf numFmtId="0" fontId="30" fillId="9" borderId="121" xfId="0" applyFont="1" applyFill="1" applyBorder="1" applyAlignment="1">
      <alignment horizontal="center"/>
    </xf>
    <xf numFmtId="0" fontId="35" fillId="9" borderId="122" xfId="0" applyFont="1" applyFill="1" applyBorder="1" applyAlignment="1">
      <alignment horizontal="center"/>
    </xf>
    <xf numFmtId="0" fontId="20" fillId="9" borderId="30" xfId="0" applyFont="1" applyFill="1" applyBorder="1" applyAlignment="1">
      <alignment horizontal="center"/>
    </xf>
    <xf numFmtId="0" fontId="46" fillId="0" borderId="68" xfId="0" applyFont="1" applyBorder="1" applyAlignment="1">
      <alignment horizontal="center"/>
    </xf>
    <xf numFmtId="0" fontId="32" fillId="0" borderId="285" xfId="0" applyFont="1" applyBorder="1" applyAlignment="1">
      <alignment horizontal="center"/>
    </xf>
    <xf numFmtId="0" fontId="20" fillId="4" borderId="103" xfId="0" applyFont="1" applyFill="1" applyBorder="1" applyAlignment="1">
      <alignment horizontal="center"/>
    </xf>
    <xf numFmtId="0" fontId="42" fillId="0" borderId="284" xfId="0" applyFont="1" applyBorder="1" applyAlignment="1">
      <alignment horizontal="center"/>
    </xf>
    <xf numFmtId="0" fontId="20" fillId="0" borderId="63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0" fillId="0" borderId="48" xfId="0" applyFont="1" applyBorder="1" applyAlignment="1">
      <alignment horizontal="center"/>
    </xf>
    <xf numFmtId="0" fontId="31" fillId="0" borderId="106" xfId="0" applyFont="1" applyBorder="1" applyAlignment="1">
      <alignment horizontal="center"/>
    </xf>
    <xf numFmtId="0" fontId="20" fillId="0" borderId="130" xfId="0" applyFont="1" applyBorder="1" applyAlignment="1">
      <alignment horizontal="center"/>
    </xf>
    <xf numFmtId="165" fontId="20" fillId="0" borderId="24" xfId="0" applyNumberFormat="1" applyFont="1" applyBorder="1" applyAlignment="1">
      <alignment horizontal="center"/>
    </xf>
    <xf numFmtId="0" fontId="20" fillId="0" borderId="139" xfId="0" applyFont="1" applyBorder="1" applyAlignment="1">
      <alignment horizontal="center"/>
    </xf>
    <xf numFmtId="0" fontId="42" fillId="9" borderId="284" xfId="0" applyFont="1" applyFill="1" applyBorder="1" applyAlignment="1">
      <alignment horizontal="center"/>
    </xf>
    <xf numFmtId="0" fontId="46" fillId="9" borderId="68" xfId="0" applyFont="1" applyFill="1" applyBorder="1" applyAlignment="1">
      <alignment horizontal="center"/>
    </xf>
    <xf numFmtId="0" fontId="32" fillId="9" borderId="68" xfId="0" applyFont="1" applyFill="1" applyBorder="1" applyAlignment="1">
      <alignment horizontal="center"/>
    </xf>
    <xf numFmtId="0" fontId="32" fillId="9" borderId="285" xfId="0" applyFont="1" applyFill="1" applyBorder="1" applyAlignment="1">
      <alignment horizontal="center"/>
    </xf>
    <xf numFmtId="0" fontId="31" fillId="0" borderId="286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19" fillId="9" borderId="115" xfId="0" applyFont="1" applyFill="1" applyBorder="1" applyAlignment="1">
      <alignment horizontal="center"/>
    </xf>
    <xf numFmtId="0" fontId="19" fillId="9" borderId="55" xfId="0" applyFont="1" applyFill="1" applyBorder="1" applyAlignment="1">
      <alignment horizontal="center"/>
    </xf>
    <xf numFmtId="0" fontId="19" fillId="9" borderId="56" xfId="0" applyFont="1" applyFill="1" applyBorder="1" applyAlignment="1">
      <alignment horizontal="center"/>
    </xf>
    <xf numFmtId="0" fontId="19" fillId="9" borderId="57" xfId="0" applyFont="1" applyFill="1" applyBorder="1" applyAlignment="1">
      <alignment horizontal="center"/>
    </xf>
    <xf numFmtId="0" fontId="19" fillId="9" borderId="52" xfId="0" applyFont="1" applyFill="1" applyBorder="1" applyAlignment="1">
      <alignment horizontal="center"/>
    </xf>
    <xf numFmtId="0" fontId="30" fillId="0" borderId="216" xfId="0" applyFont="1" applyBorder="1" applyAlignment="1">
      <alignment horizontal="center"/>
    </xf>
    <xf numFmtId="0" fontId="30" fillId="0" borderId="217" xfId="0" applyFont="1" applyBorder="1" applyAlignment="1">
      <alignment horizontal="center"/>
    </xf>
    <xf numFmtId="0" fontId="10" fillId="0" borderId="201" xfId="0" applyFont="1" applyBorder="1" applyAlignment="1">
      <alignment horizontal="center" vertical="center"/>
    </xf>
    <xf numFmtId="0" fontId="14" fillId="10" borderId="365" xfId="0" applyFont="1" applyFill="1" applyBorder="1" applyAlignment="1">
      <alignment horizontal="left" vertical="center"/>
    </xf>
    <xf numFmtId="0" fontId="32" fillId="9" borderId="121" xfId="0" applyFont="1" applyFill="1" applyBorder="1" applyAlignment="1">
      <alignment horizontal="center"/>
    </xf>
    <xf numFmtId="0" fontId="31" fillId="9" borderId="122" xfId="0" applyFont="1" applyFill="1" applyBorder="1" applyAlignment="1">
      <alignment horizontal="center"/>
    </xf>
    <xf numFmtId="0" fontId="31" fillId="9" borderId="30" xfId="0" applyFont="1" applyFill="1" applyBorder="1" applyAlignment="1">
      <alignment horizontal="center"/>
    </xf>
    <xf numFmtId="0" fontId="31" fillId="9" borderId="121" xfId="0" applyFont="1" applyFill="1" applyBorder="1" applyAlignment="1">
      <alignment horizontal="center"/>
    </xf>
    <xf numFmtId="0" fontId="31" fillId="9" borderId="216" xfId="0" applyFont="1" applyFill="1" applyBorder="1" applyAlignment="1">
      <alignment horizontal="center"/>
    </xf>
    <xf numFmtId="0" fontId="20" fillId="0" borderId="30" xfId="0" applyFont="1" applyBorder="1" applyAlignment="1">
      <alignment horizontal="center" vertical="center"/>
    </xf>
    <xf numFmtId="0" fontId="20" fillId="2" borderId="216" xfId="0" applyFont="1" applyFill="1" applyBorder="1" applyAlignment="1">
      <alignment horizontal="center"/>
    </xf>
    <xf numFmtId="0" fontId="20" fillId="0" borderId="318" xfId="0" applyFont="1" applyBorder="1" applyAlignment="1">
      <alignment horizontal="center"/>
    </xf>
    <xf numFmtId="0" fontId="20" fillId="0" borderId="171" xfId="0" applyFont="1" applyBorder="1" applyAlignment="1">
      <alignment horizontal="center"/>
    </xf>
    <xf numFmtId="0" fontId="20" fillId="0" borderId="215" xfId="0" applyFont="1" applyBorder="1" applyAlignment="1">
      <alignment horizontal="center"/>
    </xf>
    <xf numFmtId="0" fontId="32" fillId="4" borderId="122" xfId="0" applyFont="1" applyFill="1" applyBorder="1" applyAlignment="1">
      <alignment horizontal="center"/>
    </xf>
    <xf numFmtId="0" fontId="32" fillId="4" borderId="68" xfId="0" applyFont="1" applyFill="1" applyBorder="1" applyAlignment="1">
      <alignment horizontal="center"/>
    </xf>
    <xf numFmtId="0" fontId="42" fillId="9" borderId="68" xfId="0" applyFont="1" applyFill="1" applyBorder="1" applyAlignment="1">
      <alignment horizontal="center"/>
    </xf>
    <xf numFmtId="0" fontId="31" fillId="0" borderId="285" xfId="0" applyFont="1" applyBorder="1" applyAlignment="1">
      <alignment horizontal="center"/>
    </xf>
    <xf numFmtId="0" fontId="42" fillId="0" borderId="285" xfId="0" applyFont="1" applyBorder="1" applyAlignment="1">
      <alignment horizontal="center"/>
    </xf>
    <xf numFmtId="0" fontId="21" fillId="0" borderId="284" xfId="0" applyFont="1" applyBorder="1" applyAlignment="1">
      <alignment horizontal="center"/>
    </xf>
    <xf numFmtId="0" fontId="30" fillId="0" borderId="68" xfId="0" applyFont="1" applyBorder="1" applyAlignment="1">
      <alignment horizontal="center"/>
    </xf>
    <xf numFmtId="0" fontId="20" fillId="0" borderId="285" xfId="0" applyFont="1" applyBorder="1" applyAlignment="1">
      <alignment horizontal="center"/>
    </xf>
    <xf numFmtId="0" fontId="30" fillId="2" borderId="185" xfId="0" applyFont="1" applyFill="1" applyBorder="1" applyAlignment="1">
      <alignment horizontal="center" vertical="center"/>
    </xf>
    <xf numFmtId="0" fontId="20" fillId="2" borderId="186" xfId="0" applyFont="1" applyFill="1" applyBorder="1" applyAlignment="1">
      <alignment horizontal="center" vertical="center"/>
    </xf>
    <xf numFmtId="0" fontId="20" fillId="0" borderId="185" xfId="0" applyFont="1" applyBorder="1" applyAlignment="1">
      <alignment horizontal="center" vertical="center"/>
    </xf>
    <xf numFmtId="0" fontId="20" fillId="4" borderId="315" xfId="0" applyFont="1" applyFill="1" applyBorder="1" applyAlignment="1">
      <alignment horizontal="center"/>
    </xf>
    <xf numFmtId="0" fontId="20" fillId="4" borderId="316" xfId="0" applyFont="1" applyFill="1" applyBorder="1" applyAlignment="1">
      <alignment horizontal="center"/>
    </xf>
    <xf numFmtId="0" fontId="47" fillId="2" borderId="71" xfId="0" applyFont="1" applyFill="1" applyBorder="1" applyAlignment="1">
      <alignment horizontal="left" vertical="center"/>
    </xf>
    <xf numFmtId="0" fontId="30" fillId="0" borderId="115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19" fillId="0" borderId="366" xfId="0" applyFont="1" applyBorder="1" applyAlignment="1">
      <alignment horizontal="center"/>
    </xf>
    <xf numFmtId="0" fontId="19" fillId="0" borderId="367" xfId="0" applyFont="1" applyBorder="1" applyAlignment="1">
      <alignment horizontal="center"/>
    </xf>
    <xf numFmtId="0" fontId="19" fillId="0" borderId="369" xfId="0" applyFont="1" applyBorder="1" applyAlignment="1">
      <alignment horizontal="center"/>
    </xf>
    <xf numFmtId="0" fontId="19" fillId="0" borderId="370" xfId="0" applyFont="1" applyBorder="1" applyAlignment="1">
      <alignment horizontal="center"/>
    </xf>
    <xf numFmtId="0" fontId="20" fillId="0" borderId="370" xfId="0" applyFont="1" applyBorder="1" applyAlignment="1">
      <alignment horizontal="center"/>
    </xf>
    <xf numFmtId="0" fontId="20" fillId="0" borderId="371" xfId="0" applyFont="1" applyBorder="1" applyAlignment="1">
      <alignment horizontal="center"/>
    </xf>
    <xf numFmtId="0" fontId="19" fillId="0" borderId="372" xfId="0" applyFont="1" applyBorder="1" applyAlignment="1">
      <alignment horizontal="center"/>
    </xf>
    <xf numFmtId="0" fontId="19" fillId="0" borderId="373" xfId="0" applyFont="1" applyBorder="1" applyAlignment="1">
      <alignment horizontal="center"/>
    </xf>
    <xf numFmtId="0" fontId="19" fillId="0" borderId="374" xfId="0" applyFont="1" applyBorder="1" applyAlignment="1">
      <alignment horizontal="center"/>
    </xf>
    <xf numFmtId="0" fontId="19" fillId="0" borderId="214" xfId="0" applyFont="1" applyBorder="1" applyAlignment="1">
      <alignment horizontal="center" vertical="center"/>
    </xf>
    <xf numFmtId="0" fontId="19" fillId="0" borderId="376" xfId="0" applyFont="1" applyBorder="1" applyAlignment="1">
      <alignment horizontal="center" vertical="center"/>
    </xf>
    <xf numFmtId="0" fontId="19" fillId="0" borderId="332" xfId="0" applyFont="1" applyBorder="1" applyAlignment="1">
      <alignment horizontal="center" vertical="center"/>
    </xf>
    <xf numFmtId="0" fontId="48" fillId="0" borderId="368" xfId="0" applyFont="1" applyBorder="1" applyAlignment="1">
      <alignment horizontal="center" vertical="center"/>
    </xf>
    <xf numFmtId="0" fontId="48" fillId="0" borderId="375" xfId="0" applyFont="1" applyBorder="1" applyAlignment="1">
      <alignment horizontal="center" vertical="center"/>
    </xf>
    <xf numFmtId="0" fontId="48" fillId="0" borderId="377" xfId="0" applyFont="1" applyBorder="1" applyAlignment="1">
      <alignment horizontal="center" vertical="center"/>
    </xf>
    <xf numFmtId="0" fontId="20" fillId="0" borderId="183" xfId="0" applyFont="1" applyBorder="1" applyAlignment="1">
      <alignment horizontal="center"/>
    </xf>
    <xf numFmtId="0" fontId="20" fillId="2" borderId="115" xfId="0" applyFont="1" applyFill="1" applyBorder="1" applyAlignment="1">
      <alignment horizontal="center"/>
    </xf>
    <xf numFmtId="0" fontId="20" fillId="0" borderId="132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20" fillId="2" borderId="45" xfId="0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21" fillId="2" borderId="32" xfId="0" applyFont="1" applyFill="1" applyBorder="1" applyAlignment="1">
      <alignment horizontal="center" vertical="center"/>
    </xf>
    <xf numFmtId="0" fontId="20" fillId="0" borderId="77" xfId="0" applyFont="1" applyBorder="1" applyAlignment="1">
      <alignment horizontal="center"/>
    </xf>
    <xf numFmtId="0" fontId="20" fillId="0" borderId="185" xfId="0" applyFont="1" applyBorder="1" applyAlignment="1">
      <alignment horizontal="center"/>
    </xf>
    <xf numFmtId="0" fontId="10" fillId="0" borderId="338" xfId="0" applyFont="1" applyBorder="1" applyAlignment="1">
      <alignment horizontal="center" vertical="center"/>
    </xf>
    <xf numFmtId="0" fontId="20" fillId="2" borderId="191" xfId="0" applyFont="1" applyFill="1" applyBorder="1" applyAlignment="1">
      <alignment horizontal="center"/>
    </xf>
    <xf numFmtId="0" fontId="20" fillId="4" borderId="15" xfId="0" applyFont="1" applyFill="1" applyBorder="1" applyAlignment="1">
      <alignment horizontal="center"/>
    </xf>
    <xf numFmtId="0" fontId="30" fillId="9" borderId="115" xfId="0" applyFont="1" applyFill="1" applyBorder="1" applyAlignment="1">
      <alignment horizontal="center"/>
    </xf>
    <xf numFmtId="0" fontId="30" fillId="9" borderId="55" xfId="0" applyFont="1" applyFill="1" applyBorder="1" applyAlignment="1">
      <alignment horizontal="center"/>
    </xf>
    <xf numFmtId="0" fontId="20" fillId="9" borderId="55" xfId="0" applyFont="1" applyFill="1" applyBorder="1" applyAlignment="1">
      <alignment horizontal="center"/>
    </xf>
    <xf numFmtId="0" fontId="20" fillId="9" borderId="56" xfId="0" applyFont="1" applyFill="1" applyBorder="1" applyAlignment="1">
      <alignment horizontal="center"/>
    </xf>
    <xf numFmtId="0" fontId="30" fillId="0" borderId="52" xfId="0" applyFont="1" applyBorder="1" applyAlignment="1">
      <alignment horizontal="center"/>
    </xf>
    <xf numFmtId="0" fontId="20" fillId="2" borderId="48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0" fillId="0" borderId="177" xfId="0" applyFont="1" applyBorder="1" applyAlignment="1">
      <alignment horizontal="center"/>
    </xf>
    <xf numFmtId="0" fontId="20" fillId="4" borderId="55" xfId="0" applyFont="1" applyFill="1" applyBorder="1" applyAlignment="1">
      <alignment horizontal="center"/>
    </xf>
    <xf numFmtId="0" fontId="31" fillId="0" borderId="144" xfId="0" applyFont="1" applyBorder="1" applyAlignment="1">
      <alignment horizontal="center"/>
    </xf>
    <xf numFmtId="0" fontId="20" fillId="4" borderId="132" xfId="0" applyFont="1" applyFill="1" applyBorder="1" applyAlignment="1">
      <alignment horizontal="center"/>
    </xf>
    <xf numFmtId="0" fontId="20" fillId="0" borderId="10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/>
    </xf>
    <xf numFmtId="0" fontId="19" fillId="0" borderId="378" xfId="0" applyFont="1" applyBorder="1" applyAlignment="1">
      <alignment horizontal="center"/>
    </xf>
    <xf numFmtId="0" fontId="19" fillId="0" borderId="379" xfId="0" applyFont="1" applyBorder="1" applyAlignment="1">
      <alignment horizontal="center"/>
    </xf>
    <xf numFmtId="0" fontId="19" fillId="0" borderId="380" xfId="0" applyFont="1" applyBorder="1" applyAlignment="1">
      <alignment horizontal="center"/>
    </xf>
    <xf numFmtId="0" fontId="20" fillId="0" borderId="381" xfId="0" applyFont="1" applyBorder="1" applyAlignment="1">
      <alignment horizontal="center"/>
    </xf>
    <xf numFmtId="0" fontId="19" fillId="0" borderId="382" xfId="0" applyFont="1" applyBorder="1" applyAlignment="1">
      <alignment horizontal="center"/>
    </xf>
    <xf numFmtId="0" fontId="19" fillId="0" borderId="383" xfId="0" applyFont="1" applyBorder="1" applyAlignment="1">
      <alignment horizontal="center"/>
    </xf>
    <xf numFmtId="0" fontId="19" fillId="0" borderId="381" xfId="0" applyFont="1" applyBorder="1" applyAlignment="1">
      <alignment horizontal="center"/>
    </xf>
    <xf numFmtId="0" fontId="19" fillId="0" borderId="384" xfId="0" applyFont="1" applyBorder="1" applyAlignment="1">
      <alignment horizontal="center" vertical="center"/>
    </xf>
    <xf numFmtId="0" fontId="19" fillId="0" borderId="385" xfId="0" applyFont="1" applyBorder="1" applyAlignment="1">
      <alignment horizontal="center" vertical="center"/>
    </xf>
    <xf numFmtId="0" fontId="20" fillId="0" borderId="385" xfId="0" applyFont="1" applyBorder="1" applyAlignment="1">
      <alignment horizontal="center" vertical="center"/>
    </xf>
    <xf numFmtId="0" fontId="20" fillId="0" borderId="386" xfId="0" applyFont="1" applyBorder="1" applyAlignment="1">
      <alignment horizontal="center" vertical="center"/>
    </xf>
    <xf numFmtId="0" fontId="19" fillId="8" borderId="387" xfId="0" applyFont="1" applyFill="1" applyBorder="1" applyAlignment="1">
      <alignment horizontal="center" vertical="center"/>
    </xf>
    <xf numFmtId="0" fontId="19" fillId="8" borderId="367" xfId="0" applyFont="1" applyFill="1" applyBorder="1" applyAlignment="1">
      <alignment horizontal="center" vertical="center"/>
    </xf>
    <xf numFmtId="0" fontId="20" fillId="0" borderId="367" xfId="0" applyFont="1" applyBorder="1" applyAlignment="1">
      <alignment horizontal="center" vertical="center"/>
    </xf>
    <xf numFmtId="0" fontId="20" fillId="0" borderId="388" xfId="0" applyFont="1" applyBorder="1" applyAlignment="1">
      <alignment horizontal="center" vertical="center"/>
    </xf>
    <xf numFmtId="0" fontId="31" fillId="2" borderId="178" xfId="0" applyFont="1" applyFill="1" applyBorder="1" applyAlignment="1">
      <alignment horizontal="center"/>
    </xf>
    <xf numFmtId="0" fontId="30" fillId="2" borderId="175" xfId="0" applyFont="1" applyFill="1" applyBorder="1" applyAlignment="1">
      <alignment horizontal="center"/>
    </xf>
    <xf numFmtId="0" fontId="30" fillId="0" borderId="179" xfId="0" applyFont="1" applyBorder="1" applyAlignment="1">
      <alignment horizontal="center" vertical="center"/>
    </xf>
    <xf numFmtId="0" fontId="30" fillId="2" borderId="177" xfId="0" applyFont="1" applyFill="1" applyBorder="1" applyAlignment="1">
      <alignment horizontal="center"/>
    </xf>
    <xf numFmtId="0" fontId="20" fillId="0" borderId="192" xfId="0" applyFont="1" applyBorder="1" applyAlignment="1">
      <alignment horizontal="center"/>
    </xf>
    <xf numFmtId="0" fontId="20" fillId="0" borderId="191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20" fillId="0" borderId="161" xfId="0" applyFont="1" applyBorder="1" applyAlignment="1">
      <alignment horizontal="center"/>
    </xf>
    <xf numFmtId="0" fontId="31" fillId="0" borderId="381" xfId="0" applyFont="1" applyBorder="1" applyAlignment="1">
      <alignment horizontal="center"/>
    </xf>
    <xf numFmtId="0" fontId="20" fillId="2" borderId="192" xfId="0" applyFont="1" applyFill="1" applyBorder="1" applyAlignment="1">
      <alignment horizontal="center"/>
    </xf>
    <xf numFmtId="0" fontId="20" fillId="0" borderId="360" xfId="0" applyFont="1" applyBorder="1" applyAlignment="1">
      <alignment horizontal="center"/>
    </xf>
    <xf numFmtId="0" fontId="20" fillId="0" borderId="358" xfId="0" applyFont="1" applyBorder="1" applyAlignment="1">
      <alignment horizontal="center"/>
    </xf>
    <xf numFmtId="0" fontId="20" fillId="0" borderId="184" xfId="0" applyFont="1" applyBorder="1" applyAlignment="1">
      <alignment horizontal="center"/>
    </xf>
    <xf numFmtId="0" fontId="19" fillId="9" borderId="178" xfId="0" applyFont="1" applyFill="1" applyBorder="1" applyAlignment="1">
      <alignment horizontal="center"/>
    </xf>
    <xf numFmtId="0" fontId="19" fillId="9" borderId="177" xfId="0" applyFont="1" applyFill="1" applyBorder="1" applyAlignment="1">
      <alignment horizontal="center"/>
    </xf>
    <xf numFmtId="0" fontId="30" fillId="9" borderId="177" xfId="0" applyFont="1" applyFill="1" applyBorder="1" applyAlignment="1">
      <alignment horizontal="center"/>
    </xf>
    <xf numFmtId="0" fontId="20" fillId="9" borderId="176" xfId="0" applyFont="1" applyFill="1" applyBorder="1" applyAlignment="1">
      <alignment horizontal="center"/>
    </xf>
    <xf numFmtId="0" fontId="31" fillId="9" borderId="175" xfId="0" applyFont="1" applyFill="1" applyBorder="1" applyAlignment="1">
      <alignment horizontal="center"/>
    </xf>
    <xf numFmtId="0" fontId="30" fillId="9" borderId="175" xfId="0" applyFont="1" applyFill="1" applyBorder="1" applyAlignment="1">
      <alignment horizontal="center"/>
    </xf>
    <xf numFmtId="0" fontId="5" fillId="2" borderId="177" xfId="0" applyFont="1" applyFill="1" applyBorder="1" applyAlignment="1">
      <alignment horizontal="center"/>
    </xf>
    <xf numFmtId="0" fontId="30" fillId="2" borderId="176" xfId="0" applyFont="1" applyFill="1" applyBorder="1" applyAlignment="1">
      <alignment horizontal="center"/>
    </xf>
    <xf numFmtId="0" fontId="20" fillId="4" borderId="189" xfId="0" applyFont="1" applyFill="1" applyBorder="1" applyAlignment="1">
      <alignment horizontal="center"/>
    </xf>
    <xf numFmtId="0" fontId="20" fillId="4" borderId="191" xfId="0" applyFont="1" applyFill="1" applyBorder="1" applyAlignment="1">
      <alignment horizontal="center"/>
    </xf>
    <xf numFmtId="0" fontId="20" fillId="4" borderId="21" xfId="0" applyFont="1" applyFill="1" applyBorder="1" applyAlignment="1">
      <alignment horizontal="center"/>
    </xf>
    <xf numFmtId="0" fontId="20" fillId="0" borderId="153" xfId="0" applyFont="1" applyBorder="1" applyAlignment="1">
      <alignment horizontal="center"/>
    </xf>
    <xf numFmtId="0" fontId="20" fillId="0" borderId="361" xfId="0" applyFont="1" applyBorder="1" applyAlignment="1">
      <alignment horizontal="center"/>
    </xf>
    <xf numFmtId="0" fontId="30" fillId="4" borderId="134" xfId="0" applyFont="1" applyFill="1" applyBorder="1" applyAlignment="1">
      <alignment horizontal="center"/>
    </xf>
    <xf numFmtId="0" fontId="20" fillId="0" borderId="357" xfId="0" applyFont="1" applyBorder="1" applyAlignment="1">
      <alignment horizontal="center"/>
    </xf>
    <xf numFmtId="0" fontId="32" fillId="0" borderId="138" xfId="0" applyFont="1" applyBorder="1" applyAlignment="1">
      <alignment horizontal="center"/>
    </xf>
    <xf numFmtId="0" fontId="10" fillId="0" borderId="337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89" xfId="0" applyFont="1" applyBorder="1">
      <alignment vertical="center"/>
    </xf>
    <xf numFmtId="0" fontId="30" fillId="0" borderId="176" xfId="0" applyFont="1" applyBorder="1" applyAlignment="1">
      <alignment horizontal="center" vertical="center"/>
    </xf>
    <xf numFmtId="0" fontId="20" fillId="2" borderId="185" xfId="0" applyFont="1" applyFill="1" applyBorder="1" applyAlignment="1">
      <alignment horizontal="center"/>
    </xf>
    <xf numFmtId="0" fontId="20" fillId="4" borderId="358" xfId="0" applyFont="1" applyFill="1" applyBorder="1" applyAlignment="1">
      <alignment horizontal="center"/>
    </xf>
    <xf numFmtId="0" fontId="20" fillId="4" borderId="175" xfId="0" applyFont="1" applyFill="1" applyBorder="1" applyAlignment="1">
      <alignment horizontal="center"/>
    </xf>
    <xf numFmtId="0" fontId="30" fillId="2" borderId="186" xfId="0" applyFont="1" applyFill="1" applyBorder="1" applyAlignment="1">
      <alignment horizontal="center" vertical="center"/>
    </xf>
    <xf numFmtId="0" fontId="19" fillId="0" borderId="387" xfId="0" applyFont="1" applyBorder="1" applyAlignment="1">
      <alignment horizontal="center"/>
    </xf>
    <xf numFmtId="0" fontId="5" fillId="0" borderId="333" xfId="0" applyFont="1" applyBorder="1">
      <alignment vertical="center"/>
    </xf>
    <xf numFmtId="0" fontId="5" fillId="4" borderId="14" xfId="1" applyFont="1" applyFill="1" applyBorder="1" applyAlignment="1">
      <alignment horizontal="center" vertical="center"/>
    </xf>
    <xf numFmtId="0" fontId="50" fillId="0" borderId="0" xfId="0" applyFont="1">
      <alignment vertical="center"/>
    </xf>
    <xf numFmtId="0" fontId="50" fillId="16" borderId="0" xfId="0" applyFont="1" applyFill="1">
      <alignment vertical="center"/>
    </xf>
    <xf numFmtId="0" fontId="51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2" fillId="0" borderId="0" xfId="0" applyFont="1" applyAlignment="1"/>
    <xf numFmtId="0" fontId="11" fillId="0" borderId="1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 wrapText="1"/>
    </xf>
    <xf numFmtId="0" fontId="10" fillId="0" borderId="104" xfId="0" applyFont="1" applyBorder="1" applyAlignment="1">
      <alignment horizontal="center" vertical="center" wrapText="1"/>
    </xf>
    <xf numFmtId="0" fontId="10" fillId="0" borderId="101" xfId="0" applyFont="1" applyBorder="1" applyAlignment="1">
      <alignment horizontal="center" vertical="center"/>
    </xf>
    <xf numFmtId="0" fontId="10" fillId="0" borderId="102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164" fontId="17" fillId="6" borderId="15" xfId="0" applyNumberFormat="1" applyFont="1" applyFill="1" applyBorder="1" applyAlignment="1">
      <alignment horizontal="center" vertical="center"/>
    </xf>
    <xf numFmtId="164" fontId="17" fillId="6" borderId="8" xfId="0" applyNumberFormat="1" applyFont="1" applyFill="1" applyBorder="1" applyAlignment="1">
      <alignment horizontal="center" vertical="center"/>
    </xf>
    <xf numFmtId="164" fontId="17" fillId="6" borderId="10" xfId="0" applyNumberFormat="1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23" xfId="0" applyFont="1" applyFill="1" applyBorder="1" applyAlignment="1">
      <alignment horizontal="center" vertical="center"/>
    </xf>
    <xf numFmtId="0" fontId="10" fillId="0" borderId="112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208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0" fillId="0" borderId="89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164" fontId="17" fillId="6" borderId="109" xfId="0" applyNumberFormat="1" applyFont="1" applyFill="1" applyBorder="1" applyAlignment="1">
      <alignment horizontal="center" vertical="center"/>
    </xf>
    <xf numFmtId="164" fontId="17" fillId="6" borderId="247" xfId="0" applyNumberFormat="1" applyFont="1" applyFill="1" applyBorder="1" applyAlignment="1">
      <alignment horizontal="center" vertical="center"/>
    </xf>
    <xf numFmtId="0" fontId="19" fillId="5" borderId="59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60" xfId="0" applyFont="1" applyFill="1" applyBorder="1" applyAlignment="1">
      <alignment horizontal="center" vertical="center"/>
    </xf>
    <xf numFmtId="0" fontId="19" fillId="5" borderId="63" xfId="0" applyFont="1" applyFill="1" applyBorder="1" applyAlignment="1">
      <alignment horizontal="center" vertical="center"/>
    </xf>
    <xf numFmtId="0" fontId="19" fillId="5" borderId="61" xfId="0" applyFont="1" applyFill="1" applyBorder="1" applyAlignment="1">
      <alignment horizontal="center" vertical="center"/>
    </xf>
    <xf numFmtId="164" fontId="17" fillId="6" borderId="90" xfId="0" applyNumberFormat="1" applyFont="1" applyFill="1" applyBorder="1" applyAlignment="1">
      <alignment horizontal="center" vertical="center"/>
    </xf>
    <xf numFmtId="164" fontId="17" fillId="6" borderId="19" xfId="0" applyNumberFormat="1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64" fontId="17" fillId="6" borderId="31" xfId="0" applyNumberFormat="1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4" fontId="17" fillId="6" borderId="42" xfId="0" applyNumberFormat="1" applyFont="1" applyFill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109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164" fontId="17" fillId="6" borderId="82" xfId="0" applyNumberFormat="1" applyFont="1" applyFill="1" applyBorder="1" applyAlignment="1">
      <alignment horizontal="center" vertical="center"/>
    </xf>
    <xf numFmtId="164" fontId="17" fillId="6" borderId="78" xfId="0" applyNumberFormat="1" applyFont="1" applyFill="1" applyBorder="1" applyAlignment="1">
      <alignment horizontal="center" vertical="center"/>
    </xf>
    <xf numFmtId="164" fontId="17" fillId="6" borderId="79" xfId="0" applyNumberFormat="1" applyFont="1" applyFill="1" applyBorder="1" applyAlignment="1">
      <alignment horizontal="center" vertical="center"/>
    </xf>
    <xf numFmtId="0" fontId="10" fillId="0" borderId="84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 wrapText="1"/>
    </xf>
    <xf numFmtId="0" fontId="10" fillId="0" borderId="290" xfId="0" applyFont="1" applyBorder="1" applyAlignment="1">
      <alignment horizontal="center" vertical="center"/>
    </xf>
    <xf numFmtId="0" fontId="10" fillId="0" borderId="253" xfId="0" applyFont="1" applyBorder="1" applyAlignment="1">
      <alignment horizontal="center" vertical="center"/>
    </xf>
    <xf numFmtId="0" fontId="10" fillId="0" borderId="335" xfId="0" applyFont="1" applyBorder="1" applyAlignment="1">
      <alignment horizontal="center" vertical="center"/>
    </xf>
    <xf numFmtId="0" fontId="10" fillId="0" borderId="338" xfId="0" applyFont="1" applyBorder="1" applyAlignment="1">
      <alignment horizontal="center" vertical="center"/>
    </xf>
    <xf numFmtId="0" fontId="10" fillId="0" borderId="336" xfId="0" applyFont="1" applyBorder="1" applyAlignment="1">
      <alignment horizontal="center" vertical="center"/>
    </xf>
    <xf numFmtId="0" fontId="19" fillId="5" borderId="258" xfId="0" applyFont="1" applyFill="1" applyBorder="1" applyAlignment="1">
      <alignment horizontal="center" vertical="center"/>
    </xf>
    <xf numFmtId="0" fontId="19" fillId="5" borderId="259" xfId="0" applyFont="1" applyFill="1" applyBorder="1" applyAlignment="1">
      <alignment horizontal="center" vertical="center"/>
    </xf>
    <xf numFmtId="0" fontId="19" fillId="5" borderId="277" xfId="0" applyFont="1" applyFill="1" applyBorder="1" applyAlignment="1">
      <alignment horizontal="center" vertical="center"/>
    </xf>
    <xf numFmtId="0" fontId="19" fillId="5" borderId="267" xfId="0" applyFont="1" applyFill="1" applyBorder="1" applyAlignment="1">
      <alignment horizontal="center" vertical="center"/>
    </xf>
    <xf numFmtId="0" fontId="19" fillId="5" borderId="268" xfId="0" applyFont="1" applyFill="1" applyBorder="1" applyAlignment="1">
      <alignment horizontal="center" vertical="center"/>
    </xf>
    <xf numFmtId="0" fontId="10" fillId="0" borderId="288" xfId="0" applyFont="1" applyBorder="1" applyAlignment="1">
      <alignment horizontal="center" vertical="center" wrapText="1"/>
    </xf>
    <xf numFmtId="0" fontId="10" fillId="0" borderId="289" xfId="0" applyFont="1" applyBorder="1" applyAlignment="1">
      <alignment horizontal="center" vertical="center" wrapText="1"/>
    </xf>
    <xf numFmtId="0" fontId="10" fillId="0" borderId="289" xfId="0" applyFont="1" applyBorder="1" applyAlignment="1">
      <alignment horizontal="center" vertical="center"/>
    </xf>
    <xf numFmtId="164" fontId="17" fillId="6" borderId="254" xfId="0" applyNumberFormat="1" applyFont="1" applyFill="1" applyBorder="1" applyAlignment="1">
      <alignment horizontal="center" vertical="center"/>
    </xf>
    <xf numFmtId="0" fontId="10" fillId="0" borderId="291" xfId="0" applyFont="1" applyBorder="1" applyAlignment="1">
      <alignment horizontal="center" vertical="center"/>
    </xf>
    <xf numFmtId="0" fontId="10" fillId="0" borderId="292" xfId="0" applyFont="1" applyBorder="1" applyAlignment="1">
      <alignment horizontal="center" vertical="center"/>
    </xf>
    <xf numFmtId="0" fontId="10" fillId="0" borderId="293" xfId="0" applyFont="1" applyBorder="1" applyAlignment="1">
      <alignment horizontal="center" vertical="center"/>
    </xf>
    <xf numFmtId="164" fontId="17" fillId="6" borderId="294" xfId="0" applyNumberFormat="1" applyFont="1" applyFill="1" applyBorder="1" applyAlignment="1">
      <alignment horizontal="center" vertical="center"/>
    </xf>
    <xf numFmtId="0" fontId="10" fillId="0" borderId="337" xfId="0" applyFont="1" applyBorder="1" applyAlignment="1">
      <alignment horizontal="center" vertical="center"/>
    </xf>
    <xf numFmtId="0" fontId="31" fillId="0" borderId="335" xfId="0" applyFont="1" applyBorder="1" applyAlignment="1">
      <alignment horizontal="center" vertical="center"/>
    </xf>
    <xf numFmtId="0" fontId="31" fillId="0" borderId="253" xfId="0" applyFont="1" applyBorder="1" applyAlignment="1">
      <alignment horizontal="center" vertical="center"/>
    </xf>
    <xf numFmtId="0" fontId="31" fillId="0" borderId="336" xfId="0" applyFont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0" fillId="0" borderId="260" xfId="0" applyFont="1" applyBorder="1" applyAlignment="1">
      <alignment horizontal="center" vertical="center"/>
    </xf>
    <xf numFmtId="0" fontId="10" fillId="0" borderId="308" xfId="0" applyFont="1" applyBorder="1" applyAlignment="1">
      <alignment horizontal="center" vertical="center"/>
    </xf>
    <xf numFmtId="0" fontId="10" fillId="0" borderId="307" xfId="0" applyFont="1" applyBorder="1" applyAlignment="1">
      <alignment horizontal="center" vertical="center"/>
    </xf>
    <xf numFmtId="0" fontId="10" fillId="0" borderId="306" xfId="0" applyFont="1" applyBorder="1" applyAlignment="1">
      <alignment horizontal="center" vertical="center"/>
    </xf>
    <xf numFmtId="0" fontId="10" fillId="0" borderId="351" xfId="0" applyFont="1" applyBorder="1" applyAlignment="1">
      <alignment horizontal="center" vertical="center"/>
    </xf>
    <xf numFmtId="0" fontId="10" fillId="0" borderId="364" xfId="0" applyFont="1" applyBorder="1" applyAlignment="1">
      <alignment horizontal="center" vertical="center"/>
    </xf>
    <xf numFmtId="0" fontId="10" fillId="0" borderId="305" xfId="0" applyFont="1" applyBorder="1" applyAlignment="1">
      <alignment horizontal="center" vertical="center" wrapText="1"/>
    </xf>
    <xf numFmtId="0" fontId="10" fillId="0" borderId="306" xfId="0" applyFont="1" applyBorder="1" applyAlignment="1">
      <alignment horizontal="center" vertical="center" wrapText="1"/>
    </xf>
    <xf numFmtId="0" fontId="10" fillId="0" borderId="320" xfId="0" applyFont="1" applyBorder="1" applyAlignment="1">
      <alignment horizontal="center" vertical="center"/>
    </xf>
    <xf numFmtId="0" fontId="10" fillId="0" borderId="310" xfId="0" applyFont="1" applyBorder="1" applyAlignment="1">
      <alignment horizontal="center" vertical="center"/>
    </xf>
    <xf numFmtId="0" fontId="10" fillId="0" borderId="31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horizontal="center" vertical="center"/>
    </xf>
    <xf numFmtId="164" fontId="17" fillId="6" borderId="296" xfId="0" applyNumberFormat="1" applyFont="1" applyFill="1" applyBorder="1" applyAlignment="1">
      <alignment horizontal="center" vertical="center"/>
    </xf>
    <xf numFmtId="0" fontId="10" fillId="0" borderId="309" xfId="0" applyFont="1" applyBorder="1" applyAlignment="1">
      <alignment horizontal="center" vertical="center"/>
    </xf>
    <xf numFmtId="164" fontId="17" fillId="6" borderId="303" xfId="0" applyNumberFormat="1" applyFont="1" applyFill="1" applyBorder="1" applyAlignment="1">
      <alignment horizontal="center" vertical="center"/>
    </xf>
    <xf numFmtId="164" fontId="17" fillId="6" borderId="301" xfId="0" applyNumberFormat="1" applyFont="1" applyFill="1" applyBorder="1" applyAlignment="1">
      <alignment horizontal="center" vertical="center"/>
    </xf>
    <xf numFmtId="164" fontId="17" fillId="6" borderId="302" xfId="0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131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9" fillId="5" borderId="146" xfId="0" applyFont="1" applyFill="1" applyBorder="1" applyAlignment="1">
      <alignment horizontal="center" vertical="center"/>
    </xf>
    <xf numFmtId="0" fontId="19" fillId="5" borderId="155" xfId="0" applyFont="1" applyFill="1" applyBorder="1" applyAlignment="1">
      <alignment horizontal="center" vertical="center"/>
    </xf>
    <xf numFmtId="0" fontId="19" fillId="5" borderId="147" xfId="0" applyFont="1" applyFill="1" applyBorder="1" applyAlignment="1">
      <alignment horizontal="center" vertical="center"/>
    </xf>
    <xf numFmtId="0" fontId="19" fillId="5" borderId="158" xfId="0" applyFont="1" applyFill="1" applyBorder="1" applyAlignment="1">
      <alignment horizontal="center" vertical="center"/>
    </xf>
    <xf numFmtId="0" fontId="19" fillId="5" borderId="154" xfId="0" applyFont="1" applyFill="1" applyBorder="1" applyAlignment="1">
      <alignment horizontal="center" vertical="center"/>
    </xf>
    <xf numFmtId="0" fontId="19" fillId="5" borderId="156" xfId="0" applyFont="1" applyFill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9" fillId="5" borderId="135" xfId="0" applyFont="1" applyFill="1" applyBorder="1" applyAlignment="1">
      <alignment horizontal="center" vertical="center"/>
    </xf>
    <xf numFmtId="0" fontId="19" fillId="5" borderId="136" xfId="0" applyFont="1" applyFill="1" applyBorder="1" applyAlignment="1">
      <alignment horizontal="center" vertical="center"/>
    </xf>
    <xf numFmtId="0" fontId="19" fillId="5" borderId="137" xfId="0" applyFont="1" applyFill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9" fillId="5" borderId="152" xfId="0" applyFont="1" applyFill="1" applyBorder="1" applyAlignment="1">
      <alignment horizontal="center" vertical="center"/>
    </xf>
    <xf numFmtId="0" fontId="19" fillId="5" borderId="149" xfId="0" applyFont="1" applyFill="1" applyBorder="1" applyAlignment="1">
      <alignment horizontal="center" vertical="center"/>
    </xf>
    <xf numFmtId="0" fontId="19" fillId="5" borderId="161" xfId="0" applyFont="1" applyFill="1" applyBorder="1" applyAlignment="1">
      <alignment horizontal="center" vertical="center"/>
    </xf>
    <xf numFmtId="0" fontId="19" fillId="5" borderId="159" xfId="0" applyFont="1" applyFill="1" applyBorder="1" applyAlignment="1">
      <alignment horizontal="center" vertical="center"/>
    </xf>
    <xf numFmtId="0" fontId="19" fillId="5" borderId="153" xfId="0" applyFont="1" applyFill="1" applyBorder="1" applyAlignment="1">
      <alignment horizontal="center" vertical="center"/>
    </xf>
    <xf numFmtId="0" fontId="13" fillId="0" borderId="167" xfId="0" applyFont="1" applyBorder="1" applyAlignment="1">
      <alignment horizontal="center" vertical="center"/>
    </xf>
    <xf numFmtId="0" fontId="13" fillId="0" borderId="168" xfId="0" applyFont="1" applyBorder="1" applyAlignment="1">
      <alignment horizontal="center" vertical="center"/>
    </xf>
    <xf numFmtId="0" fontId="13" fillId="0" borderId="169" xfId="0" applyFont="1" applyBorder="1" applyAlignment="1">
      <alignment horizontal="center" vertical="center"/>
    </xf>
    <xf numFmtId="0" fontId="19" fillId="5" borderId="143" xfId="0" applyFont="1" applyFill="1" applyBorder="1" applyAlignment="1">
      <alignment horizontal="center" vertical="center"/>
    </xf>
    <xf numFmtId="0" fontId="19" fillId="5" borderId="165" xfId="0" applyFont="1" applyFill="1" applyBorder="1" applyAlignment="1">
      <alignment horizontal="center" vertical="center"/>
    </xf>
  </cellXfs>
  <cellStyles count="2">
    <cellStyle name="Normal" xfId="0" builtinId="0"/>
    <cellStyle name="一般_MAIN" xfId="1" xr:uid="{75C7237E-E1AE-4589-A1FA-364A981B9647}"/>
  </cellStyles>
  <dxfs count="85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b val="0"/>
        <i val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53"/>
  <sheetViews>
    <sheetView zoomScale="60" zoomScaleNormal="60" workbookViewId="0">
      <pane xSplit="4" ySplit="1" topLeftCell="E2" activePane="bottomRight" state="frozen"/>
      <selection pane="topRight"/>
      <selection pane="bottomLeft"/>
      <selection pane="bottomRight" activeCell="L34" sqref="L34"/>
    </sheetView>
  </sheetViews>
  <sheetFormatPr defaultRowHeight="17"/>
  <cols>
    <col min="1" max="1" width="10.08984375" customWidth="1"/>
    <col min="2" max="2" width="22.90625" customWidth="1"/>
    <col min="3" max="3" width="18" customWidth="1"/>
    <col min="4" max="4" width="27.26953125" bestFit="1" customWidth="1"/>
    <col min="5" max="5" width="11" customWidth="1"/>
    <col min="6" max="6" width="26.6328125" customWidth="1"/>
    <col min="7" max="7" width="22.26953125" style="1" customWidth="1"/>
    <col min="8" max="8" width="19" customWidth="1"/>
    <col min="9" max="9" width="18.90625" customWidth="1"/>
    <col min="258" max="258" width="11" customWidth="1"/>
    <col min="259" max="259" width="25.6328125" customWidth="1"/>
    <col min="260" max="260" width="24.90625" customWidth="1"/>
    <col min="261" max="261" width="24.453125" customWidth="1"/>
    <col min="262" max="262" width="28.7265625" customWidth="1"/>
    <col min="514" max="514" width="11" customWidth="1"/>
    <col min="515" max="515" width="25.6328125" customWidth="1"/>
    <col min="516" max="516" width="24.90625" customWidth="1"/>
    <col min="517" max="517" width="24.453125" customWidth="1"/>
    <col min="518" max="518" width="28.7265625" customWidth="1"/>
    <col min="770" max="770" width="11" customWidth="1"/>
    <col min="771" max="771" width="25.6328125" customWidth="1"/>
    <col min="772" max="772" width="24.90625" customWidth="1"/>
    <col min="773" max="773" width="24.453125" customWidth="1"/>
    <col min="774" max="774" width="28.7265625" customWidth="1"/>
    <col min="1026" max="1026" width="11" customWidth="1"/>
    <col min="1027" max="1027" width="25.6328125" customWidth="1"/>
    <col min="1028" max="1028" width="24.90625" customWidth="1"/>
    <col min="1029" max="1029" width="24.453125" customWidth="1"/>
    <col min="1030" max="1030" width="28.7265625" customWidth="1"/>
    <col min="1282" max="1282" width="11" customWidth="1"/>
    <col min="1283" max="1283" width="25.6328125" customWidth="1"/>
    <col min="1284" max="1284" width="24.90625" customWidth="1"/>
    <col min="1285" max="1285" width="24.453125" customWidth="1"/>
    <col min="1286" max="1286" width="28.7265625" customWidth="1"/>
    <col min="1538" max="1538" width="11" customWidth="1"/>
    <col min="1539" max="1539" width="25.6328125" customWidth="1"/>
    <col min="1540" max="1540" width="24.90625" customWidth="1"/>
    <col min="1541" max="1541" width="24.453125" customWidth="1"/>
    <col min="1542" max="1542" width="28.7265625" customWidth="1"/>
    <col min="1794" max="1794" width="11" customWidth="1"/>
    <col min="1795" max="1795" width="25.6328125" customWidth="1"/>
    <col min="1796" max="1796" width="24.90625" customWidth="1"/>
    <col min="1797" max="1797" width="24.453125" customWidth="1"/>
    <col min="1798" max="1798" width="28.7265625" customWidth="1"/>
    <col min="2050" max="2050" width="11" customWidth="1"/>
    <col min="2051" max="2051" width="25.6328125" customWidth="1"/>
    <col min="2052" max="2052" width="24.90625" customWidth="1"/>
    <col min="2053" max="2053" width="24.453125" customWidth="1"/>
    <col min="2054" max="2054" width="28.7265625" customWidth="1"/>
    <col min="2306" max="2306" width="11" customWidth="1"/>
    <col min="2307" max="2307" width="25.6328125" customWidth="1"/>
    <col min="2308" max="2308" width="24.90625" customWidth="1"/>
    <col min="2309" max="2309" width="24.453125" customWidth="1"/>
    <col min="2310" max="2310" width="28.7265625" customWidth="1"/>
    <col min="2562" max="2562" width="11" customWidth="1"/>
    <col min="2563" max="2563" width="25.6328125" customWidth="1"/>
    <col min="2564" max="2564" width="24.90625" customWidth="1"/>
    <col min="2565" max="2565" width="24.453125" customWidth="1"/>
    <col min="2566" max="2566" width="28.7265625" customWidth="1"/>
    <col min="2818" max="2818" width="11" customWidth="1"/>
    <col min="2819" max="2819" width="25.6328125" customWidth="1"/>
    <col min="2820" max="2820" width="24.90625" customWidth="1"/>
    <col min="2821" max="2821" width="24.453125" customWidth="1"/>
    <col min="2822" max="2822" width="28.7265625" customWidth="1"/>
    <col min="3074" max="3074" width="11" customWidth="1"/>
    <col min="3075" max="3075" width="25.6328125" customWidth="1"/>
    <col min="3076" max="3076" width="24.90625" customWidth="1"/>
    <col min="3077" max="3077" width="24.453125" customWidth="1"/>
    <col min="3078" max="3078" width="28.7265625" customWidth="1"/>
    <col min="3330" max="3330" width="11" customWidth="1"/>
    <col min="3331" max="3331" width="25.6328125" customWidth="1"/>
    <col min="3332" max="3332" width="24.90625" customWidth="1"/>
    <col min="3333" max="3333" width="24.453125" customWidth="1"/>
    <col min="3334" max="3334" width="28.7265625" customWidth="1"/>
    <col min="3586" max="3586" width="11" customWidth="1"/>
    <col min="3587" max="3587" width="25.6328125" customWidth="1"/>
    <col min="3588" max="3588" width="24.90625" customWidth="1"/>
    <col min="3589" max="3589" width="24.453125" customWidth="1"/>
    <col min="3590" max="3590" width="28.7265625" customWidth="1"/>
    <col min="3842" max="3842" width="11" customWidth="1"/>
    <col min="3843" max="3843" width="25.6328125" customWidth="1"/>
    <col min="3844" max="3844" width="24.90625" customWidth="1"/>
    <col min="3845" max="3845" width="24.453125" customWidth="1"/>
    <col min="3846" max="3846" width="28.7265625" customWidth="1"/>
    <col min="4098" max="4098" width="11" customWidth="1"/>
    <col min="4099" max="4099" width="25.6328125" customWidth="1"/>
    <col min="4100" max="4100" width="24.90625" customWidth="1"/>
    <col min="4101" max="4101" width="24.453125" customWidth="1"/>
    <col min="4102" max="4102" width="28.7265625" customWidth="1"/>
    <col min="4354" max="4354" width="11" customWidth="1"/>
    <col min="4355" max="4355" width="25.6328125" customWidth="1"/>
    <col min="4356" max="4356" width="24.90625" customWidth="1"/>
    <col min="4357" max="4357" width="24.453125" customWidth="1"/>
    <col min="4358" max="4358" width="28.7265625" customWidth="1"/>
    <col min="4610" max="4610" width="11" customWidth="1"/>
    <col min="4611" max="4611" width="25.6328125" customWidth="1"/>
    <col min="4612" max="4612" width="24.90625" customWidth="1"/>
    <col min="4613" max="4613" width="24.453125" customWidth="1"/>
    <col min="4614" max="4614" width="28.7265625" customWidth="1"/>
    <col min="4866" max="4866" width="11" customWidth="1"/>
    <col min="4867" max="4867" width="25.6328125" customWidth="1"/>
    <col min="4868" max="4868" width="24.90625" customWidth="1"/>
    <col min="4869" max="4869" width="24.453125" customWidth="1"/>
    <col min="4870" max="4870" width="28.7265625" customWidth="1"/>
    <col min="5122" max="5122" width="11" customWidth="1"/>
    <col min="5123" max="5123" width="25.6328125" customWidth="1"/>
    <col min="5124" max="5124" width="24.90625" customWidth="1"/>
    <col min="5125" max="5125" width="24.453125" customWidth="1"/>
    <col min="5126" max="5126" width="28.7265625" customWidth="1"/>
    <col min="5378" max="5378" width="11" customWidth="1"/>
    <col min="5379" max="5379" width="25.6328125" customWidth="1"/>
    <col min="5380" max="5380" width="24.90625" customWidth="1"/>
    <col min="5381" max="5381" width="24.453125" customWidth="1"/>
    <col min="5382" max="5382" width="28.7265625" customWidth="1"/>
    <col min="5634" max="5634" width="11" customWidth="1"/>
    <col min="5635" max="5635" width="25.6328125" customWidth="1"/>
    <col min="5636" max="5636" width="24.90625" customWidth="1"/>
    <col min="5637" max="5637" width="24.453125" customWidth="1"/>
    <col min="5638" max="5638" width="28.7265625" customWidth="1"/>
    <col min="5890" max="5890" width="11" customWidth="1"/>
    <col min="5891" max="5891" width="25.6328125" customWidth="1"/>
    <col min="5892" max="5892" width="24.90625" customWidth="1"/>
    <col min="5893" max="5893" width="24.453125" customWidth="1"/>
    <col min="5894" max="5894" width="28.7265625" customWidth="1"/>
    <col min="6146" max="6146" width="11" customWidth="1"/>
    <col min="6147" max="6147" width="25.6328125" customWidth="1"/>
    <col min="6148" max="6148" width="24.90625" customWidth="1"/>
    <col min="6149" max="6149" width="24.453125" customWidth="1"/>
    <col min="6150" max="6150" width="28.7265625" customWidth="1"/>
    <col min="6402" max="6402" width="11" customWidth="1"/>
    <col min="6403" max="6403" width="25.6328125" customWidth="1"/>
    <col min="6404" max="6404" width="24.90625" customWidth="1"/>
    <col min="6405" max="6405" width="24.453125" customWidth="1"/>
    <col min="6406" max="6406" width="28.7265625" customWidth="1"/>
    <col min="6658" max="6658" width="11" customWidth="1"/>
    <col min="6659" max="6659" width="25.6328125" customWidth="1"/>
    <col min="6660" max="6660" width="24.90625" customWidth="1"/>
    <col min="6661" max="6661" width="24.453125" customWidth="1"/>
    <col min="6662" max="6662" width="28.7265625" customWidth="1"/>
    <col min="6914" max="6914" width="11" customWidth="1"/>
    <col min="6915" max="6915" width="25.6328125" customWidth="1"/>
    <col min="6916" max="6916" width="24.90625" customWidth="1"/>
    <col min="6917" max="6917" width="24.453125" customWidth="1"/>
    <col min="6918" max="6918" width="28.7265625" customWidth="1"/>
    <col min="7170" max="7170" width="11" customWidth="1"/>
    <col min="7171" max="7171" width="25.6328125" customWidth="1"/>
    <col min="7172" max="7172" width="24.90625" customWidth="1"/>
    <col min="7173" max="7173" width="24.453125" customWidth="1"/>
    <col min="7174" max="7174" width="28.7265625" customWidth="1"/>
    <col min="7426" max="7426" width="11" customWidth="1"/>
    <col min="7427" max="7427" width="25.6328125" customWidth="1"/>
    <col min="7428" max="7428" width="24.90625" customWidth="1"/>
    <col min="7429" max="7429" width="24.453125" customWidth="1"/>
    <col min="7430" max="7430" width="28.7265625" customWidth="1"/>
    <col min="7682" max="7682" width="11" customWidth="1"/>
    <col min="7683" max="7683" width="25.6328125" customWidth="1"/>
    <col min="7684" max="7684" width="24.90625" customWidth="1"/>
    <col min="7685" max="7685" width="24.453125" customWidth="1"/>
    <col min="7686" max="7686" width="28.7265625" customWidth="1"/>
    <col min="7938" max="7938" width="11" customWidth="1"/>
    <col min="7939" max="7939" width="25.6328125" customWidth="1"/>
    <col min="7940" max="7940" width="24.90625" customWidth="1"/>
    <col min="7941" max="7941" width="24.453125" customWidth="1"/>
    <col min="7942" max="7942" width="28.7265625" customWidth="1"/>
    <col min="8194" max="8194" width="11" customWidth="1"/>
    <col min="8195" max="8195" width="25.6328125" customWidth="1"/>
    <col min="8196" max="8196" width="24.90625" customWidth="1"/>
    <col min="8197" max="8197" width="24.453125" customWidth="1"/>
    <col min="8198" max="8198" width="28.7265625" customWidth="1"/>
    <col min="8450" max="8450" width="11" customWidth="1"/>
    <col min="8451" max="8451" width="25.6328125" customWidth="1"/>
    <col min="8452" max="8452" width="24.90625" customWidth="1"/>
    <col min="8453" max="8453" width="24.453125" customWidth="1"/>
    <col min="8454" max="8454" width="28.7265625" customWidth="1"/>
    <col min="8706" max="8706" width="11" customWidth="1"/>
    <col min="8707" max="8707" width="25.6328125" customWidth="1"/>
    <col min="8708" max="8708" width="24.90625" customWidth="1"/>
    <col min="8709" max="8709" width="24.453125" customWidth="1"/>
    <col min="8710" max="8710" width="28.7265625" customWidth="1"/>
    <col min="8962" max="8962" width="11" customWidth="1"/>
    <col min="8963" max="8963" width="25.6328125" customWidth="1"/>
    <col min="8964" max="8964" width="24.90625" customWidth="1"/>
    <col min="8965" max="8965" width="24.453125" customWidth="1"/>
    <col min="8966" max="8966" width="28.7265625" customWidth="1"/>
    <col min="9218" max="9218" width="11" customWidth="1"/>
    <col min="9219" max="9219" width="25.6328125" customWidth="1"/>
    <col min="9220" max="9220" width="24.90625" customWidth="1"/>
    <col min="9221" max="9221" width="24.453125" customWidth="1"/>
    <col min="9222" max="9222" width="28.7265625" customWidth="1"/>
    <col min="9474" max="9474" width="11" customWidth="1"/>
    <col min="9475" max="9475" width="25.6328125" customWidth="1"/>
    <col min="9476" max="9476" width="24.90625" customWidth="1"/>
    <col min="9477" max="9477" width="24.453125" customWidth="1"/>
    <col min="9478" max="9478" width="28.7265625" customWidth="1"/>
    <col min="9730" max="9730" width="11" customWidth="1"/>
    <col min="9731" max="9731" width="25.6328125" customWidth="1"/>
    <col min="9732" max="9732" width="24.90625" customWidth="1"/>
    <col min="9733" max="9733" width="24.453125" customWidth="1"/>
    <col min="9734" max="9734" width="28.7265625" customWidth="1"/>
    <col min="9986" max="9986" width="11" customWidth="1"/>
    <col min="9987" max="9987" width="25.6328125" customWidth="1"/>
    <col min="9988" max="9988" width="24.90625" customWidth="1"/>
    <col min="9989" max="9989" width="24.453125" customWidth="1"/>
    <col min="9990" max="9990" width="28.7265625" customWidth="1"/>
    <col min="10242" max="10242" width="11" customWidth="1"/>
    <col min="10243" max="10243" width="25.6328125" customWidth="1"/>
    <col min="10244" max="10244" width="24.90625" customWidth="1"/>
    <col min="10245" max="10245" width="24.453125" customWidth="1"/>
    <col min="10246" max="10246" width="28.7265625" customWidth="1"/>
    <col min="10498" max="10498" width="11" customWidth="1"/>
    <col min="10499" max="10499" width="25.6328125" customWidth="1"/>
    <col min="10500" max="10500" width="24.90625" customWidth="1"/>
    <col min="10501" max="10501" width="24.453125" customWidth="1"/>
    <col min="10502" max="10502" width="28.7265625" customWidth="1"/>
    <col min="10754" max="10754" width="11" customWidth="1"/>
    <col min="10755" max="10755" width="25.6328125" customWidth="1"/>
    <col min="10756" max="10756" width="24.90625" customWidth="1"/>
    <col min="10757" max="10757" width="24.453125" customWidth="1"/>
    <col min="10758" max="10758" width="28.7265625" customWidth="1"/>
    <col min="11010" max="11010" width="11" customWidth="1"/>
    <col min="11011" max="11011" width="25.6328125" customWidth="1"/>
    <col min="11012" max="11012" width="24.90625" customWidth="1"/>
    <col min="11013" max="11013" width="24.453125" customWidth="1"/>
    <col min="11014" max="11014" width="28.7265625" customWidth="1"/>
    <col min="11266" max="11266" width="11" customWidth="1"/>
    <col min="11267" max="11267" width="25.6328125" customWidth="1"/>
    <col min="11268" max="11268" width="24.90625" customWidth="1"/>
    <col min="11269" max="11269" width="24.453125" customWidth="1"/>
    <col min="11270" max="11270" width="28.7265625" customWidth="1"/>
    <col min="11522" max="11522" width="11" customWidth="1"/>
    <col min="11523" max="11523" width="25.6328125" customWidth="1"/>
    <col min="11524" max="11524" width="24.90625" customWidth="1"/>
    <col min="11525" max="11525" width="24.453125" customWidth="1"/>
    <col min="11526" max="11526" width="28.7265625" customWidth="1"/>
    <col min="11778" max="11778" width="11" customWidth="1"/>
    <col min="11779" max="11779" width="25.6328125" customWidth="1"/>
    <col min="11780" max="11780" width="24.90625" customWidth="1"/>
    <col min="11781" max="11781" width="24.453125" customWidth="1"/>
    <col min="11782" max="11782" width="28.7265625" customWidth="1"/>
    <col min="12034" max="12034" width="11" customWidth="1"/>
    <col min="12035" max="12035" width="25.6328125" customWidth="1"/>
    <col min="12036" max="12036" width="24.90625" customWidth="1"/>
    <col min="12037" max="12037" width="24.453125" customWidth="1"/>
    <col min="12038" max="12038" width="28.7265625" customWidth="1"/>
    <col min="12290" max="12290" width="11" customWidth="1"/>
    <col min="12291" max="12291" width="25.6328125" customWidth="1"/>
    <col min="12292" max="12292" width="24.90625" customWidth="1"/>
    <col min="12293" max="12293" width="24.453125" customWidth="1"/>
    <col min="12294" max="12294" width="28.7265625" customWidth="1"/>
    <col min="12546" max="12546" width="11" customWidth="1"/>
    <col min="12547" max="12547" width="25.6328125" customWidth="1"/>
    <col min="12548" max="12548" width="24.90625" customWidth="1"/>
    <col min="12549" max="12549" width="24.453125" customWidth="1"/>
    <col min="12550" max="12550" width="28.7265625" customWidth="1"/>
    <col min="12802" max="12802" width="11" customWidth="1"/>
    <col min="12803" max="12803" width="25.6328125" customWidth="1"/>
    <col min="12804" max="12804" width="24.90625" customWidth="1"/>
    <col min="12805" max="12805" width="24.453125" customWidth="1"/>
    <col min="12806" max="12806" width="28.7265625" customWidth="1"/>
    <col min="13058" max="13058" width="11" customWidth="1"/>
    <col min="13059" max="13059" width="25.6328125" customWidth="1"/>
    <col min="13060" max="13060" width="24.90625" customWidth="1"/>
    <col min="13061" max="13061" width="24.453125" customWidth="1"/>
    <col min="13062" max="13062" width="28.7265625" customWidth="1"/>
    <col min="13314" max="13314" width="11" customWidth="1"/>
    <col min="13315" max="13315" width="25.6328125" customWidth="1"/>
    <col min="13316" max="13316" width="24.90625" customWidth="1"/>
    <col min="13317" max="13317" width="24.453125" customWidth="1"/>
    <col min="13318" max="13318" width="28.7265625" customWidth="1"/>
    <col min="13570" max="13570" width="11" customWidth="1"/>
    <col min="13571" max="13571" width="25.6328125" customWidth="1"/>
    <col min="13572" max="13572" width="24.90625" customWidth="1"/>
    <col min="13573" max="13573" width="24.453125" customWidth="1"/>
    <col min="13574" max="13574" width="28.7265625" customWidth="1"/>
    <col min="13826" max="13826" width="11" customWidth="1"/>
    <col min="13827" max="13827" width="25.6328125" customWidth="1"/>
    <col min="13828" max="13828" width="24.90625" customWidth="1"/>
    <col min="13829" max="13829" width="24.453125" customWidth="1"/>
    <col min="13830" max="13830" width="28.7265625" customWidth="1"/>
    <col min="14082" max="14082" width="11" customWidth="1"/>
    <col min="14083" max="14083" width="25.6328125" customWidth="1"/>
    <col min="14084" max="14084" width="24.90625" customWidth="1"/>
    <col min="14085" max="14085" width="24.453125" customWidth="1"/>
    <col min="14086" max="14086" width="28.7265625" customWidth="1"/>
    <col min="14338" max="14338" width="11" customWidth="1"/>
    <col min="14339" max="14339" width="25.6328125" customWidth="1"/>
    <col min="14340" max="14340" width="24.90625" customWidth="1"/>
    <col min="14341" max="14341" width="24.453125" customWidth="1"/>
    <col min="14342" max="14342" width="28.7265625" customWidth="1"/>
    <col min="14594" max="14594" width="11" customWidth="1"/>
    <col min="14595" max="14595" width="25.6328125" customWidth="1"/>
    <col min="14596" max="14596" width="24.90625" customWidth="1"/>
    <col min="14597" max="14597" width="24.453125" customWidth="1"/>
    <col min="14598" max="14598" width="28.7265625" customWidth="1"/>
    <col min="14850" max="14850" width="11" customWidth="1"/>
    <col min="14851" max="14851" width="25.6328125" customWidth="1"/>
    <col min="14852" max="14852" width="24.90625" customWidth="1"/>
    <col min="14853" max="14853" width="24.453125" customWidth="1"/>
    <col min="14854" max="14854" width="28.7265625" customWidth="1"/>
    <col min="15106" max="15106" width="11" customWidth="1"/>
    <col min="15107" max="15107" width="25.6328125" customWidth="1"/>
    <col min="15108" max="15108" width="24.90625" customWidth="1"/>
    <col min="15109" max="15109" width="24.453125" customWidth="1"/>
    <col min="15110" max="15110" width="28.7265625" customWidth="1"/>
    <col min="15362" max="15362" width="11" customWidth="1"/>
    <col min="15363" max="15363" width="25.6328125" customWidth="1"/>
    <col min="15364" max="15364" width="24.90625" customWidth="1"/>
    <col min="15365" max="15365" width="24.453125" customWidth="1"/>
    <col min="15366" max="15366" width="28.7265625" customWidth="1"/>
    <col min="15618" max="15618" width="11" customWidth="1"/>
    <col min="15619" max="15619" width="25.6328125" customWidth="1"/>
    <col min="15620" max="15620" width="24.90625" customWidth="1"/>
    <col min="15621" max="15621" width="24.453125" customWidth="1"/>
    <col min="15622" max="15622" width="28.7265625" customWidth="1"/>
    <col min="15874" max="15874" width="11" customWidth="1"/>
    <col min="15875" max="15875" width="25.6328125" customWidth="1"/>
    <col min="15876" max="15876" width="24.90625" customWidth="1"/>
    <col min="15877" max="15877" width="24.453125" customWidth="1"/>
    <col min="15878" max="15878" width="28.7265625" customWidth="1"/>
    <col min="16130" max="16130" width="11" customWidth="1"/>
    <col min="16131" max="16131" width="25.6328125" customWidth="1"/>
    <col min="16132" max="16132" width="24.90625" customWidth="1"/>
    <col min="16133" max="16133" width="24.453125" customWidth="1"/>
    <col min="16134" max="16134" width="28.7265625" customWidth="1"/>
  </cols>
  <sheetData>
    <row r="1" spans="1:15" ht="39.75" customHeight="1" thickBot="1">
      <c r="A1" s="2" t="s">
        <v>0</v>
      </c>
      <c r="B1" s="2"/>
      <c r="C1" s="3"/>
      <c r="D1" s="3"/>
      <c r="E1" s="6"/>
      <c r="F1" s="4"/>
      <c r="G1" s="5"/>
      <c r="H1" s="4"/>
      <c r="I1" s="4"/>
    </row>
    <row r="2" spans="1:15" ht="62.65" customHeight="1" thickBot="1">
      <c r="A2" s="7" t="s">
        <v>1</v>
      </c>
      <c r="B2" s="152" t="s">
        <v>2</v>
      </c>
      <c r="C2" s="8" t="s">
        <v>3</v>
      </c>
      <c r="D2" s="152" t="s">
        <v>4</v>
      </c>
      <c r="E2" s="8" t="s">
        <v>5</v>
      </c>
      <c r="F2" s="9" t="s">
        <v>6</v>
      </c>
      <c r="G2" s="10" t="s">
        <v>7</v>
      </c>
      <c r="H2" s="11" t="s">
        <v>8</v>
      </c>
      <c r="I2" s="12" t="s">
        <v>9</v>
      </c>
    </row>
    <row r="3" spans="1:15" ht="25.5" customHeight="1">
      <c r="A3" s="275" t="s">
        <v>10</v>
      </c>
      <c r="B3" s="276" t="s">
        <v>11</v>
      </c>
      <c r="C3" s="277">
        <v>231061</v>
      </c>
      <c r="D3" s="278" t="s">
        <v>12</v>
      </c>
      <c r="E3" s="278" t="s">
        <v>13</v>
      </c>
      <c r="F3" s="279">
        <f t="shared" ref="F3:F35" ca="1" si="0">IF(G3&gt;0,(TODAY()-G3)/365.25,0)</f>
        <v>14.38466803559206</v>
      </c>
      <c r="G3" s="280">
        <v>41000</v>
      </c>
      <c r="H3" s="281">
        <v>32755</v>
      </c>
      <c r="I3" s="282">
        <f t="shared" ref="I3:I35" ca="1" si="1">IF(H3&gt;0,(TODAY()-H3)/365.25,0)</f>
        <v>36.958247775496233</v>
      </c>
    </row>
    <row r="4" spans="1:15" ht="25.5" customHeight="1">
      <c r="A4" s="275" t="s">
        <v>10</v>
      </c>
      <c r="B4" s="276" t="s">
        <v>14</v>
      </c>
      <c r="C4" s="277">
        <v>321508</v>
      </c>
      <c r="D4" s="278" t="s">
        <v>15</v>
      </c>
      <c r="E4" s="278" t="s">
        <v>16</v>
      </c>
      <c r="F4" s="279">
        <f t="shared" ca="1" si="0"/>
        <v>12.632443531827516</v>
      </c>
      <c r="G4" s="280">
        <v>41640</v>
      </c>
      <c r="H4" s="283">
        <v>35919</v>
      </c>
      <c r="I4" s="282">
        <f t="shared" ca="1" si="1"/>
        <v>28.295687885010267</v>
      </c>
    </row>
    <row r="5" spans="1:15" ht="25.5" customHeight="1">
      <c r="A5" s="275" t="s">
        <v>10</v>
      </c>
      <c r="B5" s="284" t="s">
        <v>17</v>
      </c>
      <c r="C5" s="277">
        <v>321524</v>
      </c>
      <c r="D5" s="278" t="s">
        <v>15</v>
      </c>
      <c r="E5" s="285" t="s">
        <v>16</v>
      </c>
      <c r="F5" s="287">
        <f t="shared" ca="1" si="0"/>
        <v>10.217659137577002</v>
      </c>
      <c r="G5" s="286">
        <v>42522</v>
      </c>
      <c r="H5" s="283">
        <v>35919</v>
      </c>
      <c r="I5" s="282">
        <f t="shared" ca="1" si="1"/>
        <v>28.295687885010267</v>
      </c>
    </row>
    <row r="6" spans="1:15" ht="25.5" customHeight="1">
      <c r="A6" s="275" t="s">
        <v>10</v>
      </c>
      <c r="B6" s="276" t="s">
        <v>18</v>
      </c>
      <c r="C6" s="277">
        <v>265691</v>
      </c>
      <c r="D6" s="278" t="s">
        <v>15</v>
      </c>
      <c r="E6" s="278" t="s">
        <v>16</v>
      </c>
      <c r="F6" s="279">
        <f t="shared" ca="1" si="0"/>
        <v>10.217659137577002</v>
      </c>
      <c r="G6" s="280">
        <v>42522</v>
      </c>
      <c r="H6" s="283">
        <v>34218</v>
      </c>
      <c r="I6" s="282">
        <f t="shared" ca="1" si="1"/>
        <v>32.95277207392197</v>
      </c>
    </row>
    <row r="7" spans="1:15" ht="25.5" customHeight="1">
      <c r="A7" s="275" t="s">
        <v>10</v>
      </c>
      <c r="B7" s="276" t="s">
        <v>19</v>
      </c>
      <c r="C7" s="277">
        <v>422380</v>
      </c>
      <c r="D7" s="278" t="s">
        <v>15</v>
      </c>
      <c r="E7" s="278" t="s">
        <v>16</v>
      </c>
      <c r="F7" s="279">
        <f t="shared" ca="1" si="0"/>
        <v>9.631759069130732</v>
      </c>
      <c r="G7" s="280">
        <v>42736</v>
      </c>
      <c r="H7" s="283">
        <v>40210</v>
      </c>
      <c r="I7" s="282">
        <f t="shared" ca="1" si="1"/>
        <v>16.547570157426421</v>
      </c>
    </row>
    <row r="8" spans="1:15" ht="25.5" customHeight="1">
      <c r="A8" s="275" t="s">
        <v>10</v>
      </c>
      <c r="B8" s="276" t="s">
        <v>20</v>
      </c>
      <c r="C8" s="277">
        <v>469319</v>
      </c>
      <c r="D8" s="278" t="s">
        <v>15</v>
      </c>
      <c r="E8" s="278" t="s">
        <v>16</v>
      </c>
      <c r="F8" s="279">
        <f t="shared" ca="1" si="0"/>
        <v>8.219028062970569</v>
      </c>
      <c r="G8" s="280">
        <v>43252</v>
      </c>
      <c r="H8" s="283">
        <v>41001</v>
      </c>
      <c r="I8" s="282">
        <f t="shared" ca="1" si="1"/>
        <v>14.381930184804927</v>
      </c>
    </row>
    <row r="9" spans="1:15" ht="25.5" customHeight="1">
      <c r="A9" s="275" t="s">
        <v>10</v>
      </c>
      <c r="B9" s="276" t="s">
        <v>21</v>
      </c>
      <c r="C9" s="277">
        <v>289663</v>
      </c>
      <c r="D9" s="278" t="s">
        <v>12</v>
      </c>
      <c r="E9" s="278" t="s">
        <v>13</v>
      </c>
      <c r="F9" s="279">
        <f t="shared" ca="1" si="0"/>
        <v>5.0102669404517455</v>
      </c>
      <c r="G9" s="280">
        <v>44424</v>
      </c>
      <c r="H9" s="283">
        <v>36039</v>
      </c>
      <c r="I9" s="282">
        <f t="shared" ca="1" si="1"/>
        <v>27.967145790554415</v>
      </c>
    </row>
    <row r="10" spans="1:15" ht="25.5" customHeight="1">
      <c r="A10" s="275" t="s">
        <v>10</v>
      </c>
      <c r="B10" s="276" t="s">
        <v>22</v>
      </c>
      <c r="C10" s="277">
        <v>517968</v>
      </c>
      <c r="D10" s="278" t="s">
        <v>15</v>
      </c>
      <c r="E10" s="278" t="s">
        <v>16</v>
      </c>
      <c r="F10" s="279">
        <f t="shared" ca="1" si="0"/>
        <v>4.9664613278576315</v>
      </c>
      <c r="G10" s="280">
        <v>44440</v>
      </c>
      <c r="H10" s="283">
        <v>41518</v>
      </c>
      <c r="I10" s="282">
        <f t="shared" ca="1" si="1"/>
        <v>12.966461327857632</v>
      </c>
      <c r="O10" s="148"/>
    </row>
    <row r="11" spans="1:15" ht="25.5" customHeight="1">
      <c r="A11" s="275" t="s">
        <v>10</v>
      </c>
      <c r="B11" s="276" t="s">
        <v>23</v>
      </c>
      <c r="C11" s="277">
        <v>461865</v>
      </c>
      <c r="D11" s="278" t="s">
        <v>15</v>
      </c>
      <c r="E11" s="278" t="s">
        <v>16</v>
      </c>
      <c r="F11" s="279">
        <f t="shared" ca="1" si="0"/>
        <v>4.386036960985626</v>
      </c>
      <c r="G11" s="280">
        <v>44652</v>
      </c>
      <c r="H11" s="283">
        <v>40854</v>
      </c>
      <c r="I11" s="282">
        <f t="shared" ca="1" si="1"/>
        <v>14.784394250513348</v>
      </c>
    </row>
    <row r="12" spans="1:15" ht="25.5" customHeight="1">
      <c r="A12" s="275" t="s">
        <v>10</v>
      </c>
      <c r="B12" s="288" t="s">
        <v>24</v>
      </c>
      <c r="C12" s="277">
        <v>456489</v>
      </c>
      <c r="D12" s="278" t="s">
        <v>12</v>
      </c>
      <c r="E12" s="278" t="s">
        <v>13</v>
      </c>
      <c r="F12" s="279">
        <f t="shared" ca="1" si="0"/>
        <v>3.8603696098562628</v>
      </c>
      <c r="G12" s="280">
        <v>44844</v>
      </c>
      <c r="H12" s="283">
        <v>40787</v>
      </c>
      <c r="I12" s="282">
        <f t="shared" ca="1" si="1"/>
        <v>14.967830253251197</v>
      </c>
    </row>
    <row r="13" spans="1:15" ht="25.5" customHeight="1">
      <c r="A13" s="275" t="s">
        <v>10</v>
      </c>
      <c r="B13" s="276" t="s">
        <v>25</v>
      </c>
      <c r="C13" s="277">
        <v>580058</v>
      </c>
      <c r="D13" s="278" t="s">
        <v>26</v>
      </c>
      <c r="E13" s="278" t="s">
        <v>27</v>
      </c>
      <c r="F13" s="279">
        <f t="shared" ca="1" si="0"/>
        <v>3.7180013689253935</v>
      </c>
      <c r="G13" s="280">
        <v>44896</v>
      </c>
      <c r="H13" s="283">
        <v>42248</v>
      </c>
      <c r="I13" s="282">
        <f t="shared" ca="1" si="1"/>
        <v>10.967830253251197</v>
      </c>
    </row>
    <row r="14" spans="1:15" ht="25.5" customHeight="1">
      <c r="A14" s="275" t="s">
        <v>10</v>
      </c>
      <c r="B14" s="276" t="s">
        <v>28</v>
      </c>
      <c r="C14" s="277">
        <v>427616</v>
      </c>
      <c r="D14" s="278" t="s">
        <v>15</v>
      </c>
      <c r="E14" s="278" t="s">
        <v>16</v>
      </c>
      <c r="F14" s="279">
        <f t="shared" ca="1" si="0"/>
        <v>3.2197125256673513</v>
      </c>
      <c r="G14" s="280">
        <v>45078</v>
      </c>
      <c r="H14" s="283">
        <v>40330</v>
      </c>
      <c r="I14" s="282">
        <f t="shared" ca="1" si="1"/>
        <v>16.219028062970569</v>
      </c>
    </row>
    <row r="15" spans="1:15" ht="25.5" customHeight="1">
      <c r="A15" s="275" t="s">
        <v>10</v>
      </c>
      <c r="B15" s="289" t="s">
        <v>29</v>
      </c>
      <c r="C15" s="277">
        <v>679365</v>
      </c>
      <c r="D15" s="278" t="s">
        <v>26</v>
      </c>
      <c r="E15" s="278" t="s">
        <v>27</v>
      </c>
      <c r="F15" s="279">
        <f t="shared" ca="1" si="0"/>
        <v>2.7679671457905544</v>
      </c>
      <c r="G15" s="280">
        <v>45243</v>
      </c>
      <c r="H15" s="283">
        <v>45243</v>
      </c>
      <c r="I15" s="282">
        <f t="shared" ca="1" si="1"/>
        <v>2.7679671457905544</v>
      </c>
    </row>
    <row r="16" spans="1:15" ht="25.5" customHeight="1">
      <c r="A16" s="275" t="s">
        <v>10</v>
      </c>
      <c r="B16" s="289" t="s">
        <v>30</v>
      </c>
      <c r="C16" s="277">
        <v>679417</v>
      </c>
      <c r="D16" s="278" t="s">
        <v>31</v>
      </c>
      <c r="E16" s="278" t="s">
        <v>32</v>
      </c>
      <c r="F16" s="279">
        <f t="shared" ca="1" si="0"/>
        <v>2.7679671457905544</v>
      </c>
      <c r="G16" s="280">
        <v>45243</v>
      </c>
      <c r="H16" s="283">
        <v>45243</v>
      </c>
      <c r="I16" s="282">
        <f t="shared" ca="1" si="1"/>
        <v>2.7679671457905544</v>
      </c>
    </row>
    <row r="17" spans="1:11" ht="25.5" customHeight="1">
      <c r="A17" s="275" t="s">
        <v>10</v>
      </c>
      <c r="B17" s="154" t="s">
        <v>33</v>
      </c>
      <c r="C17" s="277">
        <v>672075</v>
      </c>
      <c r="D17" s="278" t="s">
        <v>26</v>
      </c>
      <c r="E17" s="278" t="s">
        <v>27</v>
      </c>
      <c r="F17" s="279">
        <f t="shared" ca="1" si="0"/>
        <v>2.7488021902806299</v>
      </c>
      <c r="G17" s="280">
        <v>45250</v>
      </c>
      <c r="H17" s="283">
        <v>44970</v>
      </c>
      <c r="I17" s="282">
        <f t="shared" ca="1" si="1"/>
        <v>3.5154004106776182</v>
      </c>
    </row>
    <row r="18" spans="1:11" ht="25.5" customHeight="1">
      <c r="A18" s="275" t="s">
        <v>10</v>
      </c>
      <c r="B18" s="289" t="s">
        <v>34</v>
      </c>
      <c r="C18" s="277">
        <v>673277</v>
      </c>
      <c r="D18" s="278" t="s">
        <v>31</v>
      </c>
      <c r="E18" s="278" t="s">
        <v>32</v>
      </c>
      <c r="F18" s="279">
        <f t="shared" ca="1" si="0"/>
        <v>2.6310746064339492</v>
      </c>
      <c r="G18" s="280">
        <v>45293</v>
      </c>
      <c r="H18" s="283">
        <v>45293</v>
      </c>
      <c r="I18" s="282">
        <f t="shared" ca="1" si="1"/>
        <v>2.6310746064339492</v>
      </c>
    </row>
    <row r="19" spans="1:11" ht="25.5" customHeight="1">
      <c r="A19" s="275" t="s">
        <v>10</v>
      </c>
      <c r="B19" s="289" t="s">
        <v>35</v>
      </c>
      <c r="C19" s="277">
        <v>655180</v>
      </c>
      <c r="D19" s="278" t="s">
        <v>26</v>
      </c>
      <c r="E19" s="278" t="s">
        <v>27</v>
      </c>
      <c r="F19" s="279">
        <f t="shared" ca="1" si="0"/>
        <v>2.5927446954140998</v>
      </c>
      <c r="G19" s="280">
        <v>45307</v>
      </c>
      <c r="H19" s="283">
        <v>42979</v>
      </c>
      <c r="I19" s="282">
        <f t="shared" ca="1" si="1"/>
        <v>8.9664613278576315</v>
      </c>
    </row>
    <row r="20" spans="1:11" ht="25.5" customHeight="1">
      <c r="A20" s="275" t="s">
        <v>10</v>
      </c>
      <c r="B20" s="276" t="s">
        <v>36</v>
      </c>
      <c r="C20" s="277">
        <v>669557</v>
      </c>
      <c r="D20" s="278" t="s">
        <v>15</v>
      </c>
      <c r="E20" s="278" t="s">
        <v>16</v>
      </c>
      <c r="F20" s="279">
        <f t="shared" ca="1" si="0"/>
        <v>2.5489390828199863</v>
      </c>
      <c r="G20" s="280">
        <v>45323</v>
      </c>
      <c r="H20" s="283">
        <v>43346</v>
      </c>
      <c r="I20" s="282">
        <f t="shared" ca="1" si="1"/>
        <v>7.9616700889801502</v>
      </c>
    </row>
    <row r="21" spans="1:11" ht="25.5" customHeight="1">
      <c r="A21" s="275" t="s">
        <v>10</v>
      </c>
      <c r="B21" s="276" t="s">
        <v>37</v>
      </c>
      <c r="C21" s="277">
        <v>680417</v>
      </c>
      <c r="D21" s="278" t="s">
        <v>26</v>
      </c>
      <c r="E21" s="278" t="s">
        <v>27</v>
      </c>
      <c r="F21" s="279">
        <f t="shared" ca="1" si="0"/>
        <v>2.4229979466119098</v>
      </c>
      <c r="G21" s="280">
        <v>45369</v>
      </c>
      <c r="H21" s="280">
        <v>45369</v>
      </c>
      <c r="I21" s="282">
        <f t="shared" ca="1" si="1"/>
        <v>2.4229979466119098</v>
      </c>
      <c r="K21" t="s">
        <v>38</v>
      </c>
    </row>
    <row r="22" spans="1:11" ht="25.5" customHeight="1">
      <c r="A22" s="275" t="s">
        <v>10</v>
      </c>
      <c r="B22" s="276" t="s">
        <v>39</v>
      </c>
      <c r="C22" s="277">
        <v>422401</v>
      </c>
      <c r="D22" s="278" t="s">
        <v>15</v>
      </c>
      <c r="E22" s="278" t="s">
        <v>16</v>
      </c>
      <c r="F22" s="279">
        <f t="shared" ca="1" si="0"/>
        <v>2.3846680355920604</v>
      </c>
      <c r="G22" s="280">
        <v>45383</v>
      </c>
      <c r="H22" s="283">
        <v>40210</v>
      </c>
      <c r="I22" s="282">
        <f t="shared" ca="1" si="1"/>
        <v>16.547570157426421</v>
      </c>
    </row>
    <row r="23" spans="1:11" ht="25.5" customHeight="1">
      <c r="A23" s="291" t="s">
        <v>10</v>
      </c>
      <c r="B23" s="153" t="s">
        <v>40</v>
      </c>
      <c r="C23" s="151">
        <v>680682</v>
      </c>
      <c r="D23" s="292" t="s">
        <v>26</v>
      </c>
      <c r="E23" s="278" t="s">
        <v>27</v>
      </c>
      <c r="F23" s="279">
        <f t="shared" ca="1" si="0"/>
        <v>2.299794661190965</v>
      </c>
      <c r="G23" s="280">
        <v>45414</v>
      </c>
      <c r="H23" s="280">
        <v>45414</v>
      </c>
      <c r="I23" s="282">
        <f t="shared" ca="1" si="1"/>
        <v>2.299794661190965</v>
      </c>
    </row>
    <row r="24" spans="1:11" ht="25.5" customHeight="1">
      <c r="A24" s="275" t="s">
        <v>10</v>
      </c>
      <c r="B24" s="153" t="s">
        <v>41</v>
      </c>
      <c r="C24" s="151">
        <v>676095</v>
      </c>
      <c r="D24" s="278" t="s">
        <v>26</v>
      </c>
      <c r="E24" s="278" t="s">
        <v>27</v>
      </c>
      <c r="F24" s="279">
        <f t="shared" ca="1" si="0"/>
        <v>1.9657768651608487</v>
      </c>
      <c r="G24" s="280">
        <v>45536</v>
      </c>
      <c r="H24" s="280">
        <v>44805</v>
      </c>
      <c r="I24" s="282">
        <f t="shared" ca="1" si="1"/>
        <v>3.9671457905544147</v>
      </c>
      <c r="K24" t="s">
        <v>38</v>
      </c>
    </row>
    <row r="25" spans="1:11" ht="25.5" customHeight="1">
      <c r="A25" s="275" t="s">
        <v>10</v>
      </c>
      <c r="B25" s="276" t="s">
        <v>42</v>
      </c>
      <c r="C25" s="277">
        <v>505935</v>
      </c>
      <c r="D25" s="278" t="s">
        <v>15</v>
      </c>
      <c r="E25" s="278" t="s">
        <v>16</v>
      </c>
      <c r="F25" s="279">
        <f t="shared" ca="1" si="0"/>
        <v>1.9247091033538672</v>
      </c>
      <c r="G25" s="280">
        <v>45551</v>
      </c>
      <c r="H25" s="283">
        <v>41414</v>
      </c>
      <c r="I25" s="293">
        <f t="shared" ca="1" si="1"/>
        <v>13.25119780971937</v>
      </c>
    </row>
    <row r="26" spans="1:11" ht="25.5" customHeight="1">
      <c r="A26" s="275" t="s">
        <v>10</v>
      </c>
      <c r="B26" s="1101" t="s">
        <v>43</v>
      </c>
      <c r="C26" s="294">
        <v>555851</v>
      </c>
      <c r="D26" s="278" t="s">
        <v>44</v>
      </c>
      <c r="E26" s="295" t="s">
        <v>45</v>
      </c>
      <c r="F26" s="296">
        <f t="shared" ca="1" si="0"/>
        <v>1.7166324435318274</v>
      </c>
      <c r="G26" s="297">
        <v>45627</v>
      </c>
      <c r="H26" s="298">
        <v>41925</v>
      </c>
      <c r="I26" s="299">
        <f t="shared" ca="1" si="1"/>
        <v>11.852156057494867</v>
      </c>
    </row>
    <row r="27" spans="1:11" ht="25.5" customHeight="1">
      <c r="A27" s="300" t="s">
        <v>10</v>
      </c>
      <c r="B27" s="301" t="s">
        <v>46</v>
      </c>
      <c r="C27" s="302">
        <v>673706</v>
      </c>
      <c r="D27" s="303" t="s">
        <v>15</v>
      </c>
      <c r="E27" s="303" t="s">
        <v>16</v>
      </c>
      <c r="F27" s="296">
        <f t="shared" ca="1" si="0"/>
        <v>1.5468856947296372</v>
      </c>
      <c r="G27" s="297">
        <v>45689</v>
      </c>
      <c r="H27" s="298">
        <v>44075</v>
      </c>
      <c r="I27" s="304">
        <f t="shared" ca="1" si="1"/>
        <v>5.9657768651608487</v>
      </c>
      <c r="K27" t="s">
        <v>38</v>
      </c>
    </row>
    <row r="28" spans="1:11" ht="25.5" customHeight="1">
      <c r="A28" s="291" t="s">
        <v>10</v>
      </c>
      <c r="B28" s="276" t="s">
        <v>47</v>
      </c>
      <c r="C28" s="290">
        <v>681383</v>
      </c>
      <c r="D28" s="292" t="s">
        <v>26</v>
      </c>
      <c r="E28" s="278" t="s">
        <v>27</v>
      </c>
      <c r="F28" s="279">
        <f t="shared" ca="1" si="0"/>
        <v>2.1327857631759071</v>
      </c>
      <c r="G28" s="280">
        <v>45475</v>
      </c>
      <c r="H28" s="280">
        <v>45475</v>
      </c>
      <c r="I28" s="282">
        <f t="shared" ca="1" si="1"/>
        <v>2.1327857631759071</v>
      </c>
      <c r="K28" t="s">
        <v>38</v>
      </c>
    </row>
    <row r="29" spans="1:11" ht="25.5" customHeight="1">
      <c r="A29" s="305" t="s">
        <v>10</v>
      </c>
      <c r="B29" s="146" t="s">
        <v>48</v>
      </c>
      <c r="C29" s="147">
        <v>684061</v>
      </c>
      <c r="D29" s="308" t="s">
        <v>26</v>
      </c>
      <c r="E29" s="308" t="s">
        <v>27</v>
      </c>
      <c r="F29" s="296">
        <f t="shared" ca="1" si="0"/>
        <v>1.4072553045859</v>
      </c>
      <c r="G29" s="309">
        <v>45740</v>
      </c>
      <c r="H29" s="309">
        <v>45740</v>
      </c>
      <c r="I29" s="304">
        <f t="shared" ca="1" si="1"/>
        <v>1.4072553045859</v>
      </c>
      <c r="K29" t="s">
        <v>38</v>
      </c>
    </row>
    <row r="30" spans="1:11" ht="25.5" customHeight="1">
      <c r="A30" s="305" t="s">
        <v>10</v>
      </c>
      <c r="B30" s="146" t="s">
        <v>49</v>
      </c>
      <c r="C30" s="147">
        <v>684119</v>
      </c>
      <c r="D30" s="308" t="s">
        <v>26</v>
      </c>
      <c r="E30" s="308" t="s">
        <v>27</v>
      </c>
      <c r="F30" s="296">
        <f t="shared" ca="1" si="0"/>
        <v>1.3963039014373717</v>
      </c>
      <c r="G30" s="309">
        <v>45744</v>
      </c>
      <c r="H30" s="309">
        <v>45744</v>
      </c>
      <c r="I30" s="304">
        <f t="shared" ca="1" si="1"/>
        <v>1.3963039014373717</v>
      </c>
      <c r="K30" t="s">
        <v>50</v>
      </c>
    </row>
    <row r="31" spans="1:11" ht="25.5" customHeight="1">
      <c r="A31" s="305" t="s">
        <v>10</v>
      </c>
      <c r="B31" s="146" t="s">
        <v>51</v>
      </c>
      <c r="C31" s="147">
        <v>685750</v>
      </c>
      <c r="D31" s="308" t="s">
        <v>31</v>
      </c>
      <c r="E31" s="308" t="s">
        <v>32</v>
      </c>
      <c r="F31" s="296">
        <f t="shared" ca="1" si="0"/>
        <v>0.96646132785763172</v>
      </c>
      <c r="G31" s="309">
        <v>45901</v>
      </c>
      <c r="H31" s="309">
        <v>45901</v>
      </c>
      <c r="I31" s="304">
        <f t="shared" ca="1" si="1"/>
        <v>0.96646132785763172</v>
      </c>
      <c r="K31" t="s">
        <v>38</v>
      </c>
    </row>
    <row r="32" spans="1:11" ht="25.5" customHeight="1">
      <c r="A32" s="305" t="s">
        <v>10</v>
      </c>
      <c r="B32" s="146" t="s">
        <v>52</v>
      </c>
      <c r="C32" s="1102">
        <v>678954</v>
      </c>
      <c r="D32" s="278" t="s">
        <v>26</v>
      </c>
      <c r="E32" s="308" t="s">
        <v>27</v>
      </c>
      <c r="F32" s="296">
        <f t="shared" ca="1" si="0"/>
        <v>0.96646132785763172</v>
      </c>
      <c r="G32" s="309">
        <v>45901</v>
      </c>
      <c r="H32" s="309">
        <v>45170</v>
      </c>
      <c r="I32" s="304">
        <f t="shared" ca="1" si="1"/>
        <v>2.967830253251198</v>
      </c>
      <c r="K32" t="s">
        <v>38</v>
      </c>
    </row>
    <row r="33" spans="1:11" ht="25.5" customHeight="1">
      <c r="A33" s="305" t="s">
        <v>10</v>
      </c>
      <c r="B33" s="306" t="s">
        <v>53</v>
      </c>
      <c r="C33" s="307">
        <v>674432</v>
      </c>
      <c r="D33" s="308" t="s">
        <v>26</v>
      </c>
      <c r="E33" s="308" t="s">
        <v>27</v>
      </c>
      <c r="F33" s="296">
        <f t="shared" ca="1" si="0"/>
        <v>0.96646132785763172</v>
      </c>
      <c r="G33" s="309">
        <v>45901</v>
      </c>
      <c r="H33" s="309">
        <v>44440</v>
      </c>
      <c r="I33" s="304">
        <f t="shared" ca="1" si="1"/>
        <v>4.9664613278576315</v>
      </c>
      <c r="K33" t="s">
        <v>38</v>
      </c>
    </row>
    <row r="34" spans="1:11" ht="25.5" customHeight="1">
      <c r="A34" s="305" t="s">
        <v>10</v>
      </c>
      <c r="B34" s="146" t="s">
        <v>54</v>
      </c>
      <c r="C34" s="147">
        <v>682089</v>
      </c>
      <c r="D34" s="308" t="s">
        <v>55</v>
      </c>
      <c r="E34" s="308" t="s">
        <v>56</v>
      </c>
      <c r="F34" s="296">
        <f t="shared" ca="1" si="0"/>
        <v>-3.2854209445585217E-2</v>
      </c>
      <c r="G34" s="309">
        <v>46266</v>
      </c>
      <c r="H34" s="309">
        <v>45536</v>
      </c>
      <c r="I34" s="304">
        <f t="shared" ca="1" si="1"/>
        <v>1.9657768651608487</v>
      </c>
    </row>
    <row r="35" spans="1:11" ht="25.5" customHeight="1">
      <c r="A35" s="305" t="s">
        <v>10</v>
      </c>
      <c r="B35" s="146" t="s">
        <v>57</v>
      </c>
      <c r="C35" s="147">
        <v>676140</v>
      </c>
      <c r="D35" s="308" t="s">
        <v>58</v>
      </c>
      <c r="E35" s="308" t="s">
        <v>59</v>
      </c>
      <c r="F35" s="310">
        <f t="shared" ca="1" si="0"/>
        <v>-3.2854209445585217E-2</v>
      </c>
      <c r="G35" s="309">
        <v>46266</v>
      </c>
      <c r="H35" s="309">
        <v>44805</v>
      </c>
      <c r="I35" s="304">
        <f t="shared" ca="1" si="1"/>
        <v>3.9671457905544147</v>
      </c>
    </row>
    <row r="36" spans="1:11" ht="25.5" customHeight="1"/>
    <row r="37" spans="1:11" ht="25.5" customHeight="1"/>
    <row r="38" spans="1:11" ht="25.5" customHeight="1"/>
    <row r="39" spans="1:11" ht="25.5" customHeight="1"/>
    <row r="40" spans="1:11" ht="25.5" customHeight="1"/>
    <row r="41" spans="1:11" ht="25.5" customHeight="1"/>
    <row r="42" spans="1:11" ht="25.5" customHeight="1"/>
    <row r="43" spans="1:11" ht="25.5" customHeight="1"/>
    <row r="44" spans="1:11" ht="25.5" customHeight="1"/>
    <row r="45" spans="1:11" ht="25.5" customHeight="1"/>
    <row r="46" spans="1:11" ht="25.5" customHeight="1"/>
    <row r="47" spans="1:11" ht="25.5" customHeight="1"/>
    <row r="48" spans="1:11" ht="25.5" customHeight="1"/>
    <row r="49" ht="25.5" customHeight="1"/>
    <row r="50" ht="25.5" customHeight="1"/>
    <row r="51" ht="25.5" customHeight="1"/>
    <row r="52" ht="25.5" customHeight="1"/>
    <row r="53" ht="25.5" customHeight="1"/>
  </sheetData>
  <sheetProtection formatCells="0" formatColumns="0" formatRows="0" insertColumns="0" insertRows="0" insertHyperlinks="0" deleteColumns="0" deleteRows="0" sort="0" autoFilter="0" pivotTables="0"/>
  <autoFilter ref="A2:I26" xr:uid="{00000000-0001-0000-0000-000000000000}">
    <sortState xmlns:xlrd2="http://schemas.microsoft.com/office/spreadsheetml/2017/richdata2" ref="A3:I34">
      <sortCondition descending="1" ref="F2:F26"/>
    </sortState>
  </autoFilter>
  <sortState xmlns:xlrd2="http://schemas.microsoft.com/office/spreadsheetml/2017/richdata2" ref="A2:I24">
    <sortCondition descending="1" ref="I2:I24"/>
  </sortState>
  <phoneticPr fontId="2" type="noConversion"/>
  <conditionalFormatting sqref="B7">
    <cfRule type="expression" priority="71">
      <formula>#REF!&gt;2</formula>
    </cfRule>
  </conditionalFormatting>
  <conditionalFormatting sqref="B24">
    <cfRule type="expression" dxfId="852" priority="13" stopIfTrue="1">
      <formula>$F$13&gt;=2</formula>
    </cfRule>
    <cfRule type="expression" dxfId="851" priority="14" stopIfTrue="1">
      <formula>$I$13&gt;=1</formula>
    </cfRule>
    <cfRule type="expression" dxfId="850" priority="15" stopIfTrue="1">
      <formula>$F$13&lt;=1</formula>
    </cfRule>
  </conditionalFormatting>
  <conditionalFormatting sqref="F3:F14">
    <cfRule type="cellIs" dxfId="849" priority="76" stopIfTrue="1" operator="lessThan">
      <formula>1</formula>
    </cfRule>
  </conditionalFormatting>
  <conditionalFormatting sqref="F3:F24 F28">
    <cfRule type="cellIs" dxfId="848" priority="34" stopIfTrue="1" operator="greaterThan">
      <formula>2</formula>
    </cfRule>
    <cfRule type="cellIs" dxfId="847" priority="35" stopIfTrue="1" operator="greaterThanOrEqual">
      <formula>1</formula>
    </cfRule>
  </conditionalFormatting>
  <conditionalFormatting sqref="F15:F24 F28">
    <cfRule type="cellIs" dxfId="846" priority="36" stopIfTrue="1" operator="greaterThanOrEqual">
      <formula>0</formula>
    </cfRule>
  </conditionalFormatting>
  <conditionalFormatting sqref="F24:F35">
    <cfRule type="cellIs" dxfId="845" priority="10" stopIfTrue="1" operator="greaterThan">
      <formula>2</formula>
    </cfRule>
    <cfRule type="cellIs" dxfId="844" priority="11" stopIfTrue="1" operator="greaterThanOrEqual">
      <formula>1</formula>
    </cfRule>
    <cfRule type="cellIs" dxfId="843" priority="12" stopIfTrue="1" operator="greaterThanOrEqual">
      <formula>0</formula>
    </cfRule>
  </conditionalFormatting>
  <pageMargins left="0.25" right="0.25" top="0.75" bottom="0.75" header="0.3" footer="0.3"/>
  <pageSetup paperSize="9" scale="5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6C9A-AAC6-4C51-8047-876A6792C535}">
  <dimension ref="A1:B17"/>
  <sheetViews>
    <sheetView tabSelected="1" topLeftCell="A4" workbookViewId="0">
      <selection activeCell="E7" sqref="E7"/>
    </sheetView>
  </sheetViews>
  <sheetFormatPr defaultRowHeight="17"/>
  <cols>
    <col min="1" max="1" width="12.453125" bestFit="1" customWidth="1"/>
  </cols>
  <sheetData>
    <row r="1" spans="1:2">
      <c r="A1" s="1294" t="s">
        <v>422</v>
      </c>
      <c r="B1" s="1293" t="s">
        <v>421</v>
      </c>
    </row>
    <row r="2" spans="1:2">
      <c r="A2" s="1295" t="s">
        <v>408</v>
      </c>
      <c r="B2" s="4" t="s">
        <v>409</v>
      </c>
    </row>
    <row r="3" spans="1:2">
      <c r="A3" s="1295" t="s">
        <v>84</v>
      </c>
      <c r="B3" s="4" t="s">
        <v>410</v>
      </c>
    </row>
    <row r="4" spans="1:2">
      <c r="A4" s="1295" t="s">
        <v>88</v>
      </c>
      <c r="B4" s="4" t="s">
        <v>411</v>
      </c>
    </row>
    <row r="5" spans="1:2">
      <c r="A5" s="1296" t="s">
        <v>96</v>
      </c>
      <c r="B5" s="4" t="s">
        <v>412</v>
      </c>
    </row>
    <row r="6" spans="1:2">
      <c r="A6" s="4" t="s">
        <v>87</v>
      </c>
      <c r="B6" s="4" t="s">
        <v>413</v>
      </c>
    </row>
    <row r="7" spans="1:2">
      <c r="A7" s="4" t="s">
        <v>90</v>
      </c>
      <c r="B7" s="4" t="s">
        <v>425</v>
      </c>
    </row>
    <row r="8" spans="1:2">
      <c r="A8" s="1297" t="s">
        <v>38</v>
      </c>
      <c r="B8" s="4" t="s">
        <v>414</v>
      </c>
    </row>
    <row r="9" spans="1:2">
      <c r="A9" s="4" t="s">
        <v>95</v>
      </c>
      <c r="B9" s="4" t="s">
        <v>413</v>
      </c>
    </row>
    <row r="10" spans="1:2">
      <c r="A10" s="4" t="s">
        <v>94</v>
      </c>
      <c r="B10" s="4" t="s">
        <v>414</v>
      </c>
    </row>
    <row r="11" spans="1:2">
      <c r="A11" s="4" t="s">
        <v>161</v>
      </c>
      <c r="B11" s="4" t="s">
        <v>415</v>
      </c>
    </row>
    <row r="12" spans="1:2">
      <c r="A12" s="4" t="s">
        <v>423</v>
      </c>
      <c r="B12" s="4" t="s">
        <v>416</v>
      </c>
    </row>
    <row r="13" spans="1:2">
      <c r="A13" s="4" t="s">
        <v>424</v>
      </c>
      <c r="B13" s="1298" t="s">
        <v>417</v>
      </c>
    </row>
    <row r="14" spans="1:2">
      <c r="A14" s="1295" t="s">
        <v>164</v>
      </c>
      <c r="B14" s="4" t="s">
        <v>418</v>
      </c>
    </row>
    <row r="15" spans="1:2">
      <c r="A15" s="1295" t="s">
        <v>162</v>
      </c>
      <c r="B15" s="1299" t="s">
        <v>419</v>
      </c>
    </row>
    <row r="16" spans="1:2">
      <c r="A16" s="4" t="s">
        <v>215</v>
      </c>
      <c r="B16" s="4" t="s">
        <v>420</v>
      </c>
    </row>
    <row r="17" spans="1:2">
      <c r="A17" s="4" t="s">
        <v>97</v>
      </c>
      <c r="B17" s="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7020-4191-4901-8A8E-573B2F19555E}">
  <sheetPr>
    <pageSetUpPr fitToPage="1"/>
  </sheetPr>
  <dimension ref="A1:AP77"/>
  <sheetViews>
    <sheetView zoomScale="90" zoomScaleNormal="90" workbookViewId="0">
      <pane xSplit="4" ySplit="7" topLeftCell="E16" activePane="bottomRight" state="frozen"/>
      <selection pane="topRight" activeCell="E1" sqref="E1"/>
      <selection pane="bottomLeft" activeCell="A8" sqref="A8"/>
      <selection pane="bottomRight" activeCell="F63" sqref="F63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10" width="6.6328125" customWidth="1"/>
    <col min="11" max="12" width="8.6328125" bestFit="1" customWidth="1"/>
    <col min="13" max="15" width="6.6328125" customWidth="1"/>
    <col min="16" max="17" width="8.6328125" bestFit="1" customWidth="1"/>
    <col min="18" max="32" width="6.6328125" customWidth="1"/>
    <col min="33" max="33" width="9.453125" bestFit="1" customWidth="1"/>
    <col min="34" max="35" width="6.6328125" customWidth="1"/>
  </cols>
  <sheetData>
    <row r="1" spans="1:42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42" ht="20.5" thickBot="1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1300"/>
    </row>
    <row r="3" spans="1:42" ht="18" customHeight="1" thickBot="1">
      <c r="A3" s="19"/>
      <c r="B3" s="43"/>
      <c r="C3" s="19"/>
      <c r="D3" s="127"/>
      <c r="E3" s="1301" t="s">
        <v>61</v>
      </c>
      <c r="F3" s="1301"/>
      <c r="G3" s="1301"/>
      <c r="H3" s="1301"/>
      <c r="I3" s="1301"/>
      <c r="J3" s="1301"/>
      <c r="K3" s="1301"/>
      <c r="L3" s="1301"/>
      <c r="M3" s="1301"/>
      <c r="N3" s="1301"/>
      <c r="O3" s="1301"/>
      <c r="P3" s="1301"/>
      <c r="Q3" s="1301"/>
      <c r="R3" s="1301"/>
      <c r="S3" s="1301"/>
      <c r="T3" s="1301"/>
      <c r="U3" s="1301"/>
      <c r="V3" s="1301"/>
      <c r="W3" s="1301"/>
      <c r="X3" s="1301"/>
      <c r="Y3" s="1301"/>
      <c r="Z3" s="1301"/>
      <c r="AA3" s="1301"/>
      <c r="AB3" s="1301"/>
      <c r="AC3" s="1301"/>
      <c r="AD3" s="1301"/>
      <c r="AE3" s="1301"/>
      <c r="AF3" s="1301"/>
      <c r="AG3" s="1301"/>
      <c r="AH3" s="1301"/>
      <c r="AI3" s="1302"/>
    </row>
    <row r="4" spans="1:42" s="31" customFormat="1" ht="18" customHeight="1">
      <c r="A4" s="19"/>
      <c r="B4" s="43"/>
      <c r="C4" s="19"/>
      <c r="D4" s="19"/>
      <c r="E4" s="1312" t="s">
        <v>62</v>
      </c>
      <c r="F4" s="1311"/>
      <c r="G4" s="1311"/>
      <c r="H4" s="1313"/>
      <c r="I4" s="1311" t="s">
        <v>63</v>
      </c>
      <c r="J4" s="1311"/>
      <c r="K4" s="1311"/>
      <c r="L4" s="1311"/>
      <c r="M4" s="1311"/>
      <c r="N4" s="1311"/>
      <c r="O4" s="1311"/>
      <c r="P4" s="1312" t="s">
        <v>64</v>
      </c>
      <c r="Q4" s="1311"/>
      <c r="R4" s="1311"/>
      <c r="S4" s="1311"/>
      <c r="T4" s="1311"/>
      <c r="U4" s="1311"/>
      <c r="V4" s="1313"/>
      <c r="W4" s="1311" t="s">
        <v>65</v>
      </c>
      <c r="X4" s="1311"/>
      <c r="Y4" s="1311"/>
      <c r="Z4" s="1311"/>
      <c r="AA4" s="1311"/>
      <c r="AB4" s="1311"/>
      <c r="AC4" s="1311"/>
      <c r="AD4" s="1312" t="s">
        <v>66</v>
      </c>
      <c r="AE4" s="1311"/>
      <c r="AF4" s="1311"/>
      <c r="AG4" s="1311"/>
      <c r="AH4" s="1311"/>
      <c r="AI4" s="1313"/>
    </row>
    <row r="5" spans="1:42" s="31" customFormat="1" ht="18" customHeight="1">
      <c r="A5" s="14"/>
      <c r="B5" s="42"/>
      <c r="C5" s="15"/>
      <c r="D5" s="15"/>
      <c r="E5" s="184">
        <v>1</v>
      </c>
      <c r="F5" s="32">
        <v>2</v>
      </c>
      <c r="G5" s="32">
        <v>3</v>
      </c>
      <c r="H5" s="33">
        <v>4</v>
      </c>
      <c r="I5" s="39">
        <v>5</v>
      </c>
      <c r="J5" s="32">
        <v>6</v>
      </c>
      <c r="K5" s="32">
        <v>7</v>
      </c>
      <c r="L5" s="32">
        <v>8</v>
      </c>
      <c r="M5" s="32">
        <v>9</v>
      </c>
      <c r="N5" s="32">
        <v>10</v>
      </c>
      <c r="O5" s="40">
        <v>11</v>
      </c>
      <c r="P5" s="34">
        <v>12</v>
      </c>
      <c r="Q5" s="32">
        <v>13</v>
      </c>
      <c r="R5" s="32">
        <v>14</v>
      </c>
      <c r="S5" s="32">
        <v>15</v>
      </c>
      <c r="T5" s="32">
        <v>16</v>
      </c>
      <c r="U5" s="32">
        <v>17</v>
      </c>
      <c r="V5" s="33">
        <v>18</v>
      </c>
      <c r="W5" s="39">
        <v>19</v>
      </c>
      <c r="X5" s="32">
        <v>20</v>
      </c>
      <c r="Y5" s="32">
        <v>21</v>
      </c>
      <c r="Z5" s="32">
        <v>22</v>
      </c>
      <c r="AA5" s="32">
        <v>23</v>
      </c>
      <c r="AB5" s="32">
        <v>24</v>
      </c>
      <c r="AC5" s="40">
        <v>25</v>
      </c>
      <c r="AD5" s="34">
        <v>26</v>
      </c>
      <c r="AE5" s="32">
        <v>27</v>
      </c>
      <c r="AF5" s="32">
        <v>28</v>
      </c>
      <c r="AG5" s="32">
        <v>29</v>
      </c>
      <c r="AH5" s="32">
        <v>30</v>
      </c>
      <c r="AI5" s="33">
        <v>31</v>
      </c>
    </row>
    <row r="6" spans="1:42" s="31" customFormat="1" ht="18" customHeight="1" thickBot="1">
      <c r="A6" s="19"/>
      <c r="B6" s="43"/>
      <c r="C6" s="19"/>
      <c r="D6" s="19"/>
      <c r="E6" s="214" t="s">
        <v>67</v>
      </c>
      <c r="F6" s="215" t="s">
        <v>68</v>
      </c>
      <c r="G6" s="215" t="s">
        <v>69</v>
      </c>
      <c r="H6" s="216" t="s">
        <v>70</v>
      </c>
      <c r="I6" s="217" t="s">
        <v>71</v>
      </c>
      <c r="J6" s="215" t="s">
        <v>72</v>
      </c>
      <c r="K6" s="215" t="s">
        <v>73</v>
      </c>
      <c r="L6" s="215" t="s">
        <v>67</v>
      </c>
      <c r="M6" s="215" t="s">
        <v>68</v>
      </c>
      <c r="N6" s="215" t="s">
        <v>69</v>
      </c>
      <c r="O6" s="218" t="s">
        <v>70</v>
      </c>
      <c r="P6" s="219" t="s">
        <v>71</v>
      </c>
      <c r="Q6" s="215" t="s">
        <v>72</v>
      </c>
      <c r="R6" s="215" t="s">
        <v>73</v>
      </c>
      <c r="S6" s="215" t="s">
        <v>67</v>
      </c>
      <c r="T6" s="215" t="s">
        <v>68</v>
      </c>
      <c r="U6" s="215" t="s">
        <v>69</v>
      </c>
      <c r="V6" s="216" t="s">
        <v>70</v>
      </c>
      <c r="W6" s="217" t="s">
        <v>71</v>
      </c>
      <c r="X6" s="215" t="s">
        <v>72</v>
      </c>
      <c r="Y6" s="215" t="s">
        <v>73</v>
      </c>
      <c r="Z6" s="215" t="s">
        <v>67</v>
      </c>
      <c r="AA6" s="215" t="s">
        <v>68</v>
      </c>
      <c r="AB6" s="215" t="s">
        <v>69</v>
      </c>
      <c r="AC6" s="218" t="s">
        <v>70</v>
      </c>
      <c r="AD6" s="219" t="s">
        <v>71</v>
      </c>
      <c r="AE6" s="215" t="s">
        <v>72</v>
      </c>
      <c r="AF6" s="215" t="s">
        <v>73</v>
      </c>
      <c r="AG6" s="215" t="s">
        <v>67</v>
      </c>
      <c r="AH6" s="215" t="s">
        <v>68</v>
      </c>
      <c r="AI6" s="220" t="s">
        <v>69</v>
      </c>
    </row>
    <row r="7" spans="1:42" ht="18" customHeight="1" thickBot="1">
      <c r="A7" s="24" t="s">
        <v>74</v>
      </c>
      <c r="B7" s="225" t="s">
        <v>75</v>
      </c>
      <c r="C7" s="25" t="s">
        <v>76</v>
      </c>
      <c r="D7" s="26" t="s">
        <v>77</v>
      </c>
      <c r="E7" s="231"/>
      <c r="F7" s="223"/>
      <c r="G7" s="223"/>
      <c r="H7" s="224"/>
      <c r="I7" s="229"/>
      <c r="J7" s="223"/>
      <c r="K7" s="223"/>
      <c r="L7" s="223"/>
      <c r="M7" s="223"/>
      <c r="N7" s="223"/>
      <c r="O7" s="233"/>
      <c r="P7" s="231"/>
      <c r="Q7" s="223"/>
      <c r="R7" s="223"/>
      <c r="S7" s="223"/>
      <c r="T7" s="223"/>
      <c r="U7" s="223"/>
      <c r="V7" s="224"/>
      <c r="W7" s="229"/>
      <c r="X7" s="223"/>
      <c r="Y7" s="223"/>
      <c r="Z7" s="223"/>
      <c r="AA7" s="223"/>
      <c r="AB7" s="223"/>
      <c r="AC7" s="233"/>
      <c r="AD7" s="231"/>
      <c r="AE7" s="223"/>
      <c r="AF7" s="223"/>
      <c r="AG7" s="223"/>
      <c r="AH7" s="223"/>
      <c r="AI7" s="224"/>
    </row>
    <row r="8" spans="1:42" ht="18" customHeight="1">
      <c r="A8" s="1303" t="s">
        <v>78</v>
      </c>
      <c r="B8" s="44" t="s">
        <v>79</v>
      </c>
      <c r="C8" s="17" t="s">
        <v>80</v>
      </c>
      <c r="D8" s="21">
        <v>300179</v>
      </c>
      <c r="E8" s="232"/>
      <c r="F8" s="221"/>
      <c r="G8" s="221"/>
      <c r="H8" s="222"/>
      <c r="I8" s="230"/>
      <c r="J8" s="221"/>
      <c r="K8" s="221"/>
      <c r="L8" s="221"/>
      <c r="M8" s="221"/>
      <c r="N8" s="221"/>
      <c r="O8" s="234"/>
      <c r="P8" s="232"/>
      <c r="Q8" s="221"/>
      <c r="R8" s="221"/>
      <c r="S8" s="221"/>
      <c r="T8" s="221"/>
      <c r="U8" s="221"/>
      <c r="V8" s="222"/>
      <c r="W8" s="230"/>
      <c r="X8" s="221"/>
      <c r="Y8" s="221"/>
      <c r="Z8" s="221"/>
      <c r="AA8" s="221"/>
      <c r="AB8" s="221"/>
      <c r="AC8" s="234"/>
      <c r="AD8" s="232"/>
      <c r="AE8" s="221"/>
      <c r="AF8" s="221"/>
      <c r="AG8" s="207" t="s">
        <v>81</v>
      </c>
      <c r="AH8" s="221"/>
      <c r="AI8" s="222"/>
    </row>
    <row r="9" spans="1:42" ht="18" customHeight="1" thickBot="1">
      <c r="A9" s="1304"/>
      <c r="B9" s="251" t="s">
        <v>82</v>
      </c>
      <c r="C9" s="20" t="s">
        <v>80</v>
      </c>
      <c r="D9" s="156">
        <v>668695</v>
      </c>
      <c r="E9" s="247"/>
      <c r="F9" s="595" t="s">
        <v>81</v>
      </c>
      <c r="G9" s="244"/>
      <c r="H9" s="248"/>
      <c r="I9" s="249"/>
      <c r="J9" s="244"/>
      <c r="K9" s="244"/>
      <c r="L9" s="244"/>
      <c r="M9" s="244"/>
      <c r="N9" s="244"/>
      <c r="O9" s="250"/>
      <c r="P9" s="247"/>
      <c r="Q9" s="244"/>
      <c r="R9" s="244"/>
      <c r="S9" s="244"/>
      <c r="T9" s="244"/>
      <c r="U9" s="244"/>
      <c r="V9" s="248"/>
      <c r="W9" s="249"/>
      <c r="X9" s="244"/>
      <c r="Y9" s="244" t="s">
        <v>83</v>
      </c>
      <c r="Z9" s="244" t="s">
        <v>84</v>
      </c>
      <c r="AA9" s="244"/>
      <c r="AB9" s="244"/>
      <c r="AC9" s="250"/>
      <c r="AD9" s="247"/>
      <c r="AE9" s="244"/>
      <c r="AF9" s="244"/>
      <c r="AG9" s="244"/>
      <c r="AH9" s="244"/>
      <c r="AI9" s="248"/>
    </row>
    <row r="10" spans="1:42" ht="18" customHeight="1" thickTop="1">
      <c r="A10" s="1305" t="s">
        <v>85</v>
      </c>
      <c r="B10" s="44" t="s">
        <v>86</v>
      </c>
      <c r="C10" s="17" t="s">
        <v>13</v>
      </c>
      <c r="D10" s="21">
        <v>231061</v>
      </c>
      <c r="E10" s="253" t="s">
        <v>38</v>
      </c>
      <c r="F10" s="254" t="s">
        <v>38</v>
      </c>
      <c r="G10" s="255" t="s">
        <v>84</v>
      </c>
      <c r="H10" s="259" t="s">
        <v>84</v>
      </c>
      <c r="I10" s="257" t="s">
        <v>87</v>
      </c>
      <c r="J10" s="254" t="s">
        <v>87</v>
      </c>
      <c r="K10" s="254" t="s">
        <v>87</v>
      </c>
      <c r="L10" s="254" t="s">
        <v>87</v>
      </c>
      <c r="M10" s="255" t="s">
        <v>81</v>
      </c>
      <c r="N10" s="255" t="s">
        <v>84</v>
      </c>
      <c r="O10" s="260" t="s">
        <v>84</v>
      </c>
      <c r="P10" s="592" t="s">
        <v>81</v>
      </c>
      <c r="Q10" s="254" t="s">
        <v>87</v>
      </c>
      <c r="R10" s="254" t="s">
        <v>87</v>
      </c>
      <c r="S10" s="254" t="s">
        <v>87</v>
      </c>
      <c r="T10" s="255" t="s">
        <v>81</v>
      </c>
      <c r="U10" s="255" t="s">
        <v>84</v>
      </c>
      <c r="V10" s="256" t="s">
        <v>38</v>
      </c>
      <c r="W10" s="257" t="s">
        <v>38</v>
      </c>
      <c r="X10" s="254" t="s">
        <v>38</v>
      </c>
      <c r="Y10" s="254" t="s">
        <v>38</v>
      </c>
      <c r="Z10" s="254" t="s">
        <v>38</v>
      </c>
      <c r="AA10" s="254" t="s">
        <v>38</v>
      </c>
      <c r="AB10" s="255" t="s">
        <v>84</v>
      </c>
      <c r="AC10" s="258" t="s">
        <v>38</v>
      </c>
      <c r="AD10" s="253" t="s">
        <v>38</v>
      </c>
      <c r="AE10" s="254" t="s">
        <v>38</v>
      </c>
      <c r="AF10" s="254" t="s">
        <v>38</v>
      </c>
      <c r="AG10" s="254" t="s">
        <v>38</v>
      </c>
      <c r="AH10" s="254" t="s">
        <v>38</v>
      </c>
      <c r="AI10" s="259" t="s">
        <v>84</v>
      </c>
    </row>
    <row r="11" spans="1:42" ht="18" customHeight="1">
      <c r="A11" s="1306"/>
      <c r="B11" s="45" t="s">
        <v>21</v>
      </c>
      <c r="C11" s="16" t="s">
        <v>13</v>
      </c>
      <c r="D11" s="22">
        <v>289663</v>
      </c>
      <c r="E11" s="314" t="s">
        <v>88</v>
      </c>
      <c r="F11" s="78" t="s">
        <v>87</v>
      </c>
      <c r="G11" s="79" t="s">
        <v>84</v>
      </c>
      <c r="H11" s="81" t="s">
        <v>38</v>
      </c>
      <c r="I11" s="85" t="s">
        <v>38</v>
      </c>
      <c r="J11" s="78" t="s">
        <v>38</v>
      </c>
      <c r="K11" s="78" t="s">
        <v>38</v>
      </c>
      <c r="L11" s="78" t="s">
        <v>38</v>
      </c>
      <c r="M11" s="78" t="s">
        <v>38</v>
      </c>
      <c r="N11" s="79" t="s">
        <v>84</v>
      </c>
      <c r="O11" s="83" t="s">
        <v>38</v>
      </c>
      <c r="P11" s="82" t="s">
        <v>38</v>
      </c>
      <c r="Q11" s="78" t="s">
        <v>38</v>
      </c>
      <c r="R11" s="78" t="s">
        <v>38</v>
      </c>
      <c r="S11" s="78" t="s">
        <v>38</v>
      </c>
      <c r="T11" s="80" t="s">
        <v>38</v>
      </c>
      <c r="U11" s="79" t="s">
        <v>84</v>
      </c>
      <c r="V11" s="84" t="s">
        <v>84</v>
      </c>
      <c r="W11" s="614"/>
      <c r="X11" s="615"/>
      <c r="Y11" s="615"/>
      <c r="Z11" s="615"/>
      <c r="AA11" s="615"/>
      <c r="AB11" s="616"/>
      <c r="AC11" s="617"/>
      <c r="AD11" s="618"/>
      <c r="AE11" s="615"/>
      <c r="AF11" s="615"/>
      <c r="AG11" s="615"/>
      <c r="AH11" s="615"/>
      <c r="AI11" s="619"/>
    </row>
    <row r="12" spans="1:42" ht="18" customHeight="1">
      <c r="A12" s="1307"/>
      <c r="B12" s="252" t="s">
        <v>24</v>
      </c>
      <c r="C12" s="20" t="s">
        <v>13</v>
      </c>
      <c r="D12" s="261" t="s">
        <v>89</v>
      </c>
      <c r="E12" s="353" t="s">
        <v>88</v>
      </c>
      <c r="F12" s="263" t="s">
        <v>87</v>
      </c>
      <c r="G12" s="264" t="s">
        <v>84</v>
      </c>
      <c r="H12" s="265" t="s">
        <v>84</v>
      </c>
      <c r="I12" s="266" t="s">
        <v>87</v>
      </c>
      <c r="J12" s="267" t="s">
        <v>87</v>
      </c>
      <c r="K12" s="267" t="s">
        <v>87</v>
      </c>
      <c r="L12" s="267" t="s">
        <v>87</v>
      </c>
      <c r="M12" s="263" t="s">
        <v>87</v>
      </c>
      <c r="N12" s="267" t="s">
        <v>90</v>
      </c>
      <c r="O12" s="268" t="s">
        <v>84</v>
      </c>
      <c r="P12" s="262" t="s">
        <v>87</v>
      </c>
      <c r="Q12" s="267" t="s">
        <v>87</v>
      </c>
      <c r="R12" s="267" t="s">
        <v>87</v>
      </c>
      <c r="S12" s="267" t="s">
        <v>87</v>
      </c>
      <c r="T12" s="263" t="s">
        <v>87</v>
      </c>
      <c r="U12" s="264" t="s">
        <v>84</v>
      </c>
      <c r="V12" s="265" t="s">
        <v>84</v>
      </c>
      <c r="W12" s="266" t="s">
        <v>87</v>
      </c>
      <c r="X12" s="267" t="s">
        <v>87</v>
      </c>
      <c r="Y12" s="267" t="s">
        <v>87</v>
      </c>
      <c r="Z12" s="267" t="s">
        <v>87</v>
      </c>
      <c r="AA12" s="263" t="s">
        <v>87</v>
      </c>
      <c r="AB12" s="264" t="s">
        <v>91</v>
      </c>
      <c r="AC12" s="268" t="s">
        <v>84</v>
      </c>
      <c r="AD12" s="262" t="s">
        <v>87</v>
      </c>
      <c r="AE12" s="267" t="s">
        <v>87</v>
      </c>
      <c r="AF12" s="267" t="s">
        <v>87</v>
      </c>
      <c r="AG12" s="267" t="s">
        <v>87</v>
      </c>
      <c r="AH12" s="267" t="s">
        <v>87</v>
      </c>
      <c r="AI12" s="265" t="s">
        <v>84</v>
      </c>
    </row>
    <row r="13" spans="1:42" ht="18" customHeight="1" thickTop="1" thickBot="1">
      <c r="A13" s="1305" t="s">
        <v>92</v>
      </c>
      <c r="B13" s="1308" t="s">
        <v>93</v>
      </c>
      <c r="C13" s="1309"/>
      <c r="D13" s="1310"/>
      <c r="E13" s="189" t="s">
        <v>94</v>
      </c>
      <c r="F13" s="190" t="s">
        <v>94</v>
      </c>
      <c r="G13" s="191" t="s">
        <v>84</v>
      </c>
      <c r="H13" s="192" t="s">
        <v>94</v>
      </c>
      <c r="I13" s="193" t="s">
        <v>94</v>
      </c>
      <c r="J13" s="190" t="s">
        <v>94</v>
      </c>
      <c r="K13" s="190" t="s">
        <v>94</v>
      </c>
      <c r="L13" s="190" t="s">
        <v>94</v>
      </c>
      <c r="M13" s="190" t="s">
        <v>94</v>
      </c>
      <c r="N13" s="191" t="s">
        <v>84</v>
      </c>
      <c r="O13" s="188" t="s">
        <v>84</v>
      </c>
      <c r="P13" s="189" t="s">
        <v>95</v>
      </c>
      <c r="Q13" s="190" t="s">
        <v>95</v>
      </c>
      <c r="R13" s="190" t="s">
        <v>95</v>
      </c>
      <c r="S13" s="190" t="s">
        <v>95</v>
      </c>
      <c r="T13" s="190" t="s">
        <v>95</v>
      </c>
      <c r="U13" s="190" t="s">
        <v>95</v>
      </c>
      <c r="V13" s="197" t="s">
        <v>84</v>
      </c>
      <c r="W13" s="193" t="s">
        <v>95</v>
      </c>
      <c r="X13" s="190" t="s">
        <v>95</v>
      </c>
      <c r="Y13" s="190" t="s">
        <v>95</v>
      </c>
      <c r="Z13" s="190" t="s">
        <v>95</v>
      </c>
      <c r="AA13" s="190" t="s">
        <v>95</v>
      </c>
      <c r="AB13" s="191" t="s">
        <v>84</v>
      </c>
      <c r="AC13" s="188" t="s">
        <v>84</v>
      </c>
      <c r="AD13" s="189" t="s">
        <v>94</v>
      </c>
      <c r="AE13" s="190" t="s">
        <v>94</v>
      </c>
      <c r="AF13" s="190" t="s">
        <v>94</v>
      </c>
      <c r="AG13" s="190" t="s">
        <v>94</v>
      </c>
      <c r="AH13" s="190" t="s">
        <v>94</v>
      </c>
      <c r="AI13" s="201" t="s">
        <v>84</v>
      </c>
      <c r="AJ13" s="137" t="s">
        <v>95</v>
      </c>
      <c r="AK13" s="137" t="s">
        <v>38</v>
      </c>
      <c r="AL13" s="138" t="s">
        <v>84</v>
      </c>
      <c r="AM13" s="137" t="s">
        <v>81</v>
      </c>
      <c r="AN13" s="137" t="s">
        <v>88</v>
      </c>
      <c r="AO13" s="137" t="s">
        <v>96</v>
      </c>
      <c r="AP13" s="139" t="s">
        <v>97</v>
      </c>
    </row>
    <row r="14" spans="1:42" ht="18" customHeight="1" thickBot="1">
      <c r="A14" s="1307"/>
      <c r="B14" s="252" t="s">
        <v>22</v>
      </c>
      <c r="C14" s="20" t="s">
        <v>16</v>
      </c>
      <c r="D14" s="156">
        <v>517968</v>
      </c>
      <c r="E14" s="243" t="s">
        <v>81</v>
      </c>
      <c r="F14" s="241" t="s">
        <v>84</v>
      </c>
      <c r="G14" s="244"/>
      <c r="H14" s="245"/>
      <c r="I14" s="249"/>
      <c r="J14" s="244"/>
      <c r="K14" s="244"/>
      <c r="L14" s="244"/>
      <c r="M14" s="244"/>
      <c r="N14" s="244" t="s">
        <v>94</v>
      </c>
      <c r="O14" s="250"/>
      <c r="P14" s="243" t="s">
        <v>84</v>
      </c>
      <c r="Q14" s="244"/>
      <c r="R14" s="244"/>
      <c r="S14" s="244"/>
      <c r="T14" s="244"/>
      <c r="U14" s="244"/>
      <c r="V14" s="248"/>
      <c r="W14" s="313" t="s">
        <v>84</v>
      </c>
      <c r="X14" s="241" t="s">
        <v>88</v>
      </c>
      <c r="Y14" s="241" t="s">
        <v>88</v>
      </c>
      <c r="Z14" s="244"/>
      <c r="AA14" s="244"/>
      <c r="AB14" s="244" t="s">
        <v>95</v>
      </c>
      <c r="AC14" s="250"/>
      <c r="AD14" s="243" t="s">
        <v>81</v>
      </c>
      <c r="AE14" s="241" t="s">
        <v>81</v>
      </c>
      <c r="AF14" s="241" t="s">
        <v>81</v>
      </c>
      <c r="AG14" s="241" t="s">
        <v>81</v>
      </c>
      <c r="AH14" s="241" t="s">
        <v>81</v>
      </c>
      <c r="AI14" s="248" t="s">
        <v>94</v>
      </c>
      <c r="AJ14" s="89" cm="1">
        <f t="array" ref="AJ14">SUMPRODUCT(($E$13:$AI$13="HR")*($E$14:$AI$14=""))+SUMPRODUCT(($E$14:$AI$14="HR")*1)</f>
        <v>8</v>
      </c>
      <c r="AK14" s="89" cm="1">
        <f t="array" ref="AK14">SUMPRODUCT(($E$13:$AI$13="N0")*($E$14:$AI$14=""))+SUMPRODUCT(($E$14:$AI$14="N")*1)</f>
        <v>6</v>
      </c>
      <c r="AL14" s="89" cm="1">
        <f t="array" ref="AL14">SUMPRODUCT(($E$13:$AI$13="RD")*($E$14:$AI$14=""))+SUMPRODUCT(($E$14:$AI$14="RD")*1)</f>
        <v>7</v>
      </c>
      <c r="AM14" s="89" cm="1">
        <f t="array" ref="AM14">SUMPRODUCT(($E$14:$AI$14="AL")*1)</f>
        <v>6</v>
      </c>
      <c r="AN14" s="89" cm="1">
        <f t="array" ref="AN14">SUMPRODUCT(($E$14:$AI$14="SH")*1)</f>
        <v>2</v>
      </c>
      <c r="AO14" s="89" cm="1">
        <f t="array" ref="AO14">SUMPRODUCT(($E$14:$AH$14="SL")*1)</f>
        <v>0</v>
      </c>
      <c r="AP14" s="140">
        <f>$AI$5-AJ14-AK14-AL14-AM14-AN14-AO14</f>
        <v>2</v>
      </c>
    </row>
    <row r="15" spans="1:42" ht="18" customHeight="1" thickTop="1" thickBot="1">
      <c r="A15" s="1305" t="s">
        <v>98</v>
      </c>
      <c r="B15" s="1308" t="s">
        <v>93</v>
      </c>
      <c r="C15" s="1309"/>
      <c r="D15" s="1310"/>
      <c r="E15" s="189" t="s">
        <v>95</v>
      </c>
      <c r="F15" s="190" t="s">
        <v>95</v>
      </c>
      <c r="G15" s="190" t="s">
        <v>95</v>
      </c>
      <c r="H15" s="197" t="s">
        <v>84</v>
      </c>
      <c r="I15" s="193" t="s">
        <v>95</v>
      </c>
      <c r="J15" s="190" t="s">
        <v>95</v>
      </c>
      <c r="K15" s="190" t="s">
        <v>95</v>
      </c>
      <c r="L15" s="190" t="s">
        <v>95</v>
      </c>
      <c r="M15" s="190" t="s">
        <v>95</v>
      </c>
      <c r="N15" s="191" t="s">
        <v>84</v>
      </c>
      <c r="O15" s="188" t="s">
        <v>84</v>
      </c>
      <c r="P15" s="189" t="s">
        <v>94</v>
      </c>
      <c r="Q15" s="190" t="s">
        <v>94</v>
      </c>
      <c r="R15" s="190" t="s">
        <v>94</v>
      </c>
      <c r="S15" s="190" t="s">
        <v>94</v>
      </c>
      <c r="T15" s="190" t="s">
        <v>94</v>
      </c>
      <c r="U15" s="191" t="s">
        <v>84</v>
      </c>
      <c r="V15" s="192" t="s">
        <v>94</v>
      </c>
      <c r="W15" s="193" t="s">
        <v>94</v>
      </c>
      <c r="X15" s="190" t="s">
        <v>94</v>
      </c>
      <c r="Y15" s="190" t="s">
        <v>94</v>
      </c>
      <c r="Z15" s="190" t="s">
        <v>94</v>
      </c>
      <c r="AA15" s="190" t="s">
        <v>94</v>
      </c>
      <c r="AB15" s="191" t="s">
        <v>84</v>
      </c>
      <c r="AC15" s="188" t="s">
        <v>84</v>
      </c>
      <c r="AD15" s="189" t="s">
        <v>95</v>
      </c>
      <c r="AE15" s="190" t="s">
        <v>95</v>
      </c>
      <c r="AF15" s="190" t="s">
        <v>95</v>
      </c>
      <c r="AG15" s="190" t="s">
        <v>95</v>
      </c>
      <c r="AH15" s="190" t="s">
        <v>95</v>
      </c>
      <c r="AI15" s="192" t="s">
        <v>95</v>
      </c>
      <c r="AJ15" s="137" t="s">
        <v>95</v>
      </c>
      <c r="AK15" s="137" t="s">
        <v>38</v>
      </c>
      <c r="AL15" s="138" t="s">
        <v>84</v>
      </c>
      <c r="AM15" s="137" t="s">
        <v>81</v>
      </c>
      <c r="AN15" s="137" t="s">
        <v>88</v>
      </c>
      <c r="AO15" s="137" t="s">
        <v>96</v>
      </c>
      <c r="AP15" s="139" t="s">
        <v>97</v>
      </c>
    </row>
    <row r="16" spans="1:42" ht="18" customHeight="1" thickBot="1">
      <c r="A16" s="1307"/>
      <c r="B16" s="269" t="s">
        <v>46</v>
      </c>
      <c r="C16" s="20" t="s">
        <v>16</v>
      </c>
      <c r="D16" s="156">
        <v>673706</v>
      </c>
      <c r="E16" s="270"/>
      <c r="F16" s="271"/>
      <c r="G16" s="271"/>
      <c r="H16" s="272"/>
      <c r="I16" s="273"/>
      <c r="J16" s="263"/>
      <c r="K16" s="271"/>
      <c r="L16" s="271"/>
      <c r="M16" s="326" t="s">
        <v>84</v>
      </c>
      <c r="N16" s="271"/>
      <c r="O16" s="274" t="s">
        <v>94</v>
      </c>
      <c r="P16" s="270"/>
      <c r="Q16" s="271"/>
      <c r="R16" s="271"/>
      <c r="S16" s="271"/>
      <c r="T16" s="271"/>
      <c r="U16" s="271"/>
      <c r="V16" s="272"/>
      <c r="W16" s="273"/>
      <c r="X16" s="271"/>
      <c r="Y16" s="271"/>
      <c r="Z16" s="271"/>
      <c r="AA16" s="271"/>
      <c r="AB16" s="271" t="s">
        <v>94</v>
      </c>
      <c r="AC16" s="274"/>
      <c r="AD16" s="270"/>
      <c r="AE16" s="271"/>
      <c r="AF16" s="271"/>
      <c r="AG16" s="271"/>
      <c r="AH16" s="271"/>
      <c r="AI16" s="272"/>
      <c r="AJ16" s="89" cm="1">
        <f t="array" ref="AJ16">SUMPRODUCT(($E$15:$AI$15="HR")*($E$16:$AI$16=""))+SUMPRODUCT(($E$16:$AI$16="HR")*1)</f>
        <v>13</v>
      </c>
      <c r="AK16" s="89" cm="1">
        <f t="array" ref="AK16">SUMPRODUCT(($E$15:$AI$15="N0")*($E$16:$AI$16=""))+SUMPRODUCT(($E$16:$AI$16="N")*1)</f>
        <v>11</v>
      </c>
      <c r="AL16" s="89" cm="1">
        <f t="array" ref="AL16">SUMPRODUCT(($E$15:$AI$15="RD")*($E$16:$AI$16=""))+SUMPRODUCT(($E$16:$AI$16="RD")*1)</f>
        <v>5</v>
      </c>
      <c r="AM16" s="89" cm="1">
        <f t="array" ref="AM16">SUMPRODUCT(($E$16:$AI$16="AL")*1)</f>
        <v>0</v>
      </c>
      <c r="AN16" s="89" cm="1">
        <f t="array" ref="AN16">SUMPRODUCT(($E$16:$AI$16="SH")*1)</f>
        <v>0</v>
      </c>
      <c r="AO16" s="89" cm="1">
        <f t="array" ref="AO16">SUMPRODUCT(($E$16:$AI$16="SL")*1)</f>
        <v>0</v>
      </c>
      <c r="AP16" s="140">
        <f>$AI$5-AJ16-AK16-AL16-AM16-AN16-AO16</f>
        <v>2</v>
      </c>
    </row>
    <row r="17" spans="1:42" ht="18" customHeight="1" thickTop="1" thickBot="1">
      <c r="A17" s="1305" t="s">
        <v>99</v>
      </c>
      <c r="B17" s="1308" t="s">
        <v>93</v>
      </c>
      <c r="C17" s="1309"/>
      <c r="D17" s="1310"/>
      <c r="E17" s="189" t="s">
        <v>95</v>
      </c>
      <c r="F17" s="190" t="s">
        <v>95</v>
      </c>
      <c r="G17" s="190" t="s">
        <v>95</v>
      </c>
      <c r="H17" s="201" t="s">
        <v>84</v>
      </c>
      <c r="I17" s="193" t="s">
        <v>95</v>
      </c>
      <c r="J17" s="190" t="s">
        <v>95</v>
      </c>
      <c r="K17" s="190" t="s">
        <v>95</v>
      </c>
      <c r="L17" s="190" t="s">
        <v>95</v>
      </c>
      <c r="M17" s="190" t="s">
        <v>95</v>
      </c>
      <c r="N17" s="191" t="s">
        <v>84</v>
      </c>
      <c r="O17" s="188" t="s">
        <v>84</v>
      </c>
      <c r="P17" s="189" t="s">
        <v>95</v>
      </c>
      <c r="Q17" s="190" t="s">
        <v>95</v>
      </c>
      <c r="R17" s="190" t="s">
        <v>95</v>
      </c>
      <c r="S17" s="190" t="s">
        <v>95</v>
      </c>
      <c r="T17" s="190" t="s">
        <v>95</v>
      </c>
      <c r="U17" s="190" t="s">
        <v>95</v>
      </c>
      <c r="V17" s="201" t="s">
        <v>84</v>
      </c>
      <c r="W17" s="193" t="s">
        <v>95</v>
      </c>
      <c r="X17" s="190" t="s">
        <v>95</v>
      </c>
      <c r="Y17" s="190" t="s">
        <v>95</v>
      </c>
      <c r="Z17" s="190" t="s">
        <v>95</v>
      </c>
      <c r="AA17" s="190" t="s">
        <v>95</v>
      </c>
      <c r="AB17" s="191" t="s">
        <v>84</v>
      </c>
      <c r="AC17" s="188" t="s">
        <v>84</v>
      </c>
      <c r="AD17" s="189" t="s">
        <v>95</v>
      </c>
      <c r="AE17" s="190" t="s">
        <v>95</v>
      </c>
      <c r="AF17" s="190" t="s">
        <v>95</v>
      </c>
      <c r="AG17" s="190" t="s">
        <v>95</v>
      </c>
      <c r="AH17" s="190" t="s">
        <v>95</v>
      </c>
      <c r="AI17" s="192" t="s">
        <v>95</v>
      </c>
      <c r="AJ17" s="137" t="s">
        <v>95</v>
      </c>
      <c r="AK17" s="137" t="s">
        <v>38</v>
      </c>
      <c r="AL17" s="138" t="s">
        <v>84</v>
      </c>
      <c r="AM17" s="137" t="s">
        <v>81</v>
      </c>
      <c r="AN17" s="137" t="s">
        <v>88</v>
      </c>
      <c r="AO17" s="137" t="s">
        <v>96</v>
      </c>
      <c r="AP17" s="139" t="s">
        <v>97</v>
      </c>
    </row>
    <row r="18" spans="1:42" ht="18" customHeight="1" thickBot="1">
      <c r="A18" s="1307"/>
      <c r="B18" s="252" t="s">
        <v>100</v>
      </c>
      <c r="C18" s="20" t="s">
        <v>16</v>
      </c>
      <c r="D18" s="156">
        <v>469319</v>
      </c>
      <c r="E18" s="247"/>
      <c r="F18" s="244"/>
      <c r="G18" s="244"/>
      <c r="H18" s="248"/>
      <c r="I18" s="249"/>
      <c r="J18" s="244"/>
      <c r="K18" s="244"/>
      <c r="L18" s="244"/>
      <c r="M18" s="244"/>
      <c r="N18" s="244"/>
      <c r="O18" s="250"/>
      <c r="P18" s="247"/>
      <c r="Q18" s="244"/>
      <c r="R18" s="244"/>
      <c r="S18" s="244"/>
      <c r="T18" s="244"/>
      <c r="U18" s="244"/>
      <c r="V18" s="248"/>
      <c r="W18" s="249"/>
      <c r="X18" s="244"/>
      <c r="Y18" s="244"/>
      <c r="Z18" s="244"/>
      <c r="AA18" s="244"/>
      <c r="AB18" s="244"/>
      <c r="AC18" s="250"/>
      <c r="AD18" s="243" t="s">
        <v>81</v>
      </c>
      <c r="AE18" s="241" t="s">
        <v>81</v>
      </c>
      <c r="AF18" s="244"/>
      <c r="AG18" s="244"/>
      <c r="AH18" s="244"/>
      <c r="AI18" s="248"/>
      <c r="AJ18" s="89" cm="1">
        <f t="array" ref="AJ18">SUMPRODUCT(($E$17:$AI$17="HR")*($E$18:$AI$18=""))+SUMPRODUCT(($E$18:$AI$18="HR")*1)</f>
        <v>23</v>
      </c>
      <c r="AK18" s="89" cm="1">
        <f t="array" ref="AK18">SUMPRODUCT(($E$17:$AI$17="N0")*($E$18:$AI$18=""))+SUMPRODUCT(($E$18:$AI$18="N")*1)</f>
        <v>0</v>
      </c>
      <c r="AL18" s="89" cm="1">
        <f t="array" ref="AL18">SUMPRODUCT(($E$17:$AI$17="RD")*($E$18:$AI$18=""))+SUMPRODUCT(($E$18:$AI$18="RD")*1)</f>
        <v>6</v>
      </c>
      <c r="AM18" s="89" cm="1">
        <f t="array" ref="AM18">SUMPRODUCT(($E$18:$AI$18="AL")*1)</f>
        <v>2</v>
      </c>
      <c r="AN18" s="89" cm="1">
        <f t="array" ref="AN18">SUMPRODUCT(($E$18:$AI$18="SH")*1)</f>
        <v>0</v>
      </c>
      <c r="AO18" s="89" cm="1">
        <f t="array" ref="AO18">SUMPRODUCT(($E$18:$AI$18="SL")*1)</f>
        <v>0</v>
      </c>
      <c r="AP18" s="140">
        <f>$AI$5-AJ18-AK18-AL18-AM18-AN18-AO18</f>
        <v>0</v>
      </c>
    </row>
    <row r="19" spans="1:42" ht="18" customHeight="1" thickTop="1" thickBot="1">
      <c r="A19" s="1305" t="s">
        <v>101</v>
      </c>
      <c r="B19" s="1308" t="s">
        <v>93</v>
      </c>
      <c r="C19" s="1309"/>
      <c r="D19" s="1310"/>
      <c r="E19" s="189" t="s">
        <v>94</v>
      </c>
      <c r="F19" s="190" t="s">
        <v>94</v>
      </c>
      <c r="G19" s="191" t="s">
        <v>84</v>
      </c>
      <c r="H19" s="192" t="s">
        <v>94</v>
      </c>
      <c r="I19" s="193" t="s">
        <v>94</v>
      </c>
      <c r="J19" s="190" t="s">
        <v>94</v>
      </c>
      <c r="K19" s="190" t="s">
        <v>94</v>
      </c>
      <c r="L19" s="190" t="s">
        <v>94</v>
      </c>
      <c r="M19" s="190" t="s">
        <v>94</v>
      </c>
      <c r="N19" s="191" t="s">
        <v>84</v>
      </c>
      <c r="O19" s="188" t="s">
        <v>84</v>
      </c>
      <c r="P19" s="194" t="s">
        <v>95</v>
      </c>
      <c r="Q19" s="195" t="s">
        <v>95</v>
      </c>
      <c r="R19" s="195" t="s">
        <v>95</v>
      </c>
      <c r="S19" s="195" t="s">
        <v>95</v>
      </c>
      <c r="T19" s="195" t="s">
        <v>95</v>
      </c>
      <c r="U19" s="196" t="s">
        <v>84</v>
      </c>
      <c r="V19" s="197" t="s">
        <v>84</v>
      </c>
      <c r="W19" s="193" t="s">
        <v>94</v>
      </c>
      <c r="X19" s="190" t="s">
        <v>94</v>
      </c>
      <c r="Y19" s="190" t="s">
        <v>94</v>
      </c>
      <c r="Z19" s="190" t="s">
        <v>94</v>
      </c>
      <c r="AA19" s="190" t="s">
        <v>94</v>
      </c>
      <c r="AB19" s="191" t="s">
        <v>84</v>
      </c>
      <c r="AC19" s="198" t="s">
        <v>94</v>
      </c>
      <c r="AD19" s="199" t="s">
        <v>94</v>
      </c>
      <c r="AE19" s="200" t="s">
        <v>94</v>
      </c>
      <c r="AF19" s="200" t="s">
        <v>94</v>
      </c>
      <c r="AG19" s="200" t="s">
        <v>94</v>
      </c>
      <c r="AH19" s="200" t="s">
        <v>94</v>
      </c>
      <c r="AI19" s="201" t="s">
        <v>84</v>
      </c>
      <c r="AJ19" s="137" t="s">
        <v>95</v>
      </c>
      <c r="AK19" s="137" t="s">
        <v>38</v>
      </c>
      <c r="AL19" s="138" t="s">
        <v>84</v>
      </c>
      <c r="AM19" s="137" t="s">
        <v>81</v>
      </c>
      <c r="AN19" s="137" t="s">
        <v>88</v>
      </c>
      <c r="AO19" s="137" t="s">
        <v>96</v>
      </c>
      <c r="AP19" s="139" t="s">
        <v>97</v>
      </c>
    </row>
    <row r="20" spans="1:42" ht="18" customHeight="1">
      <c r="A20" s="1306"/>
      <c r="B20" s="45" t="s">
        <v>14</v>
      </c>
      <c r="C20" s="16" t="s">
        <v>16</v>
      </c>
      <c r="D20" s="22">
        <v>321508</v>
      </c>
      <c r="E20" s="28"/>
      <c r="F20" s="29"/>
      <c r="G20" s="29"/>
      <c r="H20" s="30"/>
      <c r="I20" s="75"/>
      <c r="J20" s="29"/>
      <c r="K20" s="29"/>
      <c r="L20" s="29"/>
      <c r="M20" s="29"/>
      <c r="N20" s="29"/>
      <c r="O20" s="65"/>
      <c r="P20" s="28"/>
      <c r="Q20" s="29"/>
      <c r="R20" s="29"/>
      <c r="S20" s="183" t="s">
        <v>88</v>
      </c>
      <c r="T20" s="183" t="s">
        <v>88</v>
      </c>
      <c r="U20" s="29"/>
      <c r="V20" s="30"/>
      <c r="W20" s="75"/>
      <c r="X20" s="29"/>
      <c r="Y20" s="29"/>
      <c r="Z20" s="29"/>
      <c r="AA20" s="29"/>
      <c r="AB20" s="29"/>
      <c r="AC20" s="65"/>
      <c r="AD20" s="28"/>
      <c r="AE20" s="29"/>
      <c r="AF20" s="29"/>
      <c r="AG20" s="29"/>
      <c r="AH20" s="29"/>
      <c r="AI20" s="30"/>
      <c r="AJ20" s="89" cm="1">
        <f t="array" ref="AJ20">SUMPRODUCT(($E$19:$AI$19="HR")*(E20:AI20=""))+SUMPRODUCT((E20:AI20="HR")*1)</f>
        <v>3</v>
      </c>
      <c r="AK20" s="89" cm="1">
        <f t="array" ref="AK20">SUMPRODUCT(($E$19:$AI$19="N0")*(E20:AI20=""))+SUMPRODUCT((E20:AI20="N")*1)</f>
        <v>19</v>
      </c>
      <c r="AL20" s="88" cm="1">
        <f t="array" ref="AL20">SUMPRODUCT(($E$19:$AI$19="RD")*(E20:AI20=""))+SUMPRODUCT((E20:AI20="RD")*1)</f>
        <v>7</v>
      </c>
      <c r="AM20" s="89" cm="1">
        <f t="array" ref="AM20">SUMPRODUCT((F20:AI20="AL")*1)</f>
        <v>0</v>
      </c>
      <c r="AN20" s="89" cm="1">
        <f t="array" ref="AN20">SUMPRODUCT((F20:AI20="SH")*1)</f>
        <v>2</v>
      </c>
      <c r="AO20" s="89" cm="1">
        <f t="array" ref="AO20">SUMPRODUCT((E20:AI20="SL")*1)</f>
        <v>0</v>
      </c>
      <c r="AP20" s="140">
        <f>$AI$5-AJ20-AK20-AL20-AM20-AN20-AO20</f>
        <v>0</v>
      </c>
    </row>
    <row r="21" spans="1:42" ht="18" customHeight="1">
      <c r="A21" s="1306"/>
      <c r="B21" s="45" t="s">
        <v>102</v>
      </c>
      <c r="C21" s="16" t="s">
        <v>16</v>
      </c>
      <c r="D21" s="22">
        <v>461865</v>
      </c>
      <c r="E21" s="184" t="s">
        <v>88</v>
      </c>
      <c r="F21" s="183" t="s">
        <v>88</v>
      </c>
      <c r="G21" s="29"/>
      <c r="H21" s="185" t="s">
        <v>88</v>
      </c>
      <c r="I21" s="186" t="s">
        <v>88</v>
      </c>
      <c r="J21" s="183" t="s">
        <v>88</v>
      </c>
      <c r="K21" s="183" t="s">
        <v>81</v>
      </c>
      <c r="L21" s="183" t="s">
        <v>81</v>
      </c>
      <c r="M21" s="183" t="s">
        <v>81</v>
      </c>
      <c r="N21" s="29"/>
      <c r="O21" s="65"/>
      <c r="P21" s="28"/>
      <c r="Q21" s="29"/>
      <c r="S21" s="29"/>
      <c r="T21" s="29"/>
      <c r="U21" s="29"/>
      <c r="V21" s="30"/>
      <c r="W21" s="75"/>
      <c r="X21" s="29"/>
      <c r="Y21" s="29"/>
      <c r="Z21" s="29"/>
      <c r="AA21" s="29"/>
      <c r="AB21" s="29"/>
      <c r="AC21" s="65"/>
      <c r="AD21" s="28"/>
      <c r="AE21" s="29"/>
      <c r="AF21" s="29"/>
      <c r="AG21" s="29"/>
      <c r="AH21" s="29"/>
      <c r="AI21" s="30" t="s">
        <v>94</v>
      </c>
      <c r="AJ21" s="89" cm="1">
        <f t="array" ref="AJ21">SUMPRODUCT(($E$19:$AI$19="HR")*(E21:AI21=""))+SUMPRODUCT((E21:AI21="HR")*1)</f>
        <v>5</v>
      </c>
      <c r="AK21" s="89" cm="1">
        <f t="array" ref="AK21">SUMPRODUCT(($E$19:$AI$19="N0")*(E21:AI21=""))+SUMPRODUCT((E21:AI21="N")*1)</f>
        <v>11</v>
      </c>
      <c r="AL21" s="88" cm="1">
        <f t="array" ref="AL21">SUMPRODUCT(($E$19:$AI$19="RD")*(E21:AI21=""))+SUMPRODUCT((E21:AI21="RD")*1)</f>
        <v>6</v>
      </c>
      <c r="AM21" s="89" cm="1">
        <f t="array" ref="AM21">SUMPRODUCT((F21:AI21="AL")*1)</f>
        <v>3</v>
      </c>
      <c r="AN21" s="89" cm="1">
        <f t="array" ref="AN21">SUMPRODUCT((F21:AI21="SH")*1)</f>
        <v>4</v>
      </c>
      <c r="AO21" s="89" cm="1">
        <f t="array" ref="AO21">SUMPRODUCT((E21:AI21="SL")*1)</f>
        <v>0</v>
      </c>
      <c r="AP21" s="140">
        <f t="shared" ref="AP21:AP25" si="0">$AI$5-AJ21-AK21-AL21-AM21-AN21-AO21</f>
        <v>2</v>
      </c>
    </row>
    <row r="22" spans="1:42" ht="18" customHeight="1">
      <c r="A22" s="1306"/>
      <c r="B22" s="120" t="s">
        <v>41</v>
      </c>
      <c r="C22" s="16" t="s">
        <v>27</v>
      </c>
      <c r="D22" s="22">
        <v>676095</v>
      </c>
      <c r="E22" s="184" t="s">
        <v>81</v>
      </c>
      <c r="F22" s="183" t="s">
        <v>81</v>
      </c>
      <c r="G22" s="29"/>
      <c r="H22" s="30"/>
      <c r="I22" s="75"/>
      <c r="J22" s="29"/>
      <c r="K22" s="29"/>
      <c r="L22" s="29"/>
      <c r="M22" s="29"/>
      <c r="N22" s="29"/>
      <c r="O22" s="65"/>
      <c r="P22" s="28"/>
      <c r="Q22" s="29"/>
      <c r="R22" s="29" t="s">
        <v>103</v>
      </c>
      <c r="S22" s="29" t="s">
        <v>103</v>
      </c>
      <c r="T22" s="29"/>
      <c r="U22" s="29"/>
      <c r="V22" s="30"/>
      <c r="W22" s="75"/>
      <c r="X22" s="75"/>
      <c r="Y22" s="75"/>
      <c r="Z22" s="75"/>
      <c r="AA22" s="75"/>
      <c r="AB22" s="29"/>
      <c r="AC22" s="235"/>
      <c r="AD22" s="315"/>
      <c r="AE22" s="75"/>
      <c r="AF22" s="75"/>
      <c r="AG22" s="75"/>
      <c r="AH22" s="75"/>
      <c r="AI22" s="30"/>
      <c r="AJ22" s="89" cm="1">
        <f t="array" ref="AJ22">SUMPRODUCT(($E$19:$AI$19="HR")*(E22:AI22=""))+SUMPRODUCT((E22:AI22="HR")*1)</f>
        <v>3</v>
      </c>
      <c r="AK22" s="89" cm="1">
        <f t="array" ref="AK22">SUMPRODUCT(($E$19:$AI$19="N0")*(E22:AI22=""))+SUMPRODUCT((E22:AI22="N")*1)</f>
        <v>17</v>
      </c>
      <c r="AL22" s="88" cm="1">
        <f t="array" ref="AL22">SUMPRODUCT(($E$19:$AI$19="RD")*(E22:AI22=""))+SUMPRODUCT((E22:AI22="RD")*1)</f>
        <v>7</v>
      </c>
      <c r="AM22" s="89" cm="1">
        <f t="array" ref="AM22">SUMPRODUCT((F22:AI22="AL")*1)</f>
        <v>1</v>
      </c>
      <c r="AN22" s="89" cm="1">
        <f t="array" ref="AN22">SUMPRODUCT((F22:AI22="SH")*1)</f>
        <v>0</v>
      </c>
      <c r="AO22" s="89" cm="1">
        <f t="array" ref="AO22">SUMPRODUCT((E22:AI22="SL")*1)</f>
        <v>0</v>
      </c>
      <c r="AP22" s="140">
        <f t="shared" si="0"/>
        <v>3</v>
      </c>
    </row>
    <row r="23" spans="1:42" ht="18" customHeight="1">
      <c r="A23" s="1306"/>
      <c r="B23" s="45" t="s">
        <v>104</v>
      </c>
      <c r="C23" s="16" t="s">
        <v>27</v>
      </c>
      <c r="D23" s="22">
        <v>681383</v>
      </c>
      <c r="E23" s="28"/>
      <c r="F23" s="29"/>
      <c r="G23" s="29"/>
      <c r="H23" s="30"/>
      <c r="I23" s="75"/>
      <c r="J23" s="208" t="s">
        <v>96</v>
      </c>
      <c r="K23" s="29"/>
      <c r="L23" s="29"/>
      <c r="M23" s="29"/>
      <c r="N23" s="29"/>
      <c r="O23" s="65"/>
      <c r="P23" s="28" t="s">
        <v>105</v>
      </c>
      <c r="Q23" s="29" t="s">
        <v>106</v>
      </c>
      <c r="R23" s="29" t="s">
        <v>103</v>
      </c>
      <c r="S23" s="29" t="s">
        <v>103</v>
      </c>
      <c r="T23" s="29"/>
      <c r="U23" s="29"/>
      <c r="V23" s="30"/>
      <c r="W23" s="75"/>
      <c r="X23" s="75"/>
      <c r="Y23" s="75"/>
      <c r="Z23" s="75"/>
      <c r="AA23" s="75"/>
      <c r="AB23" s="29"/>
      <c r="AC23" s="235"/>
      <c r="AD23" s="315"/>
      <c r="AE23" s="75"/>
      <c r="AF23" s="75"/>
      <c r="AG23" s="75"/>
      <c r="AH23" s="186" t="s">
        <v>81</v>
      </c>
      <c r="AI23" s="30"/>
      <c r="AJ23" s="89" cm="1">
        <f t="array" ref="AJ23">SUMPRODUCT(($E$19:$AI$19="HR")*(E23:AI23=""))+SUMPRODUCT((E23:AI23="HR")*1)</f>
        <v>1</v>
      </c>
      <c r="AK23" s="89" cm="1">
        <f t="array" ref="AK23">SUMPRODUCT(($E$19:$AI$19="N0")*(E23:AI23=""))+SUMPRODUCT((E23:AI23="N")*1)</f>
        <v>17</v>
      </c>
      <c r="AL23" s="88" cm="1">
        <f t="array" ref="AL23">SUMPRODUCT(($E$19:$AI$19="RD")*(E23:AI23=""))+SUMPRODUCT((E23:AI23="RD")*1)</f>
        <v>7</v>
      </c>
      <c r="AM23" s="89" cm="1">
        <f t="array" ref="AM23">SUMPRODUCT((F23:AI23="AL")*1)</f>
        <v>1</v>
      </c>
      <c r="AN23" s="89" cm="1">
        <f t="array" ref="AN23">SUMPRODUCT((F23:AI23="SH")*1)</f>
        <v>0</v>
      </c>
      <c r="AO23" s="89" cm="1">
        <f t="array" ref="AO23">SUMPRODUCT((E23:AI23="SL")*1)</f>
        <v>1</v>
      </c>
      <c r="AP23" s="140">
        <f t="shared" si="0"/>
        <v>4</v>
      </c>
    </row>
    <row r="24" spans="1:42" ht="18" customHeight="1">
      <c r="A24" s="1306"/>
      <c r="B24" s="226" t="s">
        <v>30</v>
      </c>
      <c r="C24" s="16" t="s">
        <v>32</v>
      </c>
      <c r="D24" s="22">
        <v>679417</v>
      </c>
      <c r="E24" s="28"/>
      <c r="F24" s="29"/>
      <c r="G24" s="29"/>
      <c r="H24" s="30"/>
      <c r="I24" s="75"/>
      <c r="J24" s="29"/>
      <c r="K24" s="29"/>
      <c r="L24" s="29"/>
      <c r="M24" s="29"/>
      <c r="N24" s="29"/>
      <c r="O24" s="65"/>
      <c r="P24" s="28" t="s">
        <v>107</v>
      </c>
      <c r="Q24" s="29"/>
      <c r="R24" s="29"/>
      <c r="S24" s="29"/>
      <c r="T24" s="29"/>
      <c r="U24" s="29"/>
      <c r="V24" s="30"/>
      <c r="W24" s="75"/>
      <c r="X24" s="29"/>
      <c r="Y24" s="29"/>
      <c r="Z24" s="29"/>
      <c r="AA24" s="29"/>
      <c r="AB24" s="29"/>
      <c r="AC24" s="235"/>
      <c r="AD24" s="28"/>
      <c r="AE24" s="183" t="s">
        <v>81</v>
      </c>
      <c r="AF24" s="29"/>
      <c r="AG24" s="29"/>
      <c r="AH24" s="29"/>
      <c r="AI24" s="30"/>
      <c r="AJ24" s="89" cm="1">
        <f t="array" ref="AJ24">SUMPRODUCT(($E$19:$AI$19="HR")*(E24:AI24=""))+SUMPRODUCT((E24:AI24="HR")*1)</f>
        <v>4</v>
      </c>
      <c r="AK24" s="89" cm="1">
        <f t="array" ref="AK24">SUMPRODUCT(($E$19:$AI$19="N0")*(E24:AI24=""))+SUMPRODUCT((E24:AI24="N")*1)</f>
        <v>18</v>
      </c>
      <c r="AL24" s="88" cm="1">
        <f t="array" ref="AL24">SUMPRODUCT(($E$19:$AI$19="RD")*(E24:AI24=""))+SUMPRODUCT((E24:AI24="RD")*1)</f>
        <v>7</v>
      </c>
      <c r="AM24" s="89" cm="1">
        <f t="array" ref="AM24">SUMPRODUCT((F24:AI24="AL")*1)</f>
        <v>1</v>
      </c>
      <c r="AN24" s="89" cm="1">
        <f t="array" ref="AN24">SUMPRODUCT((F24:AI24="SH")*1)</f>
        <v>0</v>
      </c>
      <c r="AO24" s="89" cm="1">
        <f t="array" ref="AO24">SUMPRODUCT((E24:AI24="SL")*1)</f>
        <v>0</v>
      </c>
      <c r="AP24" s="140">
        <f t="shared" si="0"/>
        <v>1</v>
      </c>
    </row>
    <row r="25" spans="1:42" ht="18" customHeight="1">
      <c r="A25" s="1307"/>
      <c r="B25" s="251" t="s">
        <v>48</v>
      </c>
      <c r="C25" s="20" t="s">
        <v>27</v>
      </c>
      <c r="D25" s="156">
        <v>684061</v>
      </c>
      <c r="E25" s="247"/>
      <c r="F25" s="244"/>
      <c r="G25" s="244"/>
      <c r="H25" s="248"/>
      <c r="I25" s="249"/>
      <c r="J25" s="244"/>
      <c r="K25" s="244"/>
      <c r="L25" s="244"/>
      <c r="M25" s="244"/>
      <c r="N25" s="244"/>
      <c r="O25" s="250"/>
      <c r="P25" s="247"/>
      <c r="Q25" s="244" t="s">
        <v>107</v>
      </c>
      <c r="R25" s="244"/>
      <c r="S25" s="244"/>
      <c r="T25" s="244"/>
      <c r="U25" s="244" t="s">
        <v>95</v>
      </c>
      <c r="V25" s="248"/>
      <c r="W25" s="361" t="s">
        <v>108</v>
      </c>
      <c r="X25" s="361" t="s">
        <v>108</v>
      </c>
      <c r="Y25" s="361" t="s">
        <v>108</v>
      </c>
      <c r="Z25" s="361" t="s">
        <v>108</v>
      </c>
      <c r="AA25" s="361" t="s">
        <v>108</v>
      </c>
      <c r="AB25" s="359"/>
      <c r="AC25" s="368" t="s">
        <v>84</v>
      </c>
      <c r="AD25" s="369" t="s">
        <v>108</v>
      </c>
      <c r="AE25" s="361" t="s">
        <v>108</v>
      </c>
      <c r="AF25" s="361" t="s">
        <v>108</v>
      </c>
      <c r="AG25" s="361" t="s">
        <v>108</v>
      </c>
      <c r="AH25" s="361" t="s">
        <v>108</v>
      </c>
      <c r="AI25" s="360" t="s">
        <v>95</v>
      </c>
      <c r="AJ25" s="89" cm="1">
        <f t="array" ref="AJ25">SUMPRODUCT(($E$19:$AI$19="HR")*(E25:AI25=""))+SUMPRODUCT((E25:AI25="HR")*1)</f>
        <v>6</v>
      </c>
      <c r="AK25" s="89" cm="1">
        <f t="array" ref="AK25">SUMPRODUCT(($E$19:$AI$19="N0")*(E25:AI25=""))+SUMPRODUCT((E25:AI25="N")*1)</f>
        <v>8</v>
      </c>
      <c r="AL25" s="88" cm="1">
        <f t="array" ref="AL25">SUMPRODUCT(($E$19:$AI$19="RD")*(E25:AI25=""))+SUMPRODUCT((E25:AI25="RD")*1)</f>
        <v>6</v>
      </c>
      <c r="AM25" s="89" cm="1">
        <f t="array" ref="AM25">SUMPRODUCT((F25:AI25="AL")*1)</f>
        <v>0</v>
      </c>
      <c r="AN25" s="89" cm="1">
        <f t="array" ref="AN25">SUMPRODUCT((F25:AI25="SH")*1)</f>
        <v>0</v>
      </c>
      <c r="AO25" s="89" cm="1">
        <f t="array" ref="AO25">SUMPRODUCT((E25:AI25="SL")*1)</f>
        <v>0</v>
      </c>
      <c r="AP25" s="140">
        <f t="shared" si="0"/>
        <v>11</v>
      </c>
    </row>
    <row r="26" spans="1:42" ht="18" customHeight="1">
      <c r="A26" s="1305" t="s">
        <v>109</v>
      </c>
      <c r="B26" s="1308" t="s">
        <v>110</v>
      </c>
      <c r="C26" s="1309"/>
      <c r="D26" s="1310"/>
      <c r="E26" s="199" t="s">
        <v>94</v>
      </c>
      <c r="F26" s="200" t="s">
        <v>94</v>
      </c>
      <c r="G26" s="196" t="s">
        <v>84</v>
      </c>
      <c r="H26" s="202" t="s">
        <v>94</v>
      </c>
      <c r="I26" s="203" t="s">
        <v>94</v>
      </c>
      <c r="J26" s="200" t="s">
        <v>94</v>
      </c>
      <c r="K26" s="200" t="s">
        <v>94</v>
      </c>
      <c r="L26" s="200" t="s">
        <v>94</v>
      </c>
      <c r="M26" s="200" t="s">
        <v>94</v>
      </c>
      <c r="N26" s="196" t="s">
        <v>84</v>
      </c>
      <c r="O26" s="198" t="s">
        <v>94</v>
      </c>
      <c r="P26" s="199" t="s">
        <v>94</v>
      </c>
      <c r="Q26" s="200" t="s">
        <v>94</v>
      </c>
      <c r="R26" s="200" t="s">
        <v>94</v>
      </c>
      <c r="S26" s="200" t="s">
        <v>94</v>
      </c>
      <c r="T26" s="200" t="s">
        <v>94</v>
      </c>
      <c r="U26" s="196" t="s">
        <v>84</v>
      </c>
      <c r="V26" s="197" t="s">
        <v>84</v>
      </c>
      <c r="W26" s="204" t="s">
        <v>95</v>
      </c>
      <c r="X26" s="195" t="s">
        <v>95</v>
      </c>
      <c r="Y26" s="195" t="s">
        <v>95</v>
      </c>
      <c r="Z26" s="195" t="s">
        <v>95</v>
      </c>
      <c r="AA26" s="195" t="s">
        <v>95</v>
      </c>
      <c r="AB26" s="196" t="s">
        <v>84</v>
      </c>
      <c r="AC26" s="205" t="s">
        <v>84</v>
      </c>
      <c r="AD26" s="199" t="s">
        <v>94</v>
      </c>
      <c r="AE26" s="200" t="s">
        <v>94</v>
      </c>
      <c r="AF26" s="200" t="s">
        <v>94</v>
      </c>
      <c r="AG26" s="200" t="s">
        <v>94</v>
      </c>
      <c r="AH26" s="200" t="s">
        <v>94</v>
      </c>
      <c r="AI26" s="197" t="s">
        <v>84</v>
      </c>
      <c r="AJ26" s="137" t="s">
        <v>95</v>
      </c>
      <c r="AK26" s="137" t="s">
        <v>38</v>
      </c>
      <c r="AL26" s="138" t="s">
        <v>84</v>
      </c>
      <c r="AM26" s="137" t="s">
        <v>81</v>
      </c>
      <c r="AN26" s="137" t="s">
        <v>88</v>
      </c>
      <c r="AO26" s="137" t="s">
        <v>96</v>
      </c>
      <c r="AP26" s="139" t="s">
        <v>97</v>
      </c>
    </row>
    <row r="27" spans="1:42" ht="18" customHeight="1">
      <c r="A27" s="1306"/>
      <c r="B27" s="45" t="s">
        <v>111</v>
      </c>
      <c r="C27" s="16" t="s">
        <v>16</v>
      </c>
      <c r="D27" s="22">
        <v>265691</v>
      </c>
      <c r="E27" s="28"/>
      <c r="F27" s="29"/>
      <c r="G27" s="29"/>
      <c r="H27" s="30"/>
      <c r="I27" s="75"/>
      <c r="J27" s="29"/>
      <c r="K27" s="208" t="s">
        <v>112</v>
      </c>
      <c r="L27" s="208" t="s">
        <v>112</v>
      </c>
      <c r="M27" s="208" t="s">
        <v>112</v>
      </c>
      <c r="N27" s="29"/>
      <c r="O27" s="65"/>
      <c r="P27" s="28"/>
      <c r="Q27" s="29"/>
      <c r="R27" s="29"/>
      <c r="S27" s="29"/>
      <c r="T27" s="29"/>
      <c r="U27" s="29"/>
      <c r="V27" s="30"/>
      <c r="W27" s="75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30"/>
      <c r="AJ27" s="89" cm="1">
        <f t="array" ref="AJ27">SUMPRODUCT(($E$26:$AI$26="HR")*(E27:AI27=""))+SUMPRODUCT((E27:AI27="HR")*1)</f>
        <v>5</v>
      </c>
      <c r="AK27" s="89" cm="1">
        <f t="array" ref="AK27">SUMPRODUCT(($E$26:$AI$26="N0")*(E27:AI27=""))+SUMPRODUCT((E27:AI27="N")*1)</f>
        <v>16</v>
      </c>
      <c r="AL27" s="88" cm="1">
        <f t="array" ref="AL27">SUMPRODUCT(($E$26:$AI$26="RD")*(E27:AI27=""))+SUMPRODUCT((E27:AI27="RD")*1)</f>
        <v>7</v>
      </c>
      <c r="AM27" s="89" cm="1">
        <f t="array" ref="AM27">SUMPRODUCT((F27:AI27="AL")*1)</f>
        <v>0</v>
      </c>
      <c r="AN27" s="89" cm="1">
        <f t="array" ref="AN27">SUMPRODUCT((F27:AI27="SH")*1)</f>
        <v>0</v>
      </c>
      <c r="AO27" s="89" cm="1">
        <f t="array" ref="AO27">SUMPRODUCT((E27:AI27="SL")*1)</f>
        <v>0</v>
      </c>
      <c r="AP27" s="140">
        <f t="shared" ref="AP27:AP31" si="1">$AI$5-AJ27-AK27-AL27-AM27-AN27-AO27</f>
        <v>3</v>
      </c>
    </row>
    <row r="28" spans="1:42" ht="18" customHeight="1">
      <c r="A28" s="1306"/>
      <c r="B28" s="120" t="s">
        <v>113</v>
      </c>
      <c r="C28" s="16" t="s">
        <v>16</v>
      </c>
      <c r="D28" s="22">
        <v>422401</v>
      </c>
      <c r="E28" s="28"/>
      <c r="F28" s="98"/>
      <c r="G28" s="29"/>
      <c r="H28" s="30"/>
      <c r="I28" s="75"/>
      <c r="J28" s="29"/>
      <c r="K28" s="29"/>
      <c r="L28" s="29"/>
      <c r="M28" s="29"/>
      <c r="N28" s="29"/>
      <c r="O28" s="65"/>
      <c r="P28" s="28"/>
      <c r="Q28" s="29"/>
      <c r="R28" s="29"/>
      <c r="S28" s="29"/>
      <c r="T28" s="29"/>
      <c r="U28" s="29"/>
      <c r="V28" s="30"/>
      <c r="W28" s="75"/>
      <c r="X28" s="29"/>
      <c r="Y28" s="29"/>
      <c r="Z28" s="29"/>
      <c r="AA28" s="183" t="s">
        <v>81</v>
      </c>
      <c r="AB28" s="29"/>
      <c r="AC28" s="65"/>
      <c r="AD28" s="28"/>
      <c r="AE28" s="29"/>
      <c r="AF28" s="29"/>
      <c r="AG28" s="29"/>
      <c r="AH28" s="29"/>
      <c r="AI28" s="30"/>
      <c r="AJ28" s="89" cm="1">
        <f t="array" ref="AJ28">SUMPRODUCT(($E$26:$AI$26="HR")*(E28:AI28=""))+SUMPRODUCT((E28:AI28="HR")*1)</f>
        <v>4</v>
      </c>
      <c r="AK28" s="89" cm="1">
        <f t="array" ref="AK28">SUMPRODUCT(($E$26:$AI$26="N0")*(E28:AI28=""))+SUMPRODUCT((E28:AI28="N")*1)</f>
        <v>19</v>
      </c>
      <c r="AL28" s="88" cm="1">
        <f t="array" ref="AL28">SUMPRODUCT(($E$26:$AI$26="RD")*(E28:AI28=""))+SUMPRODUCT((E28:AI28="RD")*1)</f>
        <v>7</v>
      </c>
      <c r="AM28" s="89" cm="1">
        <f t="array" ref="AM28">SUMPRODUCT((F28:AI28="AL")*1)</f>
        <v>1</v>
      </c>
      <c r="AN28" s="89" cm="1">
        <f t="array" ref="AN28">SUMPRODUCT((F28:AI28="SH")*1)</f>
        <v>0</v>
      </c>
      <c r="AO28" s="89" cm="1">
        <f t="array" ref="AO28">SUMPRODUCT((E28:AI28="SL")*1)</f>
        <v>0</v>
      </c>
      <c r="AP28" s="140">
        <f t="shared" si="1"/>
        <v>0</v>
      </c>
    </row>
    <row r="29" spans="1:42" ht="18" customHeight="1">
      <c r="A29" s="1306"/>
      <c r="B29" s="102" t="s">
        <v>29</v>
      </c>
      <c r="C29" s="16" t="s">
        <v>27</v>
      </c>
      <c r="D29" s="22">
        <v>679365</v>
      </c>
      <c r="E29" s="28"/>
      <c r="F29" s="29"/>
      <c r="G29" s="29"/>
      <c r="H29" s="30"/>
      <c r="I29" s="593" t="s">
        <v>96</v>
      </c>
      <c r="J29" s="208" t="s">
        <v>96</v>
      </c>
      <c r="K29" s="29"/>
      <c r="L29" s="29"/>
      <c r="M29" s="29"/>
      <c r="N29" s="29"/>
      <c r="O29" s="235"/>
      <c r="P29" s="28"/>
      <c r="Q29" s="29"/>
      <c r="R29" s="29"/>
      <c r="S29" s="183" t="s">
        <v>84</v>
      </c>
      <c r="T29" s="29" t="s">
        <v>107</v>
      </c>
      <c r="U29" s="29" t="s">
        <v>95</v>
      </c>
      <c r="V29" s="30"/>
      <c r="W29" s="75"/>
      <c r="X29" s="29"/>
      <c r="Y29" s="29"/>
      <c r="Z29" s="29"/>
      <c r="AA29" s="29"/>
      <c r="AB29" s="29"/>
      <c r="AC29" s="65"/>
      <c r="AD29" s="28"/>
      <c r="AE29" s="29"/>
      <c r="AF29" s="208" t="s">
        <v>96</v>
      </c>
      <c r="AG29" s="29"/>
      <c r="AH29" s="29"/>
      <c r="AI29" s="30"/>
      <c r="AJ29" s="89" cm="1">
        <f t="array" ref="AJ29">SUMPRODUCT(($E$26:$AI$26="HR")*(E29:AI29=""))+SUMPRODUCT((E29:AI29="HR")*1)</f>
        <v>6</v>
      </c>
      <c r="AK29" s="89" cm="1">
        <f t="array" ref="AK29">SUMPRODUCT(($E$26:$AI$26="N0")*(E29:AI29=""))+SUMPRODUCT((E29:AI29="N")*1)</f>
        <v>14</v>
      </c>
      <c r="AL29" s="88" cm="1">
        <f t="array" ref="AL29">SUMPRODUCT(($E$26:$AI$26="RD")*(E29:AI29=""))+SUMPRODUCT((E29:AI29="RD")*1)</f>
        <v>7</v>
      </c>
      <c r="AM29" s="89" cm="1">
        <f t="array" ref="AM29">SUMPRODUCT((F29:AI29="AL")*1)</f>
        <v>0</v>
      </c>
      <c r="AN29" s="89" cm="1">
        <f t="array" ref="AN29">SUMPRODUCT((F29:AI29="SH")*1)</f>
        <v>0</v>
      </c>
      <c r="AO29" s="89" cm="1">
        <f t="array" ref="AO29">SUMPRODUCT((E29:AI29="SL")*1)</f>
        <v>3</v>
      </c>
      <c r="AP29" s="140">
        <f t="shared" si="1"/>
        <v>1</v>
      </c>
    </row>
    <row r="30" spans="1:42" ht="18" customHeight="1">
      <c r="A30" s="1306"/>
      <c r="B30" s="102" t="s">
        <v>114</v>
      </c>
      <c r="C30" s="16" t="s">
        <v>27</v>
      </c>
      <c r="D30" s="22">
        <v>680682</v>
      </c>
      <c r="E30" s="28"/>
      <c r="F30" s="29"/>
      <c r="G30" s="29"/>
      <c r="H30" s="30"/>
      <c r="I30" s="75"/>
      <c r="J30" s="29"/>
      <c r="K30" s="29"/>
      <c r="L30" s="29"/>
      <c r="M30" s="29"/>
      <c r="N30" s="29"/>
      <c r="O30" s="65"/>
      <c r="P30" s="28"/>
      <c r="Q30" s="29"/>
      <c r="R30" s="29"/>
      <c r="S30" s="29"/>
      <c r="T30" s="29"/>
      <c r="U30" s="29"/>
      <c r="V30" s="30"/>
      <c r="W30" s="75"/>
      <c r="X30" s="29" t="s">
        <v>107</v>
      </c>
      <c r="Y30" s="29"/>
      <c r="Z30" s="29"/>
      <c r="AA30" s="29"/>
      <c r="AB30" s="29"/>
      <c r="AC30" s="65"/>
      <c r="AD30" s="28"/>
      <c r="AE30" s="29"/>
      <c r="AF30" s="29"/>
      <c r="AG30" s="29"/>
      <c r="AH30" s="208" t="s">
        <v>96</v>
      </c>
      <c r="AI30" s="30"/>
      <c r="AJ30" s="89" cm="1">
        <f t="array" ref="AJ30">SUMPRODUCT(($E$26:$AI$26="HR")*(E30:AI30=""))+SUMPRODUCT((E30:AI30="HR")*1)</f>
        <v>4</v>
      </c>
      <c r="AK30" s="89" cm="1">
        <f t="array" ref="AK30">SUMPRODUCT(($E$26:$AI$26="N0")*(E30:AI30=""))+SUMPRODUCT((E30:AI30="N")*1)</f>
        <v>18</v>
      </c>
      <c r="AL30" s="88" cm="1">
        <f t="array" ref="AL30">SUMPRODUCT(($E$26:$AI$26="RD")*(E30:AI30=""))+SUMPRODUCT((E30:AI30="RD")*1)</f>
        <v>7</v>
      </c>
      <c r="AM30" s="89" cm="1">
        <f t="array" ref="AM30">SUMPRODUCT((F30:AI30="AL")*1)</f>
        <v>0</v>
      </c>
      <c r="AN30" s="89" cm="1">
        <f t="array" ref="AN30">SUMPRODUCT((F30:AI30="SH")*1)</f>
        <v>0</v>
      </c>
      <c r="AO30" s="89" cm="1">
        <f t="array" ref="AO30">SUMPRODUCT((E30:AI30="SL")*1)</f>
        <v>1</v>
      </c>
      <c r="AP30" s="140">
        <f t="shared" si="1"/>
        <v>1</v>
      </c>
    </row>
    <row r="31" spans="1:42" ht="18" customHeight="1">
      <c r="A31" s="1306"/>
      <c r="B31" s="227" t="s">
        <v>52</v>
      </c>
      <c r="C31" s="16" t="s">
        <v>27</v>
      </c>
      <c r="D31" s="22">
        <v>678954</v>
      </c>
      <c r="E31" s="28"/>
      <c r="F31" s="29"/>
      <c r="G31" s="29"/>
      <c r="H31" s="30"/>
      <c r="I31" s="75"/>
      <c r="J31" s="29"/>
      <c r="K31" s="29"/>
      <c r="L31" s="29"/>
      <c r="M31" s="29"/>
      <c r="N31" s="29"/>
      <c r="O31" s="235" t="s">
        <v>84</v>
      </c>
      <c r="P31" s="28" t="s">
        <v>95</v>
      </c>
      <c r="Q31" s="29" t="s">
        <v>107</v>
      </c>
      <c r="R31" s="29"/>
      <c r="S31" s="29"/>
      <c r="T31" s="29"/>
      <c r="U31" s="29"/>
      <c r="V31" s="30"/>
      <c r="W31" s="75"/>
      <c r="X31" s="29"/>
      <c r="Y31" s="29" t="s">
        <v>115</v>
      </c>
      <c r="Z31" s="29" t="s">
        <v>115</v>
      </c>
      <c r="AA31" s="29" t="s">
        <v>115</v>
      </c>
      <c r="AB31" s="29" t="s">
        <v>95</v>
      </c>
      <c r="AC31" s="65"/>
      <c r="AD31" s="28"/>
      <c r="AE31" s="29"/>
      <c r="AF31" s="29"/>
      <c r="AG31" s="29"/>
      <c r="AH31" s="29"/>
      <c r="AI31" s="30"/>
      <c r="AJ31" s="89" cm="1">
        <f t="array" ref="AJ31">SUMPRODUCT(($E$26:$AI$26="HR")*(E31:AI31=""))+SUMPRODUCT((E31:AI31="HR")*1)</f>
        <v>4</v>
      </c>
      <c r="AK31" s="89" cm="1">
        <f t="array" ref="AK31">SUMPRODUCT(($E$26:$AI$26="N0")*(E31:AI31=""))+SUMPRODUCT((E31:AI31="N")*1)</f>
        <v>16</v>
      </c>
      <c r="AL31" s="88" cm="1">
        <f t="array" ref="AL31">SUMPRODUCT(($E$26:$AI$26="RD")*(E31:AI31=""))+SUMPRODUCT((E31:AI31="RD")*1)</f>
        <v>7</v>
      </c>
      <c r="AM31" s="89" cm="1">
        <f t="array" ref="AM31">SUMPRODUCT((F31:AI31="AL")*1)</f>
        <v>0</v>
      </c>
      <c r="AN31" s="89" cm="1">
        <f t="array" ref="AN31">SUMPRODUCT((F31:AI31="SH")*1)</f>
        <v>0</v>
      </c>
      <c r="AO31" s="89" cm="1">
        <f t="array" ref="AO31">SUMPRODUCT((E31:AI31="SL")*1)</f>
        <v>0</v>
      </c>
      <c r="AP31" s="140">
        <f t="shared" si="1"/>
        <v>4</v>
      </c>
    </row>
    <row r="32" spans="1:42" ht="18" customHeight="1">
      <c r="A32" s="1314"/>
      <c r="B32" s="354" t="s">
        <v>116</v>
      </c>
      <c r="C32" s="318" t="s">
        <v>55</v>
      </c>
      <c r="D32" s="108">
        <v>682089</v>
      </c>
      <c r="E32" s="320"/>
      <c r="F32" s="321"/>
      <c r="G32" s="321"/>
      <c r="H32" s="322"/>
      <c r="I32" s="323"/>
      <c r="J32" s="321"/>
      <c r="K32" s="321"/>
      <c r="L32" s="357" t="s">
        <v>84</v>
      </c>
      <c r="M32" s="321" t="s">
        <v>107</v>
      </c>
      <c r="N32" s="321" t="s">
        <v>95</v>
      </c>
      <c r="O32" s="324"/>
      <c r="P32" s="320"/>
      <c r="Q32" s="321"/>
      <c r="R32" s="321"/>
      <c r="S32" s="321"/>
      <c r="T32" s="321"/>
      <c r="U32" s="321"/>
      <c r="V32" s="322"/>
      <c r="W32" s="323"/>
      <c r="X32" s="321"/>
      <c r="Y32" s="665" t="s">
        <v>96</v>
      </c>
      <c r="Z32" s="321"/>
      <c r="AA32" s="321"/>
      <c r="AB32" s="321"/>
      <c r="AC32" s="325"/>
      <c r="AD32" s="320"/>
      <c r="AE32" s="321"/>
      <c r="AF32" s="321"/>
      <c r="AG32" s="29"/>
      <c r="AH32" s="29"/>
      <c r="AI32" s="30"/>
      <c r="AJ32" s="89" cm="1">
        <f t="array" ref="AJ32">SUMPRODUCT(($E$26:$AI$26="HR")*(E32:AI32=""))+SUMPRODUCT((E32:AI32="HR")*1)</f>
        <v>5</v>
      </c>
      <c r="AK32" s="89" cm="1">
        <f t="array" ref="AK32">SUMPRODUCT(($E$26:$AI$26="N0")*(E32:AI32=""))+SUMPRODUCT((E32:AI32="N")*1)</f>
        <v>17</v>
      </c>
      <c r="AL32" s="88" cm="1">
        <f t="array" ref="AL32">SUMPRODUCT(($E$26:$AI$26="RD")*(E32:AI32=""))+SUMPRODUCT((E32:AI32="RD")*1)</f>
        <v>7</v>
      </c>
      <c r="AM32" s="89" cm="1">
        <f t="array" ref="AM32">SUMPRODUCT((F32:AI32="AL")*1)</f>
        <v>0</v>
      </c>
      <c r="AN32" s="89" cm="1">
        <f t="array" ref="AN32">SUMPRODUCT((F32:AI32="SH")*1)</f>
        <v>0</v>
      </c>
      <c r="AO32" s="89" cm="1">
        <f t="array" ref="AO32">SUMPRODUCT((E32:AI32="SL")*1)</f>
        <v>1</v>
      </c>
      <c r="AP32" s="140">
        <f t="shared" ref="AP32:AP33" si="2">$AI$5-AJ32-AK32-AL32-AM32-AN32-AO32</f>
        <v>1</v>
      </c>
    </row>
    <row r="33" spans="1:42" ht="18" customHeight="1">
      <c r="A33" s="1307"/>
      <c r="B33" s="355" t="s">
        <v>51</v>
      </c>
      <c r="C33" s="356" t="s">
        <v>32</v>
      </c>
      <c r="D33" s="23">
        <v>685750</v>
      </c>
      <c r="E33" s="247"/>
      <c r="F33" s="244"/>
      <c r="G33" s="244"/>
      <c r="H33" s="248"/>
      <c r="I33" s="249"/>
      <c r="J33" s="244"/>
      <c r="K33" s="244"/>
      <c r="L33" s="244"/>
      <c r="M33" s="244"/>
      <c r="N33" s="244"/>
      <c r="O33" s="250"/>
      <c r="P33" s="247"/>
      <c r="Q33" s="244"/>
      <c r="R33" s="244"/>
      <c r="S33" s="241" t="s">
        <v>84</v>
      </c>
      <c r="T33" s="244" t="s">
        <v>107</v>
      </c>
      <c r="U33" s="244" t="s">
        <v>95</v>
      </c>
      <c r="V33" s="248"/>
      <c r="W33" s="249"/>
      <c r="X33" s="244"/>
      <c r="Y33" s="244"/>
      <c r="Z33" s="241" t="s">
        <v>88</v>
      </c>
      <c r="AA33" s="241" t="s">
        <v>88</v>
      </c>
      <c r="AB33" s="244"/>
      <c r="AC33" s="250"/>
      <c r="AD33" s="247"/>
      <c r="AE33" s="244"/>
      <c r="AF33" s="244"/>
      <c r="AG33" s="359"/>
      <c r="AH33" s="359"/>
      <c r="AI33" s="360"/>
      <c r="AJ33" s="89" cm="1">
        <f t="array" ref="AJ33">SUMPRODUCT(($E$26:$AI$26="HR")*(E33:AI33=""))+SUMPRODUCT((E33:AI33="HR")*1)</f>
        <v>4</v>
      </c>
      <c r="AK33" s="89" cm="1">
        <f t="array" ref="AK33">SUMPRODUCT(($E$26:$AI$26="N0")*(E33:AI33=""))+SUMPRODUCT((E33:AI33="N")*1)</f>
        <v>17</v>
      </c>
      <c r="AL33" s="88" cm="1">
        <f t="array" ref="AL33">SUMPRODUCT(($E$26:$AI$26="RD")*(E33:AI33=""))+SUMPRODUCT((E33:AI33="RD")*1)</f>
        <v>7</v>
      </c>
      <c r="AM33" s="89" cm="1">
        <f t="array" ref="AM33">SUMPRODUCT((F33:AI33="AL")*1)</f>
        <v>0</v>
      </c>
      <c r="AN33" s="89" cm="1">
        <f t="array" ref="AN33">SUMPRODUCT((F33:AI33="SH")*1)</f>
        <v>2</v>
      </c>
      <c r="AO33" s="89" cm="1">
        <f t="array" ref="AO33">SUMPRODUCT((E33:AI33="SL")*1)</f>
        <v>0</v>
      </c>
      <c r="AP33" s="140">
        <f t="shared" si="2"/>
        <v>1</v>
      </c>
    </row>
    <row r="34" spans="1:42" ht="18" customHeight="1">
      <c r="A34" s="1305" t="s">
        <v>117</v>
      </c>
      <c r="B34" s="1308" t="s">
        <v>110</v>
      </c>
      <c r="C34" s="1309"/>
      <c r="D34" s="1310"/>
      <c r="E34" s="194" t="s">
        <v>95</v>
      </c>
      <c r="F34" s="195" t="s">
        <v>95</v>
      </c>
      <c r="G34" s="196" t="s">
        <v>84</v>
      </c>
      <c r="H34" s="197" t="s">
        <v>84</v>
      </c>
      <c r="I34" s="203" t="s">
        <v>94</v>
      </c>
      <c r="J34" s="200" t="s">
        <v>94</v>
      </c>
      <c r="K34" s="200" t="s">
        <v>94</v>
      </c>
      <c r="L34" s="200" t="s">
        <v>94</v>
      </c>
      <c r="M34" s="200" t="s">
        <v>94</v>
      </c>
      <c r="N34" s="196" t="s">
        <v>84</v>
      </c>
      <c r="O34" s="198" t="s">
        <v>94</v>
      </c>
      <c r="P34" s="199" t="s">
        <v>94</v>
      </c>
      <c r="Q34" s="200" t="s">
        <v>94</v>
      </c>
      <c r="R34" s="200" t="s">
        <v>94</v>
      </c>
      <c r="S34" s="200" t="s">
        <v>94</v>
      </c>
      <c r="T34" s="200" t="s">
        <v>94</v>
      </c>
      <c r="U34" s="196" t="s">
        <v>84</v>
      </c>
      <c r="V34" s="202" t="s">
        <v>94</v>
      </c>
      <c r="W34" s="203" t="s">
        <v>94</v>
      </c>
      <c r="X34" s="200" t="s">
        <v>94</v>
      </c>
      <c r="Y34" s="200" t="s">
        <v>94</v>
      </c>
      <c r="Z34" s="200" t="s">
        <v>94</v>
      </c>
      <c r="AA34" s="200" t="s">
        <v>94</v>
      </c>
      <c r="AB34" s="196" t="s">
        <v>84</v>
      </c>
      <c r="AC34" s="205" t="s">
        <v>84</v>
      </c>
      <c r="AD34" s="194" t="s">
        <v>95</v>
      </c>
      <c r="AE34" s="195" t="s">
        <v>95</v>
      </c>
      <c r="AF34" s="195" t="s">
        <v>95</v>
      </c>
      <c r="AG34" s="195" t="s">
        <v>95</v>
      </c>
      <c r="AH34" s="195" t="s">
        <v>95</v>
      </c>
      <c r="AI34" s="197" t="s">
        <v>84</v>
      </c>
      <c r="AJ34" s="137" t="s">
        <v>95</v>
      </c>
      <c r="AK34" s="137" t="s">
        <v>38</v>
      </c>
      <c r="AL34" s="138" t="s">
        <v>84</v>
      </c>
      <c r="AM34" s="137" t="s">
        <v>81</v>
      </c>
      <c r="AN34" s="137" t="s">
        <v>88</v>
      </c>
      <c r="AO34" s="137" t="s">
        <v>96</v>
      </c>
      <c r="AP34" s="139" t="s">
        <v>97</v>
      </c>
    </row>
    <row r="35" spans="1:42" ht="18" customHeight="1">
      <c r="A35" s="1306"/>
      <c r="B35" s="45" t="s">
        <v>17</v>
      </c>
      <c r="C35" s="16" t="s">
        <v>16</v>
      </c>
      <c r="D35" s="22">
        <v>321524</v>
      </c>
      <c r="E35" s="28"/>
      <c r="F35" s="29"/>
      <c r="G35" s="29"/>
      <c r="H35" s="30"/>
      <c r="I35" s="75"/>
      <c r="J35" s="29"/>
      <c r="K35" s="29"/>
      <c r="L35" s="29"/>
      <c r="M35" s="29"/>
      <c r="N35" s="29"/>
      <c r="O35" s="65"/>
      <c r="P35" s="28"/>
      <c r="Q35" s="29"/>
      <c r="R35" s="29"/>
      <c r="S35" s="29"/>
      <c r="T35" s="29"/>
      <c r="U35" s="29"/>
      <c r="V35" s="30"/>
      <c r="W35" s="332"/>
      <c r="X35" s="29"/>
      <c r="Y35" s="29"/>
      <c r="Z35" s="29"/>
      <c r="AA35" s="29"/>
      <c r="AB35" s="29"/>
      <c r="AC35" s="65"/>
      <c r="AD35" s="28"/>
      <c r="AE35" s="29"/>
      <c r="AF35" s="29"/>
      <c r="AG35" s="29"/>
      <c r="AH35" s="29"/>
      <c r="AI35" s="30"/>
      <c r="AJ35" s="89" cm="1">
        <f t="array" ref="AJ35">SUMPRODUCT(($E$34:$AI$34="HR")*(E35:AI35=""))+SUMPRODUCT((E35:AI35="HR")*1)</f>
        <v>7</v>
      </c>
      <c r="AK35" s="89" cm="1">
        <f t="array" ref="AK35">SUMPRODUCT(($E$34:$AI$34="N0")*(E35:AI35=""))+SUMPRODUCT((E35:AI35="N")*1)</f>
        <v>17</v>
      </c>
      <c r="AL35" s="88" cm="1">
        <f t="array" ref="AL35">SUMPRODUCT(($E$34:$AI$34="RD")*(E35:AI35=""))+SUMPRODUCT((E35:AI35="RD")*1)</f>
        <v>7</v>
      </c>
      <c r="AM35" s="89" cm="1">
        <f t="array" ref="AM35">SUMPRODUCT((F35:AI35="AL")*1)</f>
        <v>0</v>
      </c>
      <c r="AN35" s="89" cm="1">
        <f t="array" ref="AN35">SUMPRODUCT((F35:AI35="SH")*1)</f>
        <v>0</v>
      </c>
      <c r="AO35" s="89" cm="1">
        <f t="array" ref="AO35">SUMPRODUCT((E35:AI35="SL")*1)</f>
        <v>0</v>
      </c>
      <c r="AP35" s="140">
        <f t="shared" ref="AP35:AP39" si="3">$AI$5-AJ35-AK35-AL35-AM35-AN35-AO35</f>
        <v>0</v>
      </c>
    </row>
    <row r="36" spans="1:42" ht="18" customHeight="1">
      <c r="A36" s="1306"/>
      <c r="B36" s="45" t="s">
        <v>28</v>
      </c>
      <c r="C36" s="16" t="s">
        <v>16</v>
      </c>
      <c r="D36" s="22">
        <v>427616</v>
      </c>
      <c r="E36" s="28"/>
      <c r="F36" s="29"/>
      <c r="G36" s="29"/>
      <c r="H36" s="30"/>
      <c r="I36" s="75"/>
      <c r="J36" s="29"/>
      <c r="K36" s="29"/>
      <c r="L36" s="29"/>
      <c r="M36" s="29"/>
      <c r="N36" s="29"/>
      <c r="O36" s="65"/>
      <c r="P36" s="316"/>
      <c r="Q36" s="29"/>
      <c r="R36" s="29"/>
      <c r="S36" s="29"/>
      <c r="T36" s="29"/>
      <c r="U36" s="29"/>
      <c r="V36" s="30"/>
      <c r="W36" s="230"/>
      <c r="X36" s="29"/>
      <c r="Y36" s="29"/>
      <c r="Z36" s="29"/>
      <c r="AA36" s="29"/>
      <c r="AB36" s="29"/>
      <c r="AC36" s="65"/>
      <c r="AD36" s="28"/>
      <c r="AE36" s="29"/>
      <c r="AF36" s="29"/>
      <c r="AG36" s="29"/>
      <c r="AH36" s="29"/>
      <c r="AI36" s="30"/>
      <c r="AJ36" s="89" cm="1">
        <f t="array" ref="AJ36">SUMPRODUCT(($E$34:$AI$34="HR")*(E36:AI36=""))+SUMPRODUCT((E36:AI36="HR")*1)</f>
        <v>7</v>
      </c>
      <c r="AK36" s="89" cm="1">
        <f t="array" ref="AK36">SUMPRODUCT(($E$34:$AI$34="N0")*(E36:AI36=""))+SUMPRODUCT((E36:AI36="N")*1)</f>
        <v>17</v>
      </c>
      <c r="AL36" s="88" cm="1">
        <f t="array" ref="AL36">SUMPRODUCT(($E$34:$AI$34="RD")*(E36:AI36=""))+SUMPRODUCT((E36:AI36="RD")*1)</f>
        <v>7</v>
      </c>
      <c r="AM36" s="89" cm="1">
        <f t="array" ref="AM36">SUMPRODUCT((F36:AI36="AL")*1)</f>
        <v>0</v>
      </c>
      <c r="AN36" s="89" cm="1">
        <f t="array" ref="AN36">SUMPRODUCT((F36:AI36="SH")*1)</f>
        <v>0</v>
      </c>
      <c r="AO36" s="89" cm="1">
        <f t="array" ref="AO36">SUMPRODUCT((E36:AI36="SL")*1)</f>
        <v>0</v>
      </c>
      <c r="AP36" s="140">
        <f t="shared" si="3"/>
        <v>0</v>
      </c>
    </row>
    <row r="37" spans="1:42" ht="18" customHeight="1">
      <c r="A37" s="1306"/>
      <c r="B37" s="226" t="s">
        <v>33</v>
      </c>
      <c r="C37" s="16" t="s">
        <v>27</v>
      </c>
      <c r="D37" s="22">
        <v>672075</v>
      </c>
      <c r="E37" s="28"/>
      <c r="F37" s="29"/>
      <c r="G37" s="29"/>
      <c r="H37" s="30"/>
      <c r="I37" s="75"/>
      <c r="J37" s="29"/>
      <c r="K37" s="29"/>
      <c r="L37" s="29"/>
      <c r="M37" s="29"/>
      <c r="N37" s="29"/>
      <c r="O37" s="65"/>
      <c r="P37" s="232"/>
      <c r="Q37" s="29"/>
      <c r="R37" s="29"/>
      <c r="S37" s="29"/>
      <c r="T37" s="29"/>
      <c r="U37" s="29"/>
      <c r="V37" s="30"/>
      <c r="W37" s="75"/>
      <c r="X37" s="29"/>
      <c r="Y37" s="29"/>
      <c r="Z37" s="29"/>
      <c r="AA37" s="29"/>
      <c r="AB37" s="29"/>
      <c r="AC37" s="65"/>
      <c r="AD37" s="28"/>
      <c r="AE37" s="29"/>
      <c r="AF37" s="29"/>
      <c r="AG37" s="29"/>
      <c r="AH37" s="29"/>
      <c r="AI37" s="30"/>
      <c r="AJ37" s="89" cm="1">
        <f t="array" ref="AJ37">SUMPRODUCT(($E$34:$AI$34="HR")*(E37:AI37=""))+SUMPRODUCT((E37:AI37="HR")*1)</f>
        <v>7</v>
      </c>
      <c r="AK37" s="89" cm="1">
        <f t="array" ref="AK37">SUMPRODUCT(($E$34:$AI$34="N0")*(E37:AI37=""))+SUMPRODUCT((E37:AI37="N")*1)</f>
        <v>17</v>
      </c>
      <c r="AL37" s="88" cm="1">
        <f t="array" ref="AL37">SUMPRODUCT(($E$34:$AI$34="RD")*(E37:AI37=""))+SUMPRODUCT((E37:AI37="RD")*1)</f>
        <v>7</v>
      </c>
      <c r="AM37" s="89" cm="1">
        <f t="array" ref="AM37">SUMPRODUCT((F37:AI37="AL")*1)</f>
        <v>0</v>
      </c>
      <c r="AN37" s="89" cm="1">
        <f t="array" ref="AN37">SUMPRODUCT((F37:AI37="SH")*1)</f>
        <v>0</v>
      </c>
      <c r="AO37" s="89" cm="1">
        <f t="array" ref="AO37">SUMPRODUCT((E37:AI37="SL")*1)</f>
        <v>0</v>
      </c>
      <c r="AP37" s="140">
        <f t="shared" si="3"/>
        <v>0</v>
      </c>
    </row>
    <row r="38" spans="1:42" ht="18" customHeight="1">
      <c r="A38" s="1306"/>
      <c r="B38" s="45" t="s">
        <v>35</v>
      </c>
      <c r="C38" s="16" t="s">
        <v>27</v>
      </c>
      <c r="D38" s="22">
        <v>655180</v>
      </c>
      <c r="E38" s="28"/>
      <c r="F38" s="29"/>
      <c r="G38" s="29"/>
      <c r="H38" s="30"/>
      <c r="I38" s="75"/>
      <c r="J38" s="29"/>
      <c r="K38" s="29"/>
      <c r="L38" s="29"/>
      <c r="M38" s="29"/>
      <c r="N38" s="29"/>
      <c r="O38" s="65"/>
      <c r="P38" s="28"/>
      <c r="Q38" s="29"/>
      <c r="R38" s="29"/>
      <c r="S38" s="29"/>
      <c r="T38" s="29"/>
      <c r="U38" s="29"/>
      <c r="V38" s="185" t="s">
        <v>84</v>
      </c>
      <c r="W38" s="75" t="s">
        <v>108</v>
      </c>
      <c r="X38" s="75" t="s">
        <v>108</v>
      </c>
      <c r="Y38" s="75" t="s">
        <v>108</v>
      </c>
      <c r="Z38" s="75" t="s">
        <v>108</v>
      </c>
      <c r="AA38" s="75" t="s">
        <v>108</v>
      </c>
      <c r="AB38" s="29" t="s">
        <v>95</v>
      </c>
      <c r="AC38" s="65"/>
      <c r="AD38" s="315" t="s">
        <v>108</v>
      </c>
      <c r="AE38" s="75" t="s">
        <v>108</v>
      </c>
      <c r="AF38" s="75" t="s">
        <v>108</v>
      </c>
      <c r="AG38" s="75" t="s">
        <v>108</v>
      </c>
      <c r="AH38" s="75" t="s">
        <v>108</v>
      </c>
      <c r="AI38" s="30"/>
      <c r="AJ38" s="89" cm="1">
        <f t="array" ref="AJ38">SUMPRODUCT(($E$34:$AI$34="HR")*(E38:AI38=""))+SUMPRODUCT((E38:AI38="HR")*1)</f>
        <v>3</v>
      </c>
      <c r="AK38" s="89" cm="1">
        <f t="array" ref="AK38">SUMPRODUCT(($E$34:$AI$34="N0")*(E38:AI38=""))+SUMPRODUCT((E38:AI38="N")*1)</f>
        <v>11</v>
      </c>
      <c r="AL38" s="88" cm="1">
        <f t="array" ref="AL38">SUMPRODUCT(($E$34:$AI$34="RD")*(E38:AI38=""))+SUMPRODUCT((E38:AI38="RD")*1)</f>
        <v>7</v>
      </c>
      <c r="AM38" s="89" cm="1">
        <f t="array" ref="AM38">SUMPRODUCT((F38:AI38="AL")*1)</f>
        <v>0</v>
      </c>
      <c r="AN38" s="89" cm="1">
        <f t="array" ref="AN38">SUMPRODUCT((F38:AI38="SH")*1)</f>
        <v>0</v>
      </c>
      <c r="AO38" s="89" cm="1">
        <f t="array" ref="AO38">SUMPRODUCT((E38:AI38="SL")*1)</f>
        <v>0</v>
      </c>
      <c r="AP38" s="140">
        <f t="shared" si="3"/>
        <v>10</v>
      </c>
    </row>
    <row r="39" spans="1:42" ht="18" customHeight="1">
      <c r="A39" s="1306"/>
      <c r="B39" s="102" t="s">
        <v>34</v>
      </c>
      <c r="C39" s="16" t="s">
        <v>27</v>
      </c>
      <c r="D39" s="22">
        <v>673277</v>
      </c>
      <c r="E39" s="28"/>
      <c r="F39" s="29"/>
      <c r="G39" s="29"/>
      <c r="H39" s="30"/>
      <c r="I39" s="75"/>
      <c r="J39" s="29"/>
      <c r="K39" s="29"/>
      <c r="L39" s="29"/>
      <c r="M39" s="29"/>
      <c r="N39" s="29"/>
      <c r="O39" s="65"/>
      <c r="P39" s="28"/>
      <c r="Q39" s="29"/>
      <c r="R39" s="29"/>
      <c r="S39" s="29"/>
      <c r="T39" s="29"/>
      <c r="U39" s="29"/>
      <c r="V39" s="30"/>
      <c r="W39" s="75"/>
      <c r="X39" s="29"/>
      <c r="Y39" s="29"/>
      <c r="Z39" s="29"/>
      <c r="AA39" s="29"/>
      <c r="AB39" s="29"/>
      <c r="AC39" s="65"/>
      <c r="AD39" s="28"/>
      <c r="AE39" s="183" t="s">
        <v>81</v>
      </c>
      <c r="AF39" s="183" t="s">
        <v>81</v>
      </c>
      <c r="AG39" s="183" t="s">
        <v>81</v>
      </c>
      <c r="AH39" s="183" t="s">
        <v>88</v>
      </c>
      <c r="AI39" s="30"/>
      <c r="AJ39" s="89" cm="1">
        <f t="array" ref="AJ39">SUMPRODUCT(($E$34:$AI$34="HR")*(E39:AI39=""))+SUMPRODUCT((E39:AI39="HR")*1)</f>
        <v>3</v>
      </c>
      <c r="AK39" s="89" cm="1">
        <f t="array" ref="AK39">SUMPRODUCT(($E$34:$AI$34="N0")*(E39:AI39=""))+SUMPRODUCT((E39:AI39="N")*1)</f>
        <v>17</v>
      </c>
      <c r="AL39" s="88" cm="1">
        <f t="array" ref="AL39">SUMPRODUCT(($E$34:$AI$34="RD")*(E39:AI39=""))+SUMPRODUCT((E39:AI39="RD")*1)</f>
        <v>7</v>
      </c>
      <c r="AM39" s="89" cm="1">
        <f t="array" ref="AM39">SUMPRODUCT((F39:AI39="AL")*1)</f>
        <v>3</v>
      </c>
      <c r="AN39" s="89" cm="1">
        <f t="array" ref="AN39">SUMPRODUCT((F39:AI39="SH")*1)</f>
        <v>1</v>
      </c>
      <c r="AO39" s="89" cm="1">
        <f t="array" ref="AO39">SUMPRODUCT((E39:AI39="SL")*1)</f>
        <v>0</v>
      </c>
      <c r="AP39" s="140">
        <f t="shared" si="3"/>
        <v>0</v>
      </c>
    </row>
    <row r="40" spans="1:42" ht="18" customHeight="1">
      <c r="A40" s="1306"/>
      <c r="B40" s="228" t="s">
        <v>118</v>
      </c>
      <c r="C40" s="16" t="s">
        <v>27</v>
      </c>
      <c r="D40" s="22">
        <v>674432</v>
      </c>
      <c r="E40" s="347"/>
      <c r="F40" s="348"/>
      <c r="G40" s="348"/>
      <c r="H40" s="349"/>
      <c r="I40" s="350"/>
      <c r="J40" s="348"/>
      <c r="K40" s="348"/>
      <c r="L40" s="348"/>
      <c r="M40" s="348"/>
      <c r="N40" s="348"/>
      <c r="O40" s="351"/>
      <c r="P40" s="347"/>
      <c r="Q40" s="348"/>
      <c r="R40" s="348"/>
      <c r="S40" s="348"/>
      <c r="T40" s="348"/>
      <c r="U40" s="348"/>
      <c r="V40" s="349"/>
      <c r="W40" s="350"/>
      <c r="X40" s="348"/>
      <c r="Y40" s="348"/>
      <c r="Z40" s="348"/>
      <c r="AA40" s="348"/>
      <c r="AB40" s="348"/>
      <c r="AC40" s="351"/>
      <c r="AD40" s="347"/>
      <c r="AE40" s="348"/>
      <c r="AF40" s="348" t="s">
        <v>107</v>
      </c>
      <c r="AG40" s="348"/>
      <c r="AH40" s="348"/>
      <c r="AI40" s="349"/>
      <c r="AJ40" s="89" cm="1">
        <f t="array" ref="AJ40">SUMPRODUCT(($E$34:$AI$34="HR")*(E40:AI40=""))+SUMPRODUCT((E40:AI40="HR")*1)</f>
        <v>6</v>
      </c>
      <c r="AK40" s="89" cm="1">
        <f t="array" ref="AK40">SUMPRODUCT(($E$34:$AI$34="N0")*(E40:AI40=""))+SUMPRODUCT((E40:AI40="N")*1)</f>
        <v>17</v>
      </c>
      <c r="AL40" s="88" cm="1">
        <f t="array" ref="AL40">SUMPRODUCT(($E$34:$AI$34="RD")*(E40:AI40=""))+SUMPRODUCT((E40:AI40="RD")*1)</f>
        <v>7</v>
      </c>
      <c r="AM40" s="89" cm="1">
        <f t="array" ref="AM40">SUMPRODUCT((F40:AI40="AL")*1)</f>
        <v>0</v>
      </c>
      <c r="AN40" s="89" cm="1">
        <f t="array" ref="AN40">SUMPRODUCT((F40:AI40="SH")*1)</f>
        <v>0</v>
      </c>
      <c r="AO40" s="89" cm="1">
        <f t="array" ref="AO40">SUMPRODUCT((E40:AI40="SL")*1)</f>
        <v>0</v>
      </c>
      <c r="AP40" s="140">
        <f t="shared" ref="AP40" si="4">$AI$5-AJ40-AK40-AL40-AM40-AN40-AO40</f>
        <v>1</v>
      </c>
    </row>
    <row r="41" spans="1:42" ht="18" customHeight="1">
      <c r="A41" s="1305" t="s">
        <v>119</v>
      </c>
      <c r="B41" s="1308" t="s">
        <v>110</v>
      </c>
      <c r="C41" s="1309"/>
      <c r="D41" s="1310"/>
      <c r="E41" s="199" t="s">
        <v>94</v>
      </c>
      <c r="F41" s="200" t="s">
        <v>94</v>
      </c>
      <c r="G41" s="196" t="s">
        <v>84</v>
      </c>
      <c r="H41" s="197" t="s">
        <v>84</v>
      </c>
      <c r="I41" s="204" t="s">
        <v>95</v>
      </c>
      <c r="J41" s="195" t="s">
        <v>95</v>
      </c>
      <c r="K41" s="195" t="s">
        <v>95</v>
      </c>
      <c r="L41" s="195" t="s">
        <v>95</v>
      </c>
      <c r="M41" s="195" t="s">
        <v>95</v>
      </c>
      <c r="N41" s="196" t="s">
        <v>84</v>
      </c>
      <c r="O41" s="205" t="s">
        <v>84</v>
      </c>
      <c r="P41" s="199" t="s">
        <v>94</v>
      </c>
      <c r="Q41" s="200" t="s">
        <v>94</v>
      </c>
      <c r="R41" s="200" t="s">
        <v>94</v>
      </c>
      <c r="S41" s="200" t="s">
        <v>94</v>
      </c>
      <c r="T41" s="200" t="s">
        <v>94</v>
      </c>
      <c r="U41" s="196" t="s">
        <v>84</v>
      </c>
      <c r="V41" s="202" t="s">
        <v>94</v>
      </c>
      <c r="W41" s="203" t="s">
        <v>94</v>
      </c>
      <c r="X41" s="200" t="s">
        <v>94</v>
      </c>
      <c r="Y41" s="200" t="s">
        <v>94</v>
      </c>
      <c r="Z41" s="200" t="s">
        <v>94</v>
      </c>
      <c r="AA41" s="200" t="s">
        <v>94</v>
      </c>
      <c r="AB41" s="196" t="s">
        <v>84</v>
      </c>
      <c r="AC41" s="198" t="s">
        <v>94</v>
      </c>
      <c r="AD41" s="199" t="s">
        <v>94</v>
      </c>
      <c r="AE41" s="200" t="s">
        <v>94</v>
      </c>
      <c r="AF41" s="200" t="s">
        <v>94</v>
      </c>
      <c r="AG41" s="200" t="s">
        <v>94</v>
      </c>
      <c r="AH41" s="200" t="s">
        <v>94</v>
      </c>
      <c r="AI41" s="197" t="s">
        <v>84</v>
      </c>
      <c r="AJ41" s="137" t="s">
        <v>95</v>
      </c>
      <c r="AK41" s="137" t="s">
        <v>38</v>
      </c>
      <c r="AL41" s="138" t="s">
        <v>84</v>
      </c>
      <c r="AM41" s="137" t="s">
        <v>81</v>
      </c>
      <c r="AN41" s="137" t="s">
        <v>88</v>
      </c>
      <c r="AO41" s="137" t="s">
        <v>96</v>
      </c>
      <c r="AP41" s="139" t="s">
        <v>97</v>
      </c>
    </row>
    <row r="42" spans="1:42" ht="18" customHeight="1">
      <c r="A42" s="1306"/>
      <c r="B42" s="45" t="s">
        <v>120</v>
      </c>
      <c r="C42" s="16" t="s">
        <v>16</v>
      </c>
      <c r="D42" s="22">
        <v>422380</v>
      </c>
      <c r="E42" s="28"/>
      <c r="F42" s="29"/>
      <c r="G42" s="29"/>
      <c r="H42" s="30"/>
      <c r="I42" s="186" t="s">
        <v>81</v>
      </c>
      <c r="J42" s="186" t="s">
        <v>81</v>
      </c>
      <c r="K42" s="186" t="s">
        <v>81</v>
      </c>
      <c r="L42" s="186" t="s">
        <v>81</v>
      </c>
      <c r="M42" s="186" t="s">
        <v>81</v>
      </c>
      <c r="N42" s="29"/>
      <c r="O42" s="65"/>
      <c r="P42" s="28"/>
      <c r="Q42" s="29"/>
      <c r="R42" s="29"/>
      <c r="S42" s="29"/>
      <c r="T42" s="29"/>
      <c r="U42" s="29"/>
      <c r="V42" s="30"/>
      <c r="W42" s="75"/>
      <c r="X42" s="29"/>
      <c r="Y42" s="29"/>
      <c r="Z42" s="29"/>
      <c r="AA42" s="29"/>
      <c r="AB42" s="29"/>
      <c r="AC42" s="65"/>
      <c r="AD42" s="28"/>
      <c r="AE42" s="29"/>
      <c r="AF42" s="29"/>
      <c r="AG42" s="29"/>
      <c r="AH42" s="29"/>
      <c r="AI42" s="30" t="s">
        <v>94</v>
      </c>
      <c r="AJ42" s="89" cm="1">
        <f t="array" ref="AJ42">SUMPRODUCT(($E$41:$AI$41="HR")*(E42:AI42=""))+SUMPRODUCT((E42:AI42="HR")*1)</f>
        <v>0</v>
      </c>
      <c r="AK42" s="89" cm="1">
        <f t="array" ref="AK42">SUMPRODUCT(($E$41:$AI$41="N0")*(E42:AI42=""))+SUMPRODUCT((E42:AI42="N")*1)</f>
        <v>19</v>
      </c>
      <c r="AL42" s="88" cm="1">
        <f t="array" ref="AL42">SUMPRODUCT(($E$41:$AI$41="RD")*(E42:AI42=""))+SUMPRODUCT((E42:AI42="RD")*1)</f>
        <v>6</v>
      </c>
      <c r="AM42" s="89" cm="1">
        <f t="array" ref="AM42">SUMPRODUCT((F42:AI42="AL")*1)</f>
        <v>5</v>
      </c>
      <c r="AN42" s="89" cm="1">
        <f t="array" ref="AN42">SUMPRODUCT((F42:AI42="SH")*1)</f>
        <v>0</v>
      </c>
      <c r="AO42" s="89" cm="1">
        <f t="array" ref="AO42">SUMPRODUCT((E42:AI42="SL")*1)</f>
        <v>0</v>
      </c>
      <c r="AP42" s="140">
        <f t="shared" ref="AP42:AP48" si="5">$AI$5-AJ42-AK42-AL42-AM42-AN42-AO42</f>
        <v>1</v>
      </c>
    </row>
    <row r="43" spans="1:42" ht="18" customHeight="1">
      <c r="A43" s="1306"/>
      <c r="B43" s="45" t="s">
        <v>36</v>
      </c>
      <c r="C43" s="16" t="s">
        <v>16</v>
      </c>
      <c r="D43" s="22">
        <v>669557</v>
      </c>
      <c r="E43" s="28"/>
      <c r="F43" s="183" t="s">
        <v>81</v>
      </c>
      <c r="G43" s="29"/>
      <c r="H43" s="30"/>
      <c r="I43" s="75"/>
      <c r="J43" s="29"/>
      <c r="K43" s="29"/>
      <c r="L43" s="29"/>
      <c r="M43" s="29"/>
      <c r="N43" s="29"/>
      <c r="O43" s="65"/>
      <c r="P43" s="28"/>
      <c r="Q43" s="29"/>
      <c r="R43" s="29"/>
      <c r="S43" s="29"/>
      <c r="T43" s="29"/>
      <c r="U43" s="29"/>
      <c r="V43" s="30"/>
      <c r="W43" s="75"/>
      <c r="X43" s="29"/>
      <c r="Y43" s="29"/>
      <c r="Z43" s="29"/>
      <c r="AA43" s="29"/>
      <c r="AB43" s="29"/>
      <c r="AC43" s="65"/>
      <c r="AD43" s="28"/>
      <c r="AE43" s="29"/>
      <c r="AF43" s="29"/>
      <c r="AG43" s="29"/>
      <c r="AH43" s="29"/>
      <c r="AI43" s="30"/>
      <c r="AJ43" s="89" cm="1">
        <f t="array" ref="AJ43">SUMPRODUCT(($E$41:$AI$41="HR")*(E43:AI43=""))+SUMPRODUCT((E43:AI43="HR")*1)</f>
        <v>5</v>
      </c>
      <c r="AK43" s="89" cm="1">
        <f t="array" ref="AK43">SUMPRODUCT(($E$41:$AI$41="N0")*(E43:AI43=""))+SUMPRODUCT((E43:AI43="N")*1)</f>
        <v>18</v>
      </c>
      <c r="AL43" s="88" cm="1">
        <f t="array" ref="AL43">SUMPRODUCT(($E$41:$AI$41="RD")*(E43:AI43=""))+SUMPRODUCT((E43:AI43="RD")*1)</f>
        <v>7</v>
      </c>
      <c r="AM43" s="89" cm="1">
        <f t="array" ref="AM43">SUMPRODUCT((F43:AI43="AL")*1)</f>
        <v>1</v>
      </c>
      <c r="AN43" s="89" cm="1">
        <f t="array" ref="AN43">SUMPRODUCT((F43:AI43="SH")*1)</f>
        <v>0</v>
      </c>
      <c r="AO43" s="89" cm="1">
        <f t="array" ref="AO43">SUMPRODUCT((E43:AI43="SL")*1)</f>
        <v>0</v>
      </c>
      <c r="AP43" s="140">
        <f t="shared" si="5"/>
        <v>0</v>
      </c>
    </row>
    <row r="44" spans="1:42" ht="18" customHeight="1">
      <c r="A44" s="1306"/>
      <c r="B44" s="45" t="s">
        <v>121</v>
      </c>
      <c r="C44" s="16" t="s">
        <v>16</v>
      </c>
      <c r="D44" s="22">
        <v>505935</v>
      </c>
      <c r="E44" s="28"/>
      <c r="F44" s="29"/>
      <c r="G44" s="29"/>
      <c r="H44" s="30"/>
      <c r="I44" s="75"/>
      <c r="J44" s="29"/>
      <c r="K44" s="29"/>
      <c r="L44" s="29"/>
      <c r="M44" s="183" t="s">
        <v>88</v>
      </c>
      <c r="N44" s="29"/>
      <c r="O44" s="65"/>
      <c r="P44" s="28"/>
      <c r="Q44" s="29"/>
      <c r="R44" s="29"/>
      <c r="S44" s="29"/>
      <c r="T44" s="29"/>
      <c r="U44" s="29"/>
      <c r="V44" s="30"/>
      <c r="W44" s="75"/>
      <c r="X44" s="29"/>
      <c r="Y44" s="29"/>
      <c r="Z44" s="29"/>
      <c r="AA44" s="29"/>
      <c r="AB44" s="29"/>
      <c r="AC44" s="65"/>
      <c r="AD44" s="28"/>
      <c r="AE44" s="29"/>
      <c r="AF44" s="29"/>
      <c r="AG44" s="29"/>
      <c r="AH44" s="29"/>
      <c r="AI44" s="30"/>
      <c r="AJ44" s="89" cm="1">
        <f t="array" ref="AJ44">SUMPRODUCT(($E$41:$AI$41="HR")*(E44:AI44=""))+SUMPRODUCT((E44:AI44="HR")*1)</f>
        <v>4</v>
      </c>
      <c r="AK44" s="89" cm="1">
        <f t="array" ref="AK44">SUMPRODUCT(($E$41:$AI$41="N0")*(E44:AI44=""))+SUMPRODUCT((E44:AI44="N")*1)</f>
        <v>19</v>
      </c>
      <c r="AL44" s="88" cm="1">
        <f t="array" ref="AL44">SUMPRODUCT(($E$41:$AI$41="RD")*(E44:AI44=""))+SUMPRODUCT((E44:AI44="RD")*1)</f>
        <v>7</v>
      </c>
      <c r="AM44" s="89" cm="1">
        <f t="array" ref="AM44">SUMPRODUCT((F44:AI44="AL")*1)</f>
        <v>0</v>
      </c>
      <c r="AN44" s="89" cm="1">
        <f t="array" ref="AN44">SUMPRODUCT((F44:AI44="SH")*1)</f>
        <v>1</v>
      </c>
      <c r="AO44" s="89" cm="1">
        <f t="array" ref="AO44">SUMPRODUCT((E44:AI44="SL")*1)</f>
        <v>0</v>
      </c>
      <c r="AP44" s="140">
        <f t="shared" si="5"/>
        <v>0</v>
      </c>
    </row>
    <row r="45" spans="1:42" ht="18" customHeight="1">
      <c r="A45" s="1306"/>
      <c r="B45" s="45" t="s">
        <v>25</v>
      </c>
      <c r="C45" s="16" t="s">
        <v>27</v>
      </c>
      <c r="D45" s="22">
        <v>580058</v>
      </c>
      <c r="E45" s="184" t="s">
        <v>88</v>
      </c>
      <c r="F45" s="183" t="s">
        <v>81</v>
      </c>
      <c r="G45" s="29"/>
      <c r="H45" s="30"/>
      <c r="I45" s="75"/>
      <c r="J45" s="29"/>
      <c r="K45" s="29"/>
      <c r="L45" s="29"/>
      <c r="M45" s="29"/>
      <c r="N45" s="29"/>
      <c r="O45" s="65"/>
      <c r="P45" s="312" t="s">
        <v>81</v>
      </c>
      <c r="Q45" s="183" t="s">
        <v>81</v>
      </c>
      <c r="R45" s="183" t="s">
        <v>81</v>
      </c>
      <c r="S45" s="29"/>
      <c r="T45" s="29"/>
      <c r="U45" s="29"/>
      <c r="V45" s="30"/>
      <c r="W45" s="75"/>
      <c r="X45" s="29"/>
      <c r="Y45" s="29"/>
      <c r="Z45" s="29"/>
      <c r="AA45" s="29"/>
      <c r="AB45" s="29"/>
      <c r="AC45" s="65"/>
      <c r="AD45" s="28"/>
      <c r="AE45" s="29"/>
      <c r="AF45" s="29"/>
      <c r="AG45" s="29"/>
      <c r="AH45" s="29"/>
      <c r="AI45" s="30"/>
      <c r="AJ45" s="89" cm="1">
        <f t="array" ref="AJ45">SUMPRODUCT(($E$41:$AI$41="HR")*(E45:AI45=""))+SUMPRODUCT((E45:AI45="HR")*1)</f>
        <v>5</v>
      </c>
      <c r="AK45" s="89" cm="1">
        <f t="array" ref="AK45">SUMPRODUCT(($E$41:$AI$41="N0")*(E45:AI45=""))+SUMPRODUCT((E45:AI45="N")*1)</f>
        <v>14</v>
      </c>
      <c r="AL45" s="88" cm="1">
        <f t="array" ref="AL45">SUMPRODUCT(($E$41:$AI$41="RD")*(E45:AI45=""))+SUMPRODUCT((E45:AI45="RD")*1)</f>
        <v>7</v>
      </c>
      <c r="AM45" s="89" cm="1">
        <f t="array" ref="AM45">SUMPRODUCT((F45:AI45="AL")*1)</f>
        <v>4</v>
      </c>
      <c r="AN45" s="89" cm="1">
        <f t="array" ref="AN45">SUMPRODUCT((F45:AI45="SH")*1)</f>
        <v>0</v>
      </c>
      <c r="AO45" s="89" cm="1">
        <f t="array" ref="AO45">SUMPRODUCT((E45:AI45="SL")*1)</f>
        <v>0</v>
      </c>
      <c r="AP45" s="140">
        <f t="shared" si="5"/>
        <v>1</v>
      </c>
    </row>
    <row r="46" spans="1:42" ht="18" customHeight="1">
      <c r="A46" s="1306"/>
      <c r="B46" s="45" t="s">
        <v>37</v>
      </c>
      <c r="C46" s="16" t="s">
        <v>27</v>
      </c>
      <c r="D46" s="22">
        <v>680417</v>
      </c>
      <c r="E46" s="28"/>
      <c r="F46" s="183" t="s">
        <v>81</v>
      </c>
      <c r="G46" s="29"/>
      <c r="H46" s="30"/>
      <c r="I46" s="75" t="s">
        <v>107</v>
      </c>
      <c r="J46" s="29"/>
      <c r="K46" s="29"/>
      <c r="L46" s="29"/>
      <c r="M46" s="29" t="s">
        <v>122</v>
      </c>
      <c r="N46" s="29"/>
      <c r="O46" s="65"/>
      <c r="P46" s="28"/>
      <c r="Q46" s="29"/>
      <c r="R46" s="29"/>
      <c r="S46" s="29"/>
      <c r="T46" s="183" t="s">
        <v>81</v>
      </c>
      <c r="U46" s="29"/>
      <c r="V46" s="185" t="s">
        <v>88</v>
      </c>
      <c r="W46" s="186" t="s">
        <v>88</v>
      </c>
      <c r="X46" s="183" t="s">
        <v>88</v>
      </c>
      <c r="Y46" s="183" t="s">
        <v>88</v>
      </c>
      <c r="Z46" s="183" t="s">
        <v>88</v>
      </c>
      <c r="AA46" s="183" t="s">
        <v>81</v>
      </c>
      <c r="AB46" s="29"/>
      <c r="AC46" s="235" t="s">
        <v>81</v>
      </c>
      <c r="AD46" s="28"/>
      <c r="AE46" s="29"/>
      <c r="AF46" s="29"/>
      <c r="AG46" s="29"/>
      <c r="AH46" s="29"/>
      <c r="AI46" s="30"/>
      <c r="AJ46" s="89" cm="1">
        <f t="array" ref="AJ46">SUMPRODUCT(($E$41:$AI$41="HR")*(E46:AI46=""))+SUMPRODUCT((E46:AI46="HR")*1)</f>
        <v>3</v>
      </c>
      <c r="AK46" s="89" cm="1">
        <f t="array" ref="AK46">SUMPRODUCT(($E$41:$AI$41="N0")*(E46:AI46=""))+SUMPRODUCT((E46:AI46="N")*1)</f>
        <v>10</v>
      </c>
      <c r="AL46" s="88" cm="1">
        <f t="array" ref="AL46">SUMPRODUCT(($E$41:$AI$41="RD")*(E46:AI46=""))+SUMPRODUCT((E46:AI46="RD")*1)</f>
        <v>7</v>
      </c>
      <c r="AM46" s="89" cm="1">
        <f t="array" ref="AM46">SUMPRODUCT((F46:AI46="AL")*1)</f>
        <v>4</v>
      </c>
      <c r="AN46" s="89" cm="1">
        <f t="array" ref="AN46">SUMPRODUCT((F46:AI46="SH")*1)</f>
        <v>5</v>
      </c>
      <c r="AO46" s="89" cm="1">
        <f t="array" ref="AO46">SUMPRODUCT((E46:AI46="SL")*1)</f>
        <v>0</v>
      </c>
      <c r="AP46" s="140">
        <f t="shared" si="5"/>
        <v>2</v>
      </c>
    </row>
    <row r="47" spans="1:42" ht="18" customHeight="1">
      <c r="A47" s="1306"/>
      <c r="B47" s="120" t="s">
        <v>49</v>
      </c>
      <c r="C47" s="16" t="s">
        <v>27</v>
      </c>
      <c r="D47" s="22">
        <v>684119</v>
      </c>
      <c r="E47" s="28"/>
      <c r="F47" s="29"/>
      <c r="G47" s="29"/>
      <c r="H47" s="30"/>
      <c r="I47" s="75" t="s">
        <v>107</v>
      </c>
      <c r="J47" s="29"/>
      <c r="K47" s="29" t="s">
        <v>123</v>
      </c>
      <c r="L47" s="29" t="s">
        <v>124</v>
      </c>
      <c r="M47" s="29" t="s">
        <v>124</v>
      </c>
      <c r="N47" s="29"/>
      <c r="O47" s="65"/>
      <c r="P47" s="28"/>
      <c r="Q47" s="29"/>
      <c r="R47" s="29"/>
      <c r="S47" s="29"/>
      <c r="T47" s="29"/>
      <c r="U47" s="29"/>
      <c r="V47" s="30"/>
      <c r="W47" s="75"/>
      <c r="X47" s="29"/>
      <c r="Y47" s="29"/>
      <c r="Z47" s="29"/>
      <c r="AA47" s="29"/>
      <c r="AB47" s="29"/>
      <c r="AC47" s="65"/>
      <c r="AD47" s="28"/>
      <c r="AE47" s="29"/>
      <c r="AF47" s="29"/>
      <c r="AG47" s="29"/>
      <c r="AH47" s="29"/>
      <c r="AI47" s="30"/>
      <c r="AJ47" s="89" cm="1">
        <f t="array" ref="AJ47">SUMPRODUCT(($E$41:$AI$41="HR")*(E47:AI47=""))+SUMPRODUCT((E47:AI47="HR")*1)</f>
        <v>1</v>
      </c>
      <c r="AK47" s="89" cm="1">
        <f t="array" ref="AK47">SUMPRODUCT(($E$41:$AI$41="N0")*(E47:AI47=""))+SUMPRODUCT((E47:AI47="N")*1)</f>
        <v>19</v>
      </c>
      <c r="AL47" s="88" cm="1">
        <f t="array" ref="AL47">SUMPRODUCT(($E$41:$AI$41="RD")*(E47:AI47=""))+SUMPRODUCT((E47:AI47="RD")*1)</f>
        <v>7</v>
      </c>
      <c r="AM47" s="89" cm="1">
        <f t="array" ref="AM47">SUMPRODUCT((F47:AI47="AL")*1)</f>
        <v>0</v>
      </c>
      <c r="AN47" s="89" cm="1">
        <f t="array" ref="AN47">SUMPRODUCT((F47:AI47="SH")*1)</f>
        <v>0</v>
      </c>
      <c r="AO47" s="89" cm="1">
        <f t="array" ref="AO47">SUMPRODUCT((E47:AI47="SL")*1)</f>
        <v>0</v>
      </c>
      <c r="AP47" s="140">
        <f t="shared" si="5"/>
        <v>4</v>
      </c>
    </row>
    <row r="48" spans="1:42" ht="18" customHeight="1">
      <c r="A48" s="1307"/>
      <c r="B48" s="236" t="s">
        <v>57</v>
      </c>
      <c r="C48" s="20" t="s">
        <v>58</v>
      </c>
      <c r="D48" s="237">
        <v>676140</v>
      </c>
      <c r="E48" s="165"/>
      <c r="F48" s="317"/>
      <c r="G48" s="317"/>
      <c r="H48" s="238"/>
      <c r="I48" s="313" t="s">
        <v>81</v>
      </c>
      <c r="J48" s="241" t="s">
        <v>81</v>
      </c>
      <c r="K48" s="241" t="s">
        <v>81</v>
      </c>
      <c r="L48" s="241" t="s">
        <v>88</v>
      </c>
      <c r="M48" s="241" t="s">
        <v>81</v>
      </c>
      <c r="N48" s="240"/>
      <c r="O48" s="242"/>
      <c r="P48" s="243" t="s">
        <v>81</v>
      </c>
      <c r="Q48" s="241" t="s">
        <v>81</v>
      </c>
      <c r="R48" s="241" t="s">
        <v>81</v>
      </c>
      <c r="S48" s="241" t="s">
        <v>81</v>
      </c>
      <c r="T48" s="241" t="s">
        <v>81</v>
      </c>
      <c r="U48" s="244"/>
      <c r="V48" s="245" t="s">
        <v>81</v>
      </c>
      <c r="W48" s="239"/>
      <c r="X48" s="240"/>
      <c r="Y48" s="240"/>
      <c r="Z48" s="240"/>
      <c r="AA48" s="240"/>
      <c r="AB48" s="240"/>
      <c r="AC48" s="242"/>
      <c r="AD48" s="246"/>
      <c r="AE48" s="240"/>
      <c r="AF48" s="240"/>
      <c r="AG48" s="240"/>
      <c r="AH48" s="240"/>
      <c r="AI48" s="238"/>
      <c r="AJ48" s="89" cm="1">
        <f t="array" ref="AJ48">SUMPRODUCT(($E$41:$AI$41="HR")*(E48:AI48=""))+SUMPRODUCT((E48:AI48="HR")*1)</f>
        <v>0</v>
      </c>
      <c r="AK48" s="89" cm="1">
        <f t="array" ref="AK48">SUMPRODUCT(($E$41:$AI$41="N0")*(E48:AI48=""))+SUMPRODUCT((E48:AI48="N")*1)</f>
        <v>13</v>
      </c>
      <c r="AL48" s="88" cm="1">
        <f t="array" ref="AL48">SUMPRODUCT(($E$41:$AI$41="RD")*(E48:AI48=""))+SUMPRODUCT((E48:AI48="RD")*1)</f>
        <v>7</v>
      </c>
      <c r="AM48" s="89" cm="1">
        <f t="array" ref="AM48">SUMPRODUCT((F48:AI48="AL")*1)</f>
        <v>10</v>
      </c>
      <c r="AN48" s="89" cm="1">
        <f t="array" ref="AN48">SUMPRODUCT((F48:AI48="SH")*1)</f>
        <v>1</v>
      </c>
      <c r="AO48" s="89" cm="1">
        <f t="array" ref="AO48">SUMPRODUCT((E48:AI48="SL")*1)</f>
        <v>0</v>
      </c>
      <c r="AP48" s="140">
        <f t="shared" si="5"/>
        <v>0</v>
      </c>
    </row>
    <row r="49" spans="1:36" ht="18" customHeight="1">
      <c r="A49" s="1316" t="s">
        <v>125</v>
      </c>
      <c r="B49" s="1308" t="s">
        <v>93</v>
      </c>
      <c r="C49" s="1309"/>
      <c r="D49" s="1310"/>
      <c r="E49" s="163" t="s">
        <v>87</v>
      </c>
      <c r="F49" s="200" t="s">
        <v>87</v>
      </c>
      <c r="G49" s="196" t="s">
        <v>84</v>
      </c>
      <c r="H49" s="197" t="s">
        <v>84</v>
      </c>
      <c r="I49" s="203" t="s">
        <v>87</v>
      </c>
      <c r="J49" s="200" t="s">
        <v>87</v>
      </c>
      <c r="K49" s="200" t="s">
        <v>87</v>
      </c>
      <c r="L49" s="200" t="s">
        <v>87</v>
      </c>
      <c r="M49" s="200" t="s">
        <v>87</v>
      </c>
      <c r="N49" s="196" t="s">
        <v>84</v>
      </c>
      <c r="O49" s="205" t="s">
        <v>84</v>
      </c>
      <c r="P49" s="199" t="s">
        <v>87</v>
      </c>
      <c r="Q49" s="200" t="s">
        <v>87</v>
      </c>
      <c r="R49" s="200" t="s">
        <v>87</v>
      </c>
      <c r="S49" s="200" t="s">
        <v>87</v>
      </c>
      <c r="T49" s="200" t="s">
        <v>87</v>
      </c>
      <c r="U49" s="196" t="s">
        <v>84</v>
      </c>
      <c r="V49" s="197" t="s">
        <v>84</v>
      </c>
      <c r="W49" s="203" t="s">
        <v>87</v>
      </c>
      <c r="X49" s="200" t="s">
        <v>87</v>
      </c>
      <c r="Y49" s="200" t="s">
        <v>87</v>
      </c>
      <c r="Z49" s="200" t="s">
        <v>87</v>
      </c>
      <c r="AA49" s="200" t="s">
        <v>87</v>
      </c>
      <c r="AB49" s="196" t="s">
        <v>84</v>
      </c>
      <c r="AC49" s="205" t="s">
        <v>84</v>
      </c>
      <c r="AD49" s="232" t="s">
        <v>87</v>
      </c>
      <c r="AE49" s="221" t="s">
        <v>87</v>
      </c>
      <c r="AF49" s="221" t="s">
        <v>87</v>
      </c>
      <c r="AG49" s="221" t="s">
        <v>87</v>
      </c>
      <c r="AH49" s="221" t="s">
        <v>87</v>
      </c>
      <c r="AI49" s="197" t="s">
        <v>84</v>
      </c>
    </row>
    <row r="50" spans="1:36" ht="18" customHeight="1">
      <c r="A50" s="1317"/>
      <c r="B50" s="343" t="s">
        <v>43</v>
      </c>
      <c r="C50" s="318" t="s">
        <v>45</v>
      </c>
      <c r="D50" s="108">
        <v>555851</v>
      </c>
      <c r="E50" s="329"/>
      <c r="F50" s="330"/>
      <c r="G50" s="330"/>
      <c r="H50" s="331"/>
      <c r="I50" s="332"/>
      <c r="J50" s="330"/>
      <c r="K50" s="370" t="s">
        <v>126</v>
      </c>
      <c r="L50" s="370" t="s">
        <v>126</v>
      </c>
      <c r="M50" s="330"/>
      <c r="N50" s="330"/>
      <c r="O50" s="333"/>
      <c r="P50" s="329" t="s">
        <v>126</v>
      </c>
      <c r="Q50" s="330"/>
      <c r="R50" s="330"/>
      <c r="S50" s="330"/>
      <c r="T50" s="330"/>
      <c r="U50" s="330"/>
      <c r="V50" s="331"/>
      <c r="W50" s="332"/>
      <c r="X50" s="330"/>
      <c r="Y50" s="330"/>
      <c r="Z50" s="330"/>
      <c r="AA50" s="330"/>
      <c r="AB50" s="330"/>
      <c r="AC50" s="333"/>
      <c r="AD50" s="316"/>
      <c r="AE50" s="330"/>
      <c r="AF50" s="330"/>
      <c r="AG50" s="370" t="s">
        <v>127</v>
      </c>
      <c r="AH50" s="330"/>
      <c r="AI50" s="331"/>
    </row>
    <row r="51" spans="1:36" ht="18" customHeight="1">
      <c r="A51" s="1318" t="s">
        <v>128</v>
      </c>
      <c r="B51" s="126" t="s">
        <v>129</v>
      </c>
      <c r="C51" s="122" t="s">
        <v>130</v>
      </c>
      <c r="D51" s="213">
        <v>682153</v>
      </c>
      <c r="E51" s="334" t="s">
        <v>88</v>
      </c>
      <c r="F51" s="345" t="s">
        <v>81</v>
      </c>
      <c r="G51" s="345" t="s">
        <v>84</v>
      </c>
      <c r="H51" s="352" t="s">
        <v>94</v>
      </c>
      <c r="I51" s="336" t="s">
        <v>94</v>
      </c>
      <c r="J51" s="335" t="s">
        <v>94</v>
      </c>
      <c r="K51" s="335" t="s">
        <v>94</v>
      </c>
      <c r="L51" s="335" t="s">
        <v>94</v>
      </c>
      <c r="M51" s="335" t="s">
        <v>94</v>
      </c>
      <c r="N51" s="345" t="s">
        <v>84</v>
      </c>
      <c r="O51" s="346" t="s">
        <v>84</v>
      </c>
      <c r="P51" s="337" t="s">
        <v>87</v>
      </c>
      <c r="Q51" s="335" t="s">
        <v>87</v>
      </c>
      <c r="R51" s="335" t="s">
        <v>87</v>
      </c>
      <c r="S51" s="335" t="s">
        <v>87</v>
      </c>
      <c r="T51" s="594" t="s">
        <v>131</v>
      </c>
      <c r="U51" s="335" t="s">
        <v>87</v>
      </c>
      <c r="V51" s="344" t="s">
        <v>84</v>
      </c>
      <c r="W51" s="338"/>
      <c r="X51" s="339"/>
      <c r="Y51" s="339"/>
      <c r="Z51" s="339"/>
      <c r="AA51" s="339"/>
      <c r="AB51" s="339"/>
      <c r="AC51" s="340"/>
      <c r="AD51" s="341"/>
      <c r="AE51" s="339"/>
      <c r="AF51" s="339"/>
      <c r="AG51" s="339"/>
      <c r="AH51" s="339"/>
      <c r="AI51" s="342"/>
      <c r="AJ51" s="342"/>
    </row>
    <row r="52" spans="1:36" ht="18" customHeight="1">
      <c r="A52" s="1317"/>
      <c r="B52" s="126" t="s">
        <v>132</v>
      </c>
      <c r="C52" s="122" t="s">
        <v>133</v>
      </c>
      <c r="D52" s="213">
        <v>683497</v>
      </c>
      <c r="E52" s="607"/>
      <c r="F52" s="608"/>
      <c r="G52" s="608"/>
      <c r="H52" s="609"/>
      <c r="I52" s="338"/>
      <c r="J52" s="339"/>
      <c r="K52" s="339"/>
      <c r="L52" s="339"/>
      <c r="M52" s="339"/>
      <c r="N52" s="608"/>
      <c r="O52" s="610"/>
      <c r="P52" s="341"/>
      <c r="Q52" s="339"/>
      <c r="R52" s="339"/>
      <c r="S52" s="339"/>
      <c r="T52" s="611"/>
      <c r="U52" s="339"/>
      <c r="V52" s="612"/>
      <c r="W52" s="336" t="s">
        <v>87</v>
      </c>
      <c r="X52" s="335" t="s">
        <v>94</v>
      </c>
      <c r="Y52" s="335" t="s">
        <v>94</v>
      </c>
      <c r="Z52" s="335" t="s">
        <v>94</v>
      </c>
      <c r="AA52" s="335" t="s">
        <v>94</v>
      </c>
      <c r="AB52" s="345" t="s">
        <v>84</v>
      </c>
      <c r="AC52" s="386" t="s">
        <v>94</v>
      </c>
      <c r="AD52" s="337" t="s">
        <v>94</v>
      </c>
      <c r="AE52" s="335" t="s">
        <v>94</v>
      </c>
      <c r="AF52" s="345" t="s">
        <v>84</v>
      </c>
      <c r="AG52" s="335" t="s">
        <v>72</v>
      </c>
      <c r="AH52" s="613" t="s">
        <v>87</v>
      </c>
      <c r="AI52" s="352" t="s">
        <v>87</v>
      </c>
      <c r="AJ52" s="345" t="s">
        <v>84</v>
      </c>
    </row>
    <row r="53" spans="1:36" ht="18" customHeight="1">
      <c r="A53" s="14"/>
      <c r="B53" s="14"/>
      <c r="C53" s="15"/>
      <c r="D53" s="15"/>
      <c r="E53" s="327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  <c r="AA53" s="328"/>
      <c r="AB53" s="328"/>
      <c r="AC53" s="328"/>
      <c r="AD53" s="328"/>
      <c r="AE53" s="328"/>
      <c r="AF53" s="328"/>
      <c r="AG53" s="328"/>
      <c r="AH53" s="328"/>
      <c r="AI53" s="328"/>
    </row>
    <row r="54" spans="1:36" ht="17.5" thickBot="1"/>
    <row r="55" spans="1:36" ht="18" customHeight="1">
      <c r="D55" s="124" t="s">
        <v>123</v>
      </c>
      <c r="E55" s="123"/>
      <c r="F55" s="123" t="s">
        <v>134</v>
      </c>
      <c r="G55" s="123"/>
      <c r="H55" s="123"/>
      <c r="I55" s="123"/>
      <c r="J55" s="123"/>
      <c r="K55" s="123"/>
      <c r="L55" s="123"/>
      <c r="M55" s="123"/>
      <c r="N55" s="145"/>
      <c r="O55" s="145"/>
      <c r="U55" s="124" t="s">
        <v>135</v>
      </c>
      <c r="V55" s="209"/>
      <c r="W55" s="123" t="s">
        <v>136</v>
      </c>
      <c r="X55" s="123"/>
      <c r="Y55" s="123"/>
      <c r="Z55" s="123"/>
      <c r="AA55" s="123"/>
      <c r="AB55" s="123"/>
      <c r="AC55" s="123"/>
      <c r="AD55" s="123"/>
      <c r="AE55" s="135"/>
    </row>
    <row r="56" spans="1:36" ht="18" customHeight="1"/>
    <row r="57" spans="1:36" ht="18" customHeight="1">
      <c r="D57" s="124" t="s">
        <v>137</v>
      </c>
      <c r="E57" s="123"/>
      <c r="F57" s="1315" t="s">
        <v>138</v>
      </c>
      <c r="G57" s="1315"/>
      <c r="H57" s="1315"/>
      <c r="I57" s="1315"/>
      <c r="J57" s="1315"/>
      <c r="K57" s="1315"/>
      <c r="L57" s="1315"/>
      <c r="M57" s="1315"/>
      <c r="N57" s="1315"/>
      <c r="O57" s="1315"/>
      <c r="U57" s="124" t="s">
        <v>124</v>
      </c>
      <c r="V57" s="123"/>
      <c r="W57" s="123" t="s">
        <v>138</v>
      </c>
      <c r="X57" s="123"/>
      <c r="Y57" s="123"/>
      <c r="Z57" s="123"/>
      <c r="AA57" s="123"/>
      <c r="AB57" s="123"/>
      <c r="AC57" s="123"/>
      <c r="AD57" s="123"/>
    </row>
    <row r="58" spans="1:36" ht="18" customHeight="1"/>
    <row r="59" spans="1:36" ht="18" customHeight="1">
      <c r="D59" s="124" t="s">
        <v>107</v>
      </c>
      <c r="F59" s="1315" t="s">
        <v>139</v>
      </c>
      <c r="G59" s="1315"/>
      <c r="H59" s="1315"/>
      <c r="I59" s="1315"/>
      <c r="J59" s="1315"/>
      <c r="K59" s="1315"/>
      <c r="L59" s="1315"/>
      <c r="M59" s="1315"/>
      <c r="N59" s="1315"/>
      <c r="O59" s="1315"/>
      <c r="P59" s="209"/>
      <c r="U59" s="124" t="s">
        <v>140</v>
      </c>
      <c r="W59" s="123" t="s">
        <v>141</v>
      </c>
      <c r="X59" s="123"/>
      <c r="Y59" s="123"/>
      <c r="Z59" s="123"/>
      <c r="AA59" s="123"/>
      <c r="AB59" s="123"/>
      <c r="AC59" s="123"/>
    </row>
    <row r="60" spans="1:36" ht="18" customHeight="1"/>
    <row r="61" spans="1:36" ht="18" customHeight="1">
      <c r="D61" s="124" t="s">
        <v>108</v>
      </c>
      <c r="F61" s="1315" t="s">
        <v>142</v>
      </c>
      <c r="G61" s="1315"/>
      <c r="H61" s="1315"/>
      <c r="I61" s="1315"/>
      <c r="J61" s="1315"/>
      <c r="K61" s="1315"/>
      <c r="L61" s="1315"/>
      <c r="M61" s="1315"/>
      <c r="N61" s="1315"/>
      <c r="O61" s="1315"/>
      <c r="P61" s="209"/>
      <c r="U61" s="124" t="s">
        <v>103</v>
      </c>
      <c r="W61" s="123" t="s">
        <v>143</v>
      </c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</row>
    <row r="62" spans="1:36" ht="18" customHeight="1"/>
    <row r="63" spans="1:36" ht="18" customHeight="1" thickBot="1">
      <c r="D63" s="124" t="s">
        <v>105</v>
      </c>
      <c r="F63" s="123" t="s">
        <v>144</v>
      </c>
      <c r="U63" s="124" t="s">
        <v>145</v>
      </c>
      <c r="W63" s="123" t="s">
        <v>146</v>
      </c>
    </row>
    <row r="64" spans="1:36" ht="18" customHeight="1" thickBot="1"/>
    <row r="65" spans="1:41" ht="18" customHeight="1">
      <c r="A65" s="123"/>
      <c r="B65" s="123"/>
      <c r="C65" s="123"/>
      <c r="D65" s="124" t="s">
        <v>122</v>
      </c>
      <c r="E65" s="123"/>
      <c r="F65" s="123" t="s">
        <v>147</v>
      </c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4" t="s">
        <v>115</v>
      </c>
      <c r="W65" s="123" t="s">
        <v>148</v>
      </c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</row>
    <row r="66" spans="1:41" ht="18" customHeight="1" thickBot="1"/>
    <row r="67" spans="1:41" ht="18" customHeight="1" thickBot="1">
      <c r="D67" s="124" t="s">
        <v>149</v>
      </c>
      <c r="F67" s="123"/>
    </row>
    <row r="70" spans="1:41">
      <c r="D70" s="141" t="s">
        <v>150</v>
      </c>
      <c r="E70" s="62" t="s">
        <v>94</v>
      </c>
      <c r="F70" s="60" t="s">
        <v>94</v>
      </c>
      <c r="G70" s="60" t="s">
        <v>94</v>
      </c>
      <c r="H70" s="60" t="s">
        <v>94</v>
      </c>
      <c r="I70" s="60" t="s">
        <v>94</v>
      </c>
      <c r="J70" s="73" t="s">
        <v>84</v>
      </c>
      <c r="K70" s="61" t="s">
        <v>94</v>
      </c>
      <c r="L70" s="62" t="s">
        <v>94</v>
      </c>
      <c r="M70" s="60" t="s">
        <v>94</v>
      </c>
      <c r="N70" s="60" t="s">
        <v>94</v>
      </c>
      <c r="O70" s="60" t="s">
        <v>94</v>
      </c>
      <c r="P70" s="60" t="s">
        <v>94</v>
      </c>
      <c r="Q70" s="63" t="s">
        <v>84</v>
      </c>
      <c r="R70" s="64" t="s">
        <v>84</v>
      </c>
      <c r="S70" s="129" t="s">
        <v>95</v>
      </c>
      <c r="T70" s="129" t="s">
        <v>95</v>
      </c>
      <c r="U70" s="129" t="s">
        <v>95</v>
      </c>
      <c r="V70" s="129" t="s">
        <v>95</v>
      </c>
      <c r="W70" s="129" t="s">
        <v>95</v>
      </c>
      <c r="X70" s="68" t="s">
        <v>84</v>
      </c>
      <c r="Y70" s="59" t="s">
        <v>84</v>
      </c>
      <c r="Z70" s="62" t="s">
        <v>94</v>
      </c>
      <c r="AA70" s="60" t="s">
        <v>94</v>
      </c>
      <c r="AB70" s="60" t="s">
        <v>94</v>
      </c>
      <c r="AC70" s="60" t="s">
        <v>94</v>
      </c>
      <c r="AD70" s="60" t="s">
        <v>94</v>
      </c>
      <c r="AE70" s="63" t="s">
        <v>84</v>
      </c>
      <c r="AF70" s="69" t="s">
        <v>94</v>
      </c>
      <c r="AG70" s="77" t="s">
        <v>94</v>
      </c>
      <c r="AH70" s="70" t="s">
        <v>94</v>
      </c>
      <c r="AI70" s="69" t="s">
        <v>94</v>
      </c>
    </row>
    <row r="71" spans="1:41">
      <c r="D71" s="142" t="s">
        <v>151</v>
      </c>
      <c r="E71" s="311">
        <f>COUNTBLANK(E20:E25)</f>
        <v>4</v>
      </c>
      <c r="F71" s="311">
        <f t="shared" ref="F71:AH71" si="6">COUNTBLANK(F20:F25)</f>
        <v>4</v>
      </c>
      <c r="G71" s="311">
        <f t="shared" si="6"/>
        <v>6</v>
      </c>
      <c r="H71" s="311">
        <f t="shared" si="6"/>
        <v>5</v>
      </c>
      <c r="I71" s="311">
        <f t="shared" si="6"/>
        <v>5</v>
      </c>
      <c r="J71" s="311">
        <f t="shared" si="6"/>
        <v>4</v>
      </c>
      <c r="K71" s="311">
        <f t="shared" si="6"/>
        <v>5</v>
      </c>
      <c r="L71" s="311">
        <f t="shared" si="6"/>
        <v>5</v>
      </c>
      <c r="M71" s="311">
        <f t="shared" si="6"/>
        <v>5</v>
      </c>
      <c r="N71" s="311">
        <f t="shared" si="6"/>
        <v>6</v>
      </c>
      <c r="O71" s="311">
        <f t="shared" si="6"/>
        <v>6</v>
      </c>
      <c r="P71" s="311">
        <f t="shared" si="6"/>
        <v>4</v>
      </c>
      <c r="Q71" s="311">
        <f t="shared" si="6"/>
        <v>4</v>
      </c>
      <c r="R71" s="311">
        <f>COUNTBLANK(R20:R25)</f>
        <v>4</v>
      </c>
      <c r="S71" s="311">
        <f t="shared" si="6"/>
        <v>3</v>
      </c>
      <c r="T71" s="311">
        <f t="shared" si="6"/>
        <v>5</v>
      </c>
      <c r="U71" s="311">
        <f t="shared" si="6"/>
        <v>5</v>
      </c>
      <c r="V71" s="311">
        <f t="shared" si="6"/>
        <v>6</v>
      </c>
      <c r="W71" s="311">
        <f t="shared" si="6"/>
        <v>5</v>
      </c>
      <c r="X71" s="311">
        <f t="shared" si="6"/>
        <v>5</v>
      </c>
      <c r="Y71" s="311">
        <f t="shared" si="6"/>
        <v>5</v>
      </c>
      <c r="Z71" s="311">
        <f t="shared" si="6"/>
        <v>5</v>
      </c>
      <c r="AA71" s="311">
        <f t="shared" si="6"/>
        <v>5</v>
      </c>
      <c r="AB71" s="311">
        <f t="shared" si="6"/>
        <v>6</v>
      </c>
      <c r="AC71" s="311">
        <f t="shared" si="6"/>
        <v>5</v>
      </c>
      <c r="AD71" s="311">
        <f t="shared" si="6"/>
        <v>5</v>
      </c>
      <c r="AE71" s="311">
        <f t="shared" si="6"/>
        <v>4</v>
      </c>
      <c r="AF71" s="311">
        <f t="shared" si="6"/>
        <v>5</v>
      </c>
      <c r="AG71" s="311">
        <f t="shared" si="6"/>
        <v>5</v>
      </c>
      <c r="AH71" s="311">
        <f t="shared" si="6"/>
        <v>4</v>
      </c>
      <c r="AI71" s="311">
        <f>COUNTBLANK(AI20:AI25)</f>
        <v>4</v>
      </c>
    </row>
    <row r="72" spans="1:41">
      <c r="D72" s="143" t="s">
        <v>150</v>
      </c>
      <c r="E72" s="128" t="s">
        <v>94</v>
      </c>
      <c r="F72" s="70" t="s">
        <v>94</v>
      </c>
      <c r="G72" s="70" t="s">
        <v>94</v>
      </c>
      <c r="H72" s="70" t="s">
        <v>94</v>
      </c>
      <c r="I72" s="70" t="s">
        <v>94</v>
      </c>
      <c r="J72" s="71" t="s">
        <v>84</v>
      </c>
      <c r="K72" s="69" t="s">
        <v>94</v>
      </c>
      <c r="L72" s="77" t="s">
        <v>94</v>
      </c>
      <c r="M72" s="70" t="s">
        <v>94</v>
      </c>
      <c r="N72" s="70" t="s">
        <v>94</v>
      </c>
      <c r="O72" s="70" t="s">
        <v>94</v>
      </c>
      <c r="P72" s="70" t="s">
        <v>94</v>
      </c>
      <c r="Q72" s="68" t="s">
        <v>84</v>
      </c>
      <c r="R72" s="69" t="s">
        <v>94</v>
      </c>
      <c r="S72" s="77" t="s">
        <v>94</v>
      </c>
      <c r="T72" s="70" t="s">
        <v>94</v>
      </c>
      <c r="U72" s="70" t="s">
        <v>94</v>
      </c>
      <c r="V72" s="70" t="s">
        <v>94</v>
      </c>
      <c r="W72" s="70" t="s">
        <v>94</v>
      </c>
      <c r="X72" s="76" t="s">
        <v>84</v>
      </c>
      <c r="Y72" s="59" t="s">
        <v>84</v>
      </c>
      <c r="Z72" s="129" t="s">
        <v>95</v>
      </c>
      <c r="AA72" s="129" t="s">
        <v>95</v>
      </c>
      <c r="AB72" s="129" t="s">
        <v>95</v>
      </c>
      <c r="AC72" s="129" t="s">
        <v>95</v>
      </c>
      <c r="AD72" s="129" t="s">
        <v>95</v>
      </c>
      <c r="AE72" s="68" t="s">
        <v>84</v>
      </c>
      <c r="AF72" s="59" t="s">
        <v>84</v>
      </c>
      <c r="AG72" s="77" t="s">
        <v>94</v>
      </c>
      <c r="AH72" s="70" t="s">
        <v>94</v>
      </c>
      <c r="AI72" s="69" t="s">
        <v>94</v>
      </c>
    </row>
    <row r="73" spans="1:41">
      <c r="D73" s="142" t="s">
        <v>152</v>
      </c>
      <c r="E73" s="311">
        <f t="shared" ref="E73:K73" si="7">COUNTBLANK(E27:E31)</f>
        <v>5</v>
      </c>
      <c r="F73" s="311">
        <f t="shared" si="7"/>
        <v>5</v>
      </c>
      <c r="G73" s="311">
        <f t="shared" si="7"/>
        <v>5</v>
      </c>
      <c r="H73" s="311">
        <f t="shared" si="7"/>
        <v>5</v>
      </c>
      <c r="I73" s="311">
        <f t="shared" si="7"/>
        <v>4</v>
      </c>
      <c r="J73" s="311">
        <f t="shared" si="7"/>
        <v>4</v>
      </c>
      <c r="K73" s="311">
        <f t="shared" si="7"/>
        <v>4</v>
      </c>
      <c r="L73" s="311">
        <f>COUNTBLANK(L27:L33)</f>
        <v>5</v>
      </c>
      <c r="M73" s="311">
        <f t="shared" ref="M73:AH73" si="8">COUNTBLANK(M27:M33)</f>
        <v>5</v>
      </c>
      <c r="N73" s="311">
        <f t="shared" si="8"/>
        <v>6</v>
      </c>
      <c r="O73" s="311">
        <f t="shared" si="8"/>
        <v>6</v>
      </c>
      <c r="P73" s="311">
        <f t="shared" si="8"/>
        <v>6</v>
      </c>
      <c r="Q73" s="311">
        <f t="shared" si="8"/>
        <v>6</v>
      </c>
      <c r="R73" s="311">
        <f t="shared" si="8"/>
        <v>7</v>
      </c>
      <c r="S73" s="311">
        <f t="shared" si="8"/>
        <v>5</v>
      </c>
      <c r="T73" s="311">
        <f t="shared" si="8"/>
        <v>5</v>
      </c>
      <c r="U73" s="311">
        <f t="shared" si="8"/>
        <v>5</v>
      </c>
      <c r="V73" s="311">
        <f t="shared" si="8"/>
        <v>7</v>
      </c>
      <c r="W73" s="311">
        <f t="shared" si="8"/>
        <v>7</v>
      </c>
      <c r="X73" s="311">
        <f t="shared" si="8"/>
        <v>6</v>
      </c>
      <c r="Y73" s="311">
        <f t="shared" si="8"/>
        <v>5</v>
      </c>
      <c r="Z73" s="311">
        <f t="shared" si="8"/>
        <v>5</v>
      </c>
      <c r="AA73" s="311">
        <f t="shared" si="8"/>
        <v>4</v>
      </c>
      <c r="AB73" s="311">
        <f t="shared" si="8"/>
        <v>6</v>
      </c>
      <c r="AC73" s="311">
        <f>COUNTBLANK(AC27:AC33)</f>
        <v>7</v>
      </c>
      <c r="AD73" s="311">
        <f>COUNTBLANK(AD27:AD33)</f>
        <v>7</v>
      </c>
      <c r="AE73" s="311">
        <f t="shared" si="8"/>
        <v>7</v>
      </c>
      <c r="AF73" s="311">
        <f t="shared" si="8"/>
        <v>6</v>
      </c>
      <c r="AG73" s="311">
        <f t="shared" si="8"/>
        <v>7</v>
      </c>
      <c r="AH73" s="311">
        <f t="shared" si="8"/>
        <v>6</v>
      </c>
      <c r="AI73" s="311">
        <f>COUNTBLANK(AI27:AI33)</f>
        <v>7</v>
      </c>
    </row>
    <row r="74" spans="1:41">
      <c r="D74" s="143" t="s">
        <v>150</v>
      </c>
      <c r="E74" s="129" t="s">
        <v>95</v>
      </c>
      <c r="F74" s="129" t="s">
        <v>95</v>
      </c>
      <c r="G74" s="129" t="s">
        <v>95</v>
      </c>
      <c r="H74" s="129" t="s">
        <v>95</v>
      </c>
      <c r="I74" s="129" t="s">
        <v>95</v>
      </c>
      <c r="J74" s="76" t="s">
        <v>84</v>
      </c>
      <c r="K74" s="59" t="s">
        <v>84</v>
      </c>
      <c r="L74" s="128" t="s">
        <v>94</v>
      </c>
      <c r="M74" s="70" t="s">
        <v>94</v>
      </c>
      <c r="N74" s="70" t="s">
        <v>94</v>
      </c>
      <c r="O74" s="70" t="s">
        <v>94</v>
      </c>
      <c r="P74" s="70" t="s">
        <v>94</v>
      </c>
      <c r="Q74" s="71" t="s">
        <v>84</v>
      </c>
      <c r="R74" s="69" t="s">
        <v>94</v>
      </c>
      <c r="S74" s="77" t="s">
        <v>94</v>
      </c>
      <c r="T74" s="70" t="s">
        <v>94</v>
      </c>
      <c r="U74" s="70" t="s">
        <v>94</v>
      </c>
      <c r="V74" s="70" t="s">
        <v>94</v>
      </c>
      <c r="W74" s="70" t="s">
        <v>94</v>
      </c>
      <c r="X74" s="76" t="s">
        <v>84</v>
      </c>
      <c r="Y74" s="69" t="s">
        <v>94</v>
      </c>
      <c r="Z74" s="77" t="s">
        <v>94</v>
      </c>
      <c r="AA74" s="70" t="s">
        <v>94</v>
      </c>
      <c r="AB74" s="70" t="s">
        <v>94</v>
      </c>
      <c r="AC74" s="70" t="s">
        <v>94</v>
      </c>
      <c r="AD74" s="70" t="s">
        <v>94</v>
      </c>
      <c r="AE74" s="76" t="s">
        <v>84</v>
      </c>
      <c r="AF74" s="59" t="s">
        <v>84</v>
      </c>
      <c r="AG74" s="130" t="s">
        <v>95</v>
      </c>
      <c r="AH74" s="67" t="s">
        <v>95</v>
      </c>
      <c r="AI74" s="131" t="s">
        <v>95</v>
      </c>
    </row>
    <row r="75" spans="1:41">
      <c r="D75" s="142" t="s">
        <v>117</v>
      </c>
      <c r="E75" s="311">
        <f t="shared" ref="E75:AI75" si="9">COUNTBLANK(E35:E40)</f>
        <v>6</v>
      </c>
      <c r="F75" s="311">
        <f t="shared" si="9"/>
        <v>6</v>
      </c>
      <c r="G75" s="311">
        <f t="shared" si="9"/>
        <v>6</v>
      </c>
      <c r="H75" s="311">
        <f t="shared" si="9"/>
        <v>6</v>
      </c>
      <c r="I75" s="311">
        <f t="shared" si="9"/>
        <v>6</v>
      </c>
      <c r="J75" s="311">
        <f t="shared" si="9"/>
        <v>6</v>
      </c>
      <c r="K75" s="311">
        <f t="shared" si="9"/>
        <v>6</v>
      </c>
      <c r="L75" s="311">
        <f t="shared" si="9"/>
        <v>6</v>
      </c>
      <c r="M75" s="311">
        <f t="shared" si="9"/>
        <v>6</v>
      </c>
      <c r="N75" s="311">
        <f t="shared" si="9"/>
        <v>6</v>
      </c>
      <c r="O75" s="311">
        <f t="shared" si="9"/>
        <v>6</v>
      </c>
      <c r="P75" s="311">
        <f t="shared" si="9"/>
        <v>6</v>
      </c>
      <c r="Q75" s="311">
        <f t="shared" si="9"/>
        <v>6</v>
      </c>
      <c r="R75" s="311">
        <f t="shared" si="9"/>
        <v>6</v>
      </c>
      <c r="S75" s="311">
        <f t="shared" si="9"/>
        <v>6</v>
      </c>
      <c r="T75" s="311">
        <f t="shared" si="9"/>
        <v>6</v>
      </c>
      <c r="U75" s="311">
        <f t="shared" si="9"/>
        <v>6</v>
      </c>
      <c r="V75" s="311">
        <f t="shared" si="9"/>
        <v>5</v>
      </c>
      <c r="W75" s="311">
        <f t="shared" si="9"/>
        <v>5</v>
      </c>
      <c r="X75" s="311">
        <f t="shared" si="9"/>
        <v>5</v>
      </c>
      <c r="Y75" s="311">
        <f t="shared" si="9"/>
        <v>5</v>
      </c>
      <c r="Z75" s="311">
        <f t="shared" si="9"/>
        <v>5</v>
      </c>
      <c r="AA75" s="311">
        <f t="shared" si="9"/>
        <v>5</v>
      </c>
      <c r="AB75" s="311">
        <f t="shared" si="9"/>
        <v>5</v>
      </c>
      <c r="AC75" s="311">
        <f t="shared" si="9"/>
        <v>6</v>
      </c>
      <c r="AD75" s="311">
        <f t="shared" si="9"/>
        <v>5</v>
      </c>
      <c r="AE75" s="311">
        <f t="shared" si="9"/>
        <v>4</v>
      </c>
      <c r="AF75" s="311">
        <f t="shared" si="9"/>
        <v>3</v>
      </c>
      <c r="AG75" s="311">
        <f t="shared" si="9"/>
        <v>4</v>
      </c>
      <c r="AH75" s="311">
        <f t="shared" si="9"/>
        <v>4</v>
      </c>
      <c r="AI75" s="311">
        <f t="shared" si="9"/>
        <v>6</v>
      </c>
    </row>
    <row r="76" spans="1:41">
      <c r="D76" s="144" t="s">
        <v>150</v>
      </c>
      <c r="E76" s="109" t="s">
        <v>94</v>
      </c>
      <c r="F76" s="110" t="s">
        <v>84</v>
      </c>
      <c r="G76" s="59" t="s">
        <v>84</v>
      </c>
      <c r="H76" s="129" t="s">
        <v>95</v>
      </c>
      <c r="I76" s="129" t="s">
        <v>95</v>
      </c>
      <c r="J76" s="129" t="s">
        <v>95</v>
      </c>
      <c r="K76" s="129" t="s">
        <v>95</v>
      </c>
      <c r="L76" s="129" t="s">
        <v>95</v>
      </c>
      <c r="M76" s="76" t="s">
        <v>84</v>
      </c>
      <c r="N76" s="59" t="s">
        <v>84</v>
      </c>
      <c r="O76" s="128" t="s">
        <v>94</v>
      </c>
      <c r="P76" s="70" t="s">
        <v>94</v>
      </c>
      <c r="Q76" s="70" t="s">
        <v>94</v>
      </c>
      <c r="R76" s="70" t="s">
        <v>94</v>
      </c>
      <c r="S76" s="70" t="s">
        <v>94</v>
      </c>
      <c r="T76" s="71" t="s">
        <v>84</v>
      </c>
      <c r="U76" s="69" t="s">
        <v>94</v>
      </c>
      <c r="V76" s="77" t="s">
        <v>94</v>
      </c>
      <c r="W76" s="70" t="s">
        <v>94</v>
      </c>
      <c r="X76" s="70" t="s">
        <v>94</v>
      </c>
      <c r="Y76" s="70" t="s">
        <v>94</v>
      </c>
      <c r="Z76" s="70" t="s">
        <v>94</v>
      </c>
      <c r="AA76" s="76" t="s">
        <v>84</v>
      </c>
      <c r="AB76" s="69" t="s">
        <v>94</v>
      </c>
      <c r="AC76" s="77" t="s">
        <v>94</v>
      </c>
      <c r="AD76" s="70" t="s">
        <v>94</v>
      </c>
      <c r="AE76" s="69" t="s">
        <v>94</v>
      </c>
      <c r="AF76" s="70" t="s">
        <v>94</v>
      </c>
      <c r="AG76" s="70" t="s">
        <v>94</v>
      </c>
      <c r="AH76" s="110" t="s">
        <v>84</v>
      </c>
      <c r="AI76" s="69" t="s">
        <v>94</v>
      </c>
    </row>
    <row r="77" spans="1:41">
      <c r="D77" s="142" t="s">
        <v>119</v>
      </c>
      <c r="E77" s="311">
        <f>COUNTBLANK(E42:E48)</f>
        <v>6</v>
      </c>
      <c r="F77" s="311">
        <f t="shared" ref="F77:AH77" si="10">COUNTBLANK(F42:F48)</f>
        <v>4</v>
      </c>
      <c r="G77" s="311">
        <f t="shared" si="10"/>
        <v>7</v>
      </c>
      <c r="H77" s="311">
        <f t="shared" si="10"/>
        <v>7</v>
      </c>
      <c r="I77" s="311">
        <f t="shared" si="10"/>
        <v>3</v>
      </c>
      <c r="J77" s="311">
        <f t="shared" si="10"/>
        <v>5</v>
      </c>
      <c r="K77" s="311">
        <f t="shared" si="10"/>
        <v>4</v>
      </c>
      <c r="L77" s="311">
        <f t="shared" si="10"/>
        <v>4</v>
      </c>
      <c r="M77" s="311">
        <f t="shared" si="10"/>
        <v>2</v>
      </c>
      <c r="N77" s="311">
        <f t="shared" si="10"/>
        <v>7</v>
      </c>
      <c r="O77" s="311">
        <f t="shared" si="10"/>
        <v>7</v>
      </c>
      <c r="P77" s="311">
        <f t="shared" si="10"/>
        <v>5</v>
      </c>
      <c r="Q77" s="311">
        <f t="shared" si="10"/>
        <v>5</v>
      </c>
      <c r="R77" s="311">
        <f t="shared" si="10"/>
        <v>5</v>
      </c>
      <c r="S77" s="311">
        <f t="shared" si="10"/>
        <v>6</v>
      </c>
      <c r="T77" s="311">
        <f t="shared" si="10"/>
        <v>5</v>
      </c>
      <c r="U77" s="311">
        <f t="shared" si="10"/>
        <v>7</v>
      </c>
      <c r="V77" s="311">
        <f t="shared" si="10"/>
        <v>5</v>
      </c>
      <c r="W77" s="311">
        <f t="shared" si="10"/>
        <v>6</v>
      </c>
      <c r="X77" s="311">
        <f t="shared" si="10"/>
        <v>6</v>
      </c>
      <c r="Y77" s="311">
        <f t="shared" si="10"/>
        <v>6</v>
      </c>
      <c r="Z77" s="311">
        <f t="shared" si="10"/>
        <v>6</v>
      </c>
      <c r="AA77" s="311">
        <f t="shared" si="10"/>
        <v>6</v>
      </c>
      <c r="AB77" s="311">
        <f t="shared" si="10"/>
        <v>7</v>
      </c>
      <c r="AC77" s="311">
        <f t="shared" si="10"/>
        <v>6</v>
      </c>
      <c r="AD77" s="311">
        <f t="shared" si="10"/>
        <v>7</v>
      </c>
      <c r="AE77" s="311">
        <f t="shared" si="10"/>
        <v>7</v>
      </c>
      <c r="AF77" s="311">
        <f t="shared" si="10"/>
        <v>7</v>
      </c>
      <c r="AG77" s="311">
        <f t="shared" si="10"/>
        <v>7</v>
      </c>
      <c r="AH77" s="311">
        <f t="shared" si="10"/>
        <v>7</v>
      </c>
      <c r="AI77" s="311">
        <f>COUNTBLANK(AI42:AI48)</f>
        <v>6</v>
      </c>
    </row>
  </sheetData>
  <sheetProtection algorithmName="SHA-512" hashValue="wDaXVcQgztjkPrAvtaz9BVUXoqEiCtRTdw8sHhKLk9hMwJeUdp7QYUGG0nNereiyRdiG+ufJV9wAg+304+dTLw==" saltValue="HRu69WwqHOis0dAiBDZRBQ==" spinCount="100000" sheet="1" objects="1" scenarios="1"/>
  <mergeCells count="29">
    <mergeCell ref="F61:O61"/>
    <mergeCell ref="F57:O57"/>
    <mergeCell ref="F59:O59"/>
    <mergeCell ref="A34:A40"/>
    <mergeCell ref="B34:D34"/>
    <mergeCell ref="A41:A48"/>
    <mergeCell ref="B41:D41"/>
    <mergeCell ref="A49:A50"/>
    <mergeCell ref="B49:D49"/>
    <mergeCell ref="A51:A52"/>
    <mergeCell ref="A17:A18"/>
    <mergeCell ref="B17:D17"/>
    <mergeCell ref="A19:A25"/>
    <mergeCell ref="B19:D19"/>
    <mergeCell ref="B26:D26"/>
    <mergeCell ref="A26:A33"/>
    <mergeCell ref="E2:AI2"/>
    <mergeCell ref="E3:AI3"/>
    <mergeCell ref="A8:A9"/>
    <mergeCell ref="A10:A12"/>
    <mergeCell ref="A15:A16"/>
    <mergeCell ref="B15:D15"/>
    <mergeCell ref="A13:A14"/>
    <mergeCell ref="B13:D13"/>
    <mergeCell ref="W4:AC4"/>
    <mergeCell ref="P4:V4"/>
    <mergeCell ref="I4:O4"/>
    <mergeCell ref="E4:H4"/>
    <mergeCell ref="AD4:AI4"/>
  </mergeCells>
  <phoneticPr fontId="18" type="noConversion"/>
  <conditionalFormatting sqref="B8">
    <cfRule type="colorScale" priority="91">
      <colorScale>
        <cfvo type="min"/>
        <cfvo type="max"/>
        <color rgb="FFFF7128"/>
        <color rgb="FFFFEF9C"/>
      </colorScale>
    </cfRule>
  </conditionalFormatting>
  <conditionalFormatting sqref="B9">
    <cfRule type="colorScale" priority="16">
      <colorScale>
        <cfvo type="min"/>
        <cfvo type="max"/>
        <color rgb="FFFF7128"/>
        <color rgb="FFFFEF9C"/>
      </colorScale>
    </cfRule>
  </conditionalFormatting>
  <printOptions horizontalCentered="1"/>
  <pageMargins left="0" right="0" top="0.74803149606299213" bottom="0.74803149606299213" header="0.31496062992125984" footer="0.31496062992125984"/>
  <pageSetup paperSize="9" scale="60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" stopIfTrue="1" id="{3D267779-E725-4C28-8B07-5E58ED8671A6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84" stopIfTrue="1" id="{10F5F61A-BC1D-4595-97B7-02A6F2E354DB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5" stopIfTrue="1" id="{4356BD23-A149-4A7C-BD49-3FE77A3C9504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77" stopIfTrue="1" id="{6F9FA79E-B0B4-492C-AEB6-3B6580813051}">
            <xm:f>'OHLR DUAT'!$F$7&gt;=2</xm:f>
            <x14:dxf>
              <fill>
                <patternFill>
                  <bgColor theme="0"/>
                </patternFill>
              </fill>
            </x14:dxf>
          </x14:cfRule>
          <x14:cfRule type="expression" priority="78" stopIfTrue="1" id="{8414EF43-B387-4EA2-8163-AF08572D6D31}">
            <xm:f>'OHLR DUAT'!$F$7&gt;=1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2B68B1DA-5F2D-4216-B170-D30C621E7286}">
            <xm:f>'OHLR DUAT'!$F$7&lt;1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37" stopIfTrue="1" id="{1152ED14-9E4B-4277-AAC1-321884E58C25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8" stopIfTrue="1" id="{F9C628C0-7BF7-45B3-9DA3-5520109E0349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9" stopIfTrue="1" id="{0E14A824-02A0-4F87-8B13-BE419C771800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B12</xm:sqref>
        </x14:conditionalFormatting>
        <x14:conditionalFormatting xmlns:xm="http://schemas.microsoft.com/office/excel/2006/main">
          <x14:cfRule type="expression" priority="13" stopIfTrue="1" id="{46DB48CD-6F73-403B-A6E1-4C33FB08F39D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4" stopIfTrue="1" id="{2794C0E7-7664-45DC-A3A1-BF9E498746BA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5" stopIfTrue="1" id="{E29744B2-CCEC-4864-99A3-349A0FE02B95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10" stopIfTrue="1" id="{E28BE599-1449-4554-85D3-177C0D1A466B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11" stopIfTrue="1" id="{E09F163E-57E8-4635-BD59-6AC5644879BB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03A9B3B6-6E05-4A33-AD03-5EB41281706D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B16</xm:sqref>
        </x14:conditionalFormatting>
        <x14:conditionalFormatting xmlns:xm="http://schemas.microsoft.com/office/excel/2006/main">
          <x14:cfRule type="expression" priority="61" stopIfTrue="1" id="{706A5CE6-CB93-4516-A595-B3338D03EA8A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62" stopIfTrue="1" id="{D8DD0FA8-86B1-4EA3-9DE5-9B8FF489EFAD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3" stopIfTrue="1" id="{92B07D8D-B7A8-4617-8514-E5A5CD7E387B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B20</xm:sqref>
        </x14:conditionalFormatting>
        <x14:conditionalFormatting xmlns:xm="http://schemas.microsoft.com/office/excel/2006/main">
          <x14:cfRule type="expression" priority="96" stopIfTrue="1" id="{ECF20D78-9C21-43F5-B68D-372AC4907A2F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97" stopIfTrue="1" id="{B215FA61-9DAB-4EDA-BCB2-F049F3013B73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8" stopIfTrue="1" id="{E674D8DD-87C2-4584-910E-C96440D989FB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B21:B24</xm:sqref>
        </x14:conditionalFormatting>
        <x14:conditionalFormatting xmlns:xm="http://schemas.microsoft.com/office/excel/2006/main">
          <x14:cfRule type="expression" priority="26" stopIfTrue="1" id="{83664A03-7132-4086-A33C-8A16A5D222A5}">
            <xm:f>'OHLR DUAT'!$F$18&gt;2</xm:f>
            <x14:dxf/>
          </x14:cfRule>
          <x14:cfRule type="expression" priority="27" stopIfTrue="1" id="{E4464901-EC76-49C8-ADF7-6D7AFFB39BE0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8" stopIfTrue="1" id="{48354BE4-5D1F-4473-BA79-E3D350AAA8E0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B22</xm:sqref>
        </x14:conditionalFormatting>
        <x14:conditionalFormatting xmlns:xm="http://schemas.microsoft.com/office/excel/2006/main">
          <x14:cfRule type="expression" priority="29" id="{DD803974-AEE2-4256-ADF9-3CAEEC319B38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0" id="{ED4BC680-BB86-4623-AF92-2575552380C5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1" id="{F3A59531-F987-4F37-9137-7B11A834003B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93" stopIfTrue="1" id="{E95672CB-FFAD-416A-880E-9B19D7DB5C9B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94" stopIfTrue="1" id="{D92D075D-D07D-4E5C-855E-EAD6570F2C64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5" stopIfTrue="1" id="{B6910CE5-27DF-4488-8951-C310BD4791DC}">
            <xm:f>'OHLR DUAT'!#REF!&gt;=2</xm:f>
            <x14:dxf/>
          </x14:cfRule>
          <xm:sqref>B23:B24</xm:sqref>
        </x14:conditionalFormatting>
        <x14:conditionalFormatting xmlns:xm="http://schemas.microsoft.com/office/excel/2006/main">
          <x14:cfRule type="expression" priority="46" id="{46EB7123-DAC0-463F-AF70-842065630149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7" id="{92163D8A-950E-4235-8D9D-9C9ED3C6425B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8" id="{34223073-1AFA-472B-B7BE-54956BC8EEC4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expression" priority="66" stopIfTrue="1" id="{98318CA9-FF09-4C49-9E5E-721A23E3C9AC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7" stopIfTrue="1" id="{AA439E38-DE13-40F4-ABCC-F112FA225CDA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B27 B36</xm:sqref>
        </x14:conditionalFormatting>
        <x14:conditionalFormatting xmlns:xm="http://schemas.microsoft.com/office/excel/2006/main">
          <x14:cfRule type="expression" priority="68" id="{9FE21C43-815F-4B57-ADFF-D52B0B85AA42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id="{E63B743C-1732-4B85-9707-FBFC9F0BF974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id="{35B4AE88-46D1-44CA-9402-ACC14F75F3B4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B28:B29</xm:sqref>
        </x14:conditionalFormatting>
        <x14:conditionalFormatting xmlns:xm="http://schemas.microsoft.com/office/excel/2006/main">
          <x14:cfRule type="expression" priority="49" id="{1B0B96F3-E0D4-4054-AD43-0CB9B84EFF1F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0" id="{D7369604-849F-4CBC-B17D-87605D115B81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51" id="{89386869-06D1-4384-BAC4-C22D6E180B88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23" id="{A02A2190-B459-4B60-B942-8F79E58839AF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C78CC802-2079-4204-B679-F857ED15F54C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8E0D1918-9EA3-42C0-B285-AD95BDCE7E10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1" id="{205918A5-168A-4444-B8C5-1851298900E9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58ED9761-9C76-4A1E-8E2B-E433165580AD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239CCE5-92CC-4067-BD65-26388B9BF109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B32</xm:sqref>
        </x14:conditionalFormatting>
        <x14:conditionalFormatting xmlns:xm="http://schemas.microsoft.com/office/excel/2006/main">
          <x14:cfRule type="expression" priority="74" stopIfTrue="1" id="{112ECF75-C77A-4A64-A0B8-03E1044522B5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75" stopIfTrue="1" id="{9CDBA0C8-9A9E-4950-AD6C-FF9AE0E7E498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6" stopIfTrue="1" id="{7A3F8EA7-AFE7-42C7-9379-377B5553FC6A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B35:B36</xm:sqref>
        </x14:conditionalFormatting>
        <x14:conditionalFormatting xmlns:xm="http://schemas.microsoft.com/office/excel/2006/main">
          <x14:cfRule type="expression" priority="65" stopIfTrue="1" id="{A186CE4A-2EB8-4E72-AE18-28FABDB5B7A3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B36 B27</xm:sqref>
        </x14:conditionalFormatting>
        <x14:conditionalFormatting xmlns:xm="http://schemas.microsoft.com/office/excel/2006/main">
          <x14:cfRule type="expression" priority="55" stopIfTrue="1" id="{40132FBE-0C2F-4E4B-BC97-F48A100F7095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56" stopIfTrue="1" id="{51536106-08C9-449C-9BBC-996215FC254E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7" stopIfTrue="1" id="{3B5C93EF-C2BD-4DBA-860A-A75745296EC6}">
            <xm:f>'OHLR DUAT'!$F$10&gt;=2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52" stopIfTrue="1" id="{60B3DB71-4CAE-42B0-BE94-64F7AF8AA948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53" stopIfTrue="1" id="{A30EBB4C-0ED0-4ED5-AFC1-3949EA4E265B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4" stopIfTrue="1" id="{A1FA3C74-C2A0-40E8-A733-011AAB4817A4}">
            <xm:f>'OHLR DUAT'!$F$19&gt;=2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3" stopIfTrue="1" id="{21ED76F4-A345-45FE-9371-3E52315939B5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20BEF0AD-6643-49A1-85D2-E3FE26CF8DE7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89FCC183-89C3-4475-B6FE-23B7C5C6303D}">
            <xm:f>'OHLR DUAT'!$F$23&gt;=2</xm:f>
            <x14:dxf/>
          </x14:cfRule>
          <xm:sqref>B38</xm:sqref>
        </x14:conditionalFormatting>
        <x14:conditionalFormatting xmlns:xm="http://schemas.microsoft.com/office/excel/2006/main">
          <x14:cfRule type="expression" priority="4" id="{DA9F5E6E-F632-4982-9709-BF57E344BCE3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A9BBBF6B-B12B-420F-957F-B861EEFF7159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022A29B4-0C7E-44F1-9318-198A9DA8F10B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B39:B40</xm:sqref>
        </x14:conditionalFormatting>
        <x14:conditionalFormatting xmlns:xm="http://schemas.microsoft.com/office/excel/2006/main">
          <x14:cfRule type="expression" priority="71" stopIfTrue="1" id="{79C5D147-229E-40C2-9CF6-C6BE1F19083D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1D575F45-97C1-413F-A145-608904ACEF20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4C234300-6C4F-44FB-B542-51EB8B501BFE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B42</xm:sqref>
        </x14:conditionalFormatting>
        <x14:conditionalFormatting xmlns:xm="http://schemas.microsoft.com/office/excel/2006/main">
          <x14:cfRule type="expression" priority="80" stopIfTrue="1" id="{868C09D0-CD99-4425-B672-50FA91B0F62B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5AC9893D-D1ED-4A07-AADB-BBF648449701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1BB7F82C-524C-40BF-8803-7AD028E8053B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B43:B46 B48</xm:sqref>
        </x14:conditionalFormatting>
        <x14:conditionalFormatting xmlns:xm="http://schemas.microsoft.com/office/excel/2006/main">
          <x14:cfRule type="expression" priority="34" stopIfTrue="1" id="{207E0245-C730-4DE1-B4F1-E3B344EB854C}">
            <xm:f>'OHLR DUAT'!$F$13&gt;=2</xm:f>
            <x14:dxf>
              <font>
                <b val="0"/>
                <i val="0"/>
              </font>
            </x14:dxf>
          </x14:cfRule>
          <x14:cfRule type="expression" priority="35" stopIfTrue="1" id="{F0FB5378-2C34-4EBF-BFF5-8D83B01CB8D8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6" stopIfTrue="1" id="{6814F970-8A1C-4DEE-829B-12D62A56615C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B44:B46 B48</xm:sqref>
        </x14:conditionalFormatting>
        <x14:conditionalFormatting xmlns:xm="http://schemas.microsoft.com/office/excel/2006/main">
          <x14:cfRule type="expression" priority="33" stopIfTrue="1" id="{A530390D-0957-4E91-82AA-D25082682D23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655B097E-A535-400B-A277-A8EB208C1EC0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B45:B46 B48</xm:sqref>
        </x14:conditionalFormatting>
        <x14:conditionalFormatting xmlns:xm="http://schemas.microsoft.com/office/excel/2006/main">
          <x14:cfRule type="expression" priority="826" stopIfTrue="1" id="{8291D246-0657-43C1-95BF-B1F0D4215CED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27" stopIfTrue="1" id="{3F8F3B6A-B5A3-4EFF-A2D3-46353D0910AB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8" stopIfTrue="1" id="{B7017DDD-4007-4ED7-8D10-087D7BF1F670}">
            <xm:f>'OHLR DUAT'!#REF!&gt;=2</xm:f>
            <x14:dxf/>
          </x14:cfRule>
          <xm:sqref>B46 B48</xm:sqref>
        </x14:conditionalFormatting>
        <x14:conditionalFormatting xmlns:xm="http://schemas.microsoft.com/office/excel/2006/main">
          <x14:cfRule type="expression" priority="32" stopIfTrue="1" id="{C7DCB4BB-3F56-4161-B859-48DE8006C46E}">
            <xm:f>'OHLR DUAT'!$F$18&gt;2</xm:f>
            <x14:dxf/>
          </x14:cfRule>
          <xm:sqref>B48 B45:B46</xm:sqref>
        </x14:conditionalFormatting>
        <x14:conditionalFormatting xmlns:xm="http://schemas.microsoft.com/office/excel/2006/main">
          <x14:cfRule type="expression" priority="17" id="{8A5A4D5E-4C1C-428C-A061-5C0C6ACFBBF5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7E30430C-08CB-4205-9B0D-06F9DFAB967F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A5927D9F-9589-4BC8-9835-1BA57BC8E5CD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B48</xm:sqref>
        </x14:conditionalFormatting>
        <x14:conditionalFormatting xmlns:xm="http://schemas.microsoft.com/office/excel/2006/main">
          <x14:cfRule type="expression" priority="89" id="{8FFCEBA4-CC55-411E-92AB-7B311062221F}">
            <xm:f>VLOOKUP(B11,'OHLR DUAT'!$B$4:$E$15,4,FALSE)</xm:f>
            <x14:dxf/>
          </x14:cfRule>
          <xm:sqref>C10:C11</xm:sqref>
        </x14:conditionalFormatting>
        <x14:conditionalFormatting xmlns:xm="http://schemas.microsoft.com/office/excel/2006/main">
          <x14:cfRule type="expression" priority="744" id="{A056DD1A-0968-4C73-86E9-40B5082DCB50}">
            <xm:f>VLOOKUP(B16,'OHLR DUAT'!$B$4:$E$15,4,FALSE)</xm:f>
            <x14:dxf/>
          </x14:cfRule>
          <xm:sqref>C12</xm:sqref>
        </x14:conditionalFormatting>
        <x14:conditionalFormatting xmlns:xm="http://schemas.microsoft.com/office/excel/2006/main">
          <x14:cfRule type="expression" priority="92" id="{C400CAFC-D9AE-437E-816D-C37582E5F243}">
            <xm:f>VLOOKUP(#REF!,'OHLR DUAT'!$B$4:$E$15,4,FALSE)</xm:f>
            <x14:dxf/>
          </x14:cfRule>
          <xm:sqref>E8:AI9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52C6-4074-42C3-A363-48ED42E08448}">
  <dimension ref="A1:AM75"/>
  <sheetViews>
    <sheetView workbookViewId="0">
      <pane xSplit="4" ySplit="6" topLeftCell="E32" activePane="bottomRight" state="frozen"/>
      <selection pane="topRight"/>
      <selection pane="bottomLeft"/>
      <selection pane="bottomRight" activeCell="S62" sqref="S62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9" width="6.6328125" customWidth="1"/>
    <col min="10" max="10" width="8.6328125" bestFit="1" customWidth="1"/>
    <col min="11" max="32" width="6.6328125" customWidth="1"/>
  </cols>
  <sheetData>
    <row r="1" spans="1:39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10"/>
      <c r="T1" s="210"/>
      <c r="U1" s="210"/>
      <c r="V1" s="210"/>
      <c r="W1" s="210"/>
      <c r="X1" s="210"/>
      <c r="Y1" s="13"/>
      <c r="Z1" s="13"/>
      <c r="AA1" s="13"/>
      <c r="AB1" s="13"/>
      <c r="AC1" s="13"/>
      <c r="AD1" s="13"/>
      <c r="AE1" s="13"/>
      <c r="AF1" s="13"/>
    </row>
    <row r="2" spans="1:39" ht="20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</row>
    <row r="3" spans="1:39" ht="18" customHeight="1">
      <c r="A3" s="19"/>
      <c r="B3" s="43"/>
      <c r="C3" s="19"/>
      <c r="D3" s="127"/>
      <c r="E3" s="1301" t="s">
        <v>153</v>
      </c>
      <c r="F3" s="1301"/>
      <c r="G3" s="1301"/>
      <c r="H3" s="1301"/>
      <c r="I3" s="1301"/>
      <c r="J3" s="1301"/>
      <c r="K3" s="1301"/>
      <c r="L3" s="1301"/>
      <c r="M3" s="1301"/>
      <c r="N3" s="1301"/>
      <c r="O3" s="1301"/>
      <c r="P3" s="1301"/>
      <c r="Q3" s="1301"/>
      <c r="R3" s="1301"/>
      <c r="S3" s="1301"/>
      <c r="T3" s="1301"/>
      <c r="U3" s="1301"/>
      <c r="V3" s="1301"/>
      <c r="W3" s="1301"/>
      <c r="X3" s="1301"/>
      <c r="Y3" s="1301"/>
      <c r="Z3" s="1301"/>
      <c r="AA3" s="1301"/>
      <c r="AB3" s="1301"/>
      <c r="AC3" s="1301"/>
      <c r="AD3" s="1301"/>
      <c r="AE3" s="1301"/>
      <c r="AF3" s="1301"/>
    </row>
    <row r="4" spans="1:39" s="31" customFormat="1" ht="18" customHeight="1">
      <c r="A4" s="19"/>
      <c r="B4" s="43"/>
      <c r="C4" s="19"/>
      <c r="D4" s="19"/>
      <c r="E4" s="155" t="s">
        <v>66</v>
      </c>
      <c r="F4" s="1324" t="s">
        <v>154</v>
      </c>
      <c r="G4" s="1325"/>
      <c r="H4" s="1325"/>
      <c r="I4" s="1325"/>
      <c r="J4" s="1325"/>
      <c r="K4" s="1325"/>
      <c r="L4" s="1326"/>
      <c r="M4" s="1327" t="s">
        <v>155</v>
      </c>
      <c r="N4" s="1325"/>
      <c r="O4" s="1325"/>
      <c r="P4" s="1325"/>
      <c r="Q4" s="1325"/>
      <c r="R4" s="1325"/>
      <c r="S4" s="1328"/>
      <c r="T4" s="1324" t="s">
        <v>156</v>
      </c>
      <c r="U4" s="1325"/>
      <c r="V4" s="1325"/>
      <c r="W4" s="1325"/>
      <c r="X4" s="1325"/>
      <c r="Y4" s="1325"/>
      <c r="Z4" s="1326"/>
      <c r="AA4" s="1327" t="s">
        <v>157</v>
      </c>
      <c r="AB4" s="1325"/>
      <c r="AC4" s="1325"/>
      <c r="AD4" s="1325"/>
      <c r="AE4" s="1325"/>
      <c r="AF4" s="1326"/>
    </row>
    <row r="5" spans="1:39" s="31" customFormat="1" ht="18" customHeight="1">
      <c r="A5" s="14"/>
      <c r="B5" s="42"/>
      <c r="C5" s="15"/>
      <c r="D5" s="15"/>
      <c r="E5" s="72">
        <v>1</v>
      </c>
      <c r="F5" s="34">
        <v>2</v>
      </c>
      <c r="G5" s="32">
        <v>3</v>
      </c>
      <c r="H5" s="32">
        <v>4</v>
      </c>
      <c r="I5" s="32">
        <v>5</v>
      </c>
      <c r="J5" s="32">
        <v>6</v>
      </c>
      <c r="K5" s="32">
        <v>7</v>
      </c>
      <c r="L5" s="33">
        <v>8</v>
      </c>
      <c r="M5" s="39">
        <v>9</v>
      </c>
      <c r="N5" s="32">
        <v>10</v>
      </c>
      <c r="O5" s="32">
        <v>11</v>
      </c>
      <c r="P5" s="32">
        <v>12</v>
      </c>
      <c r="Q5" s="32">
        <v>13</v>
      </c>
      <c r="R5" s="32">
        <v>14</v>
      </c>
      <c r="S5" s="591">
        <v>15</v>
      </c>
      <c r="T5" s="590">
        <v>16</v>
      </c>
      <c r="U5" s="679">
        <v>17</v>
      </c>
      <c r="V5" s="679">
        <v>18</v>
      </c>
      <c r="W5" s="560">
        <v>19</v>
      </c>
      <c r="X5" s="589">
        <v>20</v>
      </c>
      <c r="Y5" s="32">
        <v>21</v>
      </c>
      <c r="Z5" s="33">
        <v>22</v>
      </c>
      <c r="AA5" s="39">
        <v>23</v>
      </c>
      <c r="AB5" s="32">
        <v>24</v>
      </c>
      <c r="AC5" s="32">
        <v>25</v>
      </c>
      <c r="AD5" s="32">
        <v>26</v>
      </c>
      <c r="AE5" s="32">
        <v>27</v>
      </c>
      <c r="AF5" s="33">
        <v>28</v>
      </c>
    </row>
    <row r="6" spans="1:39" s="31" customFormat="1" ht="18" customHeight="1">
      <c r="A6" s="19"/>
      <c r="B6" s="43"/>
      <c r="C6" s="19"/>
      <c r="D6" s="19"/>
      <c r="E6" s="172" t="s">
        <v>70</v>
      </c>
      <c r="F6" s="37" t="s">
        <v>71</v>
      </c>
      <c r="G6" s="35" t="s">
        <v>72</v>
      </c>
      <c r="H6" s="35" t="s">
        <v>73</v>
      </c>
      <c r="I6" s="35" t="s">
        <v>67</v>
      </c>
      <c r="J6" s="35" t="s">
        <v>68</v>
      </c>
      <c r="K6" s="35" t="s">
        <v>69</v>
      </c>
      <c r="L6" s="36" t="s">
        <v>70</v>
      </c>
      <c r="M6" s="41" t="s">
        <v>71</v>
      </c>
      <c r="N6" s="35" t="s">
        <v>72</v>
      </c>
      <c r="O6" s="35" t="s">
        <v>73</v>
      </c>
      <c r="P6" s="35" t="s">
        <v>67</v>
      </c>
      <c r="Q6" s="35" t="s">
        <v>68</v>
      </c>
      <c r="R6" s="35" t="s">
        <v>69</v>
      </c>
      <c r="S6" s="588" t="s">
        <v>70</v>
      </c>
      <c r="T6" s="587" t="s">
        <v>71</v>
      </c>
      <c r="U6" s="586" t="s">
        <v>72</v>
      </c>
      <c r="V6" s="586" t="s">
        <v>73</v>
      </c>
      <c r="W6" s="586" t="s">
        <v>67</v>
      </c>
      <c r="X6" s="585" t="s">
        <v>68</v>
      </c>
      <c r="Y6" s="35" t="s">
        <v>69</v>
      </c>
      <c r="Z6" s="36" t="s">
        <v>70</v>
      </c>
      <c r="AA6" s="41" t="s">
        <v>71</v>
      </c>
      <c r="AB6" s="35" t="s">
        <v>72</v>
      </c>
      <c r="AC6" s="35" t="s">
        <v>73</v>
      </c>
      <c r="AD6" s="35" t="s">
        <v>67</v>
      </c>
      <c r="AE6" s="35" t="s">
        <v>68</v>
      </c>
      <c r="AF6" s="38" t="s">
        <v>69</v>
      </c>
    </row>
    <row r="7" spans="1:39" ht="18" customHeight="1">
      <c r="A7" s="24" t="s">
        <v>74</v>
      </c>
      <c r="B7" s="113" t="s">
        <v>75</v>
      </c>
      <c r="C7" s="25" t="s">
        <v>76</v>
      </c>
      <c r="D7" s="26" t="s">
        <v>77</v>
      </c>
      <c r="E7" s="173"/>
      <c r="F7" s="170"/>
      <c r="G7" s="167"/>
      <c r="H7" s="167"/>
      <c r="I7" s="167"/>
      <c r="J7" s="167"/>
      <c r="K7" s="167"/>
      <c r="L7" s="171"/>
      <c r="M7" s="169"/>
      <c r="N7" s="167"/>
      <c r="O7" s="167"/>
      <c r="P7" s="167"/>
      <c r="Q7" s="167"/>
      <c r="R7" s="167"/>
      <c r="S7" s="584"/>
      <c r="T7" s="583"/>
      <c r="U7" s="582"/>
      <c r="V7" s="582"/>
      <c r="W7" s="582"/>
      <c r="X7" s="582"/>
      <c r="Y7" s="167"/>
      <c r="Z7" s="171"/>
      <c r="AA7" s="169"/>
      <c r="AB7" s="167"/>
      <c r="AC7" s="167"/>
      <c r="AD7" s="167"/>
      <c r="AE7" s="167"/>
      <c r="AF7" s="171"/>
    </row>
    <row r="8" spans="1:39" ht="18" customHeight="1">
      <c r="A8" s="1346" t="s">
        <v>78</v>
      </c>
      <c r="B8" s="44" t="s">
        <v>79</v>
      </c>
      <c r="C8" s="17" t="s">
        <v>80</v>
      </c>
      <c r="D8" s="21">
        <v>300179</v>
      </c>
      <c r="E8" s="107"/>
      <c r="F8" s="28"/>
      <c r="G8" s="29"/>
      <c r="H8" s="29"/>
      <c r="I8" s="29"/>
      <c r="J8" s="29"/>
      <c r="K8" s="29"/>
      <c r="L8" s="30"/>
      <c r="M8" s="75"/>
      <c r="N8" s="29"/>
      <c r="O8" s="29"/>
      <c r="P8" s="29"/>
      <c r="Q8" s="29"/>
      <c r="R8" s="29"/>
      <c r="S8" s="581"/>
      <c r="T8" s="580"/>
      <c r="U8" s="358"/>
      <c r="V8" s="358"/>
      <c r="W8" s="358"/>
      <c r="X8" s="358"/>
      <c r="Y8" s="29"/>
      <c r="Z8" s="30"/>
      <c r="AA8" s="186" t="s">
        <v>81</v>
      </c>
      <c r="AB8" s="183" t="s">
        <v>81</v>
      </c>
      <c r="AC8" s="183" t="s">
        <v>81</v>
      </c>
      <c r="AD8" s="29"/>
      <c r="AE8" s="29"/>
      <c r="AF8" s="30"/>
    </row>
    <row r="9" spans="1:39" ht="18" customHeight="1">
      <c r="A9" s="1347"/>
      <c r="B9" s="115" t="s">
        <v>82</v>
      </c>
      <c r="C9" s="20" t="s">
        <v>80</v>
      </c>
      <c r="D9" s="156">
        <v>668695</v>
      </c>
      <c r="E9" s="628"/>
      <c r="F9" s="243"/>
      <c r="G9" s="244"/>
      <c r="H9" s="244"/>
      <c r="I9" s="244"/>
      <c r="J9" s="244"/>
      <c r="K9" s="244"/>
      <c r="L9" s="248"/>
      <c r="M9" s="249"/>
      <c r="N9" s="244" t="s">
        <v>83</v>
      </c>
      <c r="O9" s="244" t="s">
        <v>38</v>
      </c>
      <c r="P9" s="241" t="s">
        <v>84</v>
      </c>
      <c r="Q9" s="244"/>
      <c r="R9" s="629"/>
      <c r="S9" s="630"/>
      <c r="T9" s="631"/>
      <c r="U9" s="632"/>
      <c r="V9" s="632"/>
      <c r="W9" s="632"/>
      <c r="X9" s="632"/>
      <c r="Y9" s="244"/>
      <c r="Z9" s="248"/>
      <c r="AA9" s="249"/>
      <c r="AB9" s="244"/>
      <c r="AC9" s="244"/>
      <c r="AD9" s="244"/>
      <c r="AE9" s="244"/>
      <c r="AF9" s="248"/>
    </row>
    <row r="10" spans="1:39" ht="18" customHeight="1">
      <c r="A10" s="1331" t="s">
        <v>85</v>
      </c>
      <c r="B10" s="90" t="s">
        <v>86</v>
      </c>
      <c r="C10" s="17" t="s">
        <v>13</v>
      </c>
      <c r="D10" s="21">
        <v>231061</v>
      </c>
      <c r="E10" s="621" t="s">
        <v>84</v>
      </c>
      <c r="F10" s="622" t="s">
        <v>38</v>
      </c>
      <c r="G10" s="623" t="s">
        <v>38</v>
      </c>
      <c r="H10" s="623" t="s">
        <v>38</v>
      </c>
      <c r="I10" s="623" t="s">
        <v>38</v>
      </c>
      <c r="J10" s="623" t="s">
        <v>38</v>
      </c>
      <c r="K10" s="255" t="s">
        <v>84</v>
      </c>
      <c r="L10" s="259" t="s">
        <v>84</v>
      </c>
      <c r="M10" s="257" t="s">
        <v>87</v>
      </c>
      <c r="N10" s="254" t="s">
        <v>87</v>
      </c>
      <c r="O10" s="691" t="s">
        <v>83</v>
      </c>
      <c r="P10" s="255" t="s">
        <v>84</v>
      </c>
      <c r="Q10" s="200" t="s">
        <v>87</v>
      </c>
      <c r="R10" s="624" t="s">
        <v>84</v>
      </c>
      <c r="S10" s="625" t="s">
        <v>158</v>
      </c>
      <c r="T10" s="626" t="s">
        <v>158</v>
      </c>
      <c r="U10" s="678" t="s">
        <v>38</v>
      </c>
      <c r="V10" s="678" t="s">
        <v>38</v>
      </c>
      <c r="W10" s="627" t="s">
        <v>38</v>
      </c>
      <c r="X10" s="627" t="s">
        <v>38</v>
      </c>
      <c r="Y10" s="255" t="s">
        <v>84</v>
      </c>
      <c r="Z10" s="256" t="s">
        <v>38</v>
      </c>
      <c r="AA10" s="257" t="s">
        <v>38</v>
      </c>
      <c r="AB10" s="254" t="s">
        <v>38</v>
      </c>
      <c r="AC10" s="254" t="s">
        <v>38</v>
      </c>
      <c r="AD10" s="254" t="s">
        <v>38</v>
      </c>
      <c r="AE10" s="254" t="s">
        <v>38</v>
      </c>
      <c r="AF10" s="259" t="s">
        <v>84</v>
      </c>
    </row>
    <row r="11" spans="1:39" ht="18" customHeight="1">
      <c r="A11" s="1331"/>
      <c r="B11" s="86" t="s">
        <v>24</v>
      </c>
      <c r="C11" s="18" t="s">
        <v>13</v>
      </c>
      <c r="D11" s="52" t="s">
        <v>89</v>
      </c>
      <c r="E11" s="653" t="s">
        <v>84</v>
      </c>
      <c r="F11" s="262" t="s">
        <v>87</v>
      </c>
      <c r="G11" s="267" t="s">
        <v>87</v>
      </c>
      <c r="H11" s="267" t="s">
        <v>87</v>
      </c>
      <c r="I11" s="267" t="s">
        <v>87</v>
      </c>
      <c r="J11" s="263" t="s">
        <v>159</v>
      </c>
      <c r="K11" s="268" t="s">
        <v>84</v>
      </c>
      <c r="L11" s="661" t="s">
        <v>38</v>
      </c>
      <c r="M11" s="654" t="s">
        <v>38</v>
      </c>
      <c r="N11" s="655" t="s">
        <v>38</v>
      </c>
      <c r="O11" s="655" t="s">
        <v>38</v>
      </c>
      <c r="P11" s="655" t="s">
        <v>38</v>
      </c>
      <c r="Q11" s="655" t="s">
        <v>38</v>
      </c>
      <c r="R11" s="264" t="s">
        <v>84</v>
      </c>
      <c r="S11" s="656" t="s">
        <v>84</v>
      </c>
      <c r="T11" s="659" t="s">
        <v>84</v>
      </c>
      <c r="U11" s="660" t="s">
        <v>158</v>
      </c>
      <c r="V11" s="660" t="s">
        <v>88</v>
      </c>
      <c r="W11" s="660" t="s">
        <v>88</v>
      </c>
      <c r="X11" s="694" t="s">
        <v>81</v>
      </c>
      <c r="Y11" s="264" t="s">
        <v>84</v>
      </c>
      <c r="Z11" s="265" t="s">
        <v>84</v>
      </c>
      <c r="AA11" s="266" t="s">
        <v>87</v>
      </c>
      <c r="AB11" s="267" t="s">
        <v>87</v>
      </c>
      <c r="AC11" s="267" t="s">
        <v>87</v>
      </c>
      <c r="AD11" s="267" t="s">
        <v>87</v>
      </c>
      <c r="AE11" s="267" t="s">
        <v>87</v>
      </c>
      <c r="AF11" s="744" t="s">
        <v>91</v>
      </c>
    </row>
    <row r="12" spans="1:39" ht="18" customHeight="1" thickTop="1" thickBot="1">
      <c r="A12" s="1316" t="s">
        <v>92</v>
      </c>
      <c r="B12" s="1334" t="s">
        <v>93</v>
      </c>
      <c r="C12" s="1332"/>
      <c r="D12" s="1332"/>
      <c r="E12" s="620" t="s">
        <v>94</v>
      </c>
      <c r="F12" s="189" t="s">
        <v>94</v>
      </c>
      <c r="G12" s="190" t="s">
        <v>94</v>
      </c>
      <c r="H12" s="190" t="s">
        <v>94</v>
      </c>
      <c r="I12" s="190" t="s">
        <v>94</v>
      </c>
      <c r="J12" s="190" t="s">
        <v>94</v>
      </c>
      <c r="K12" s="191" t="s">
        <v>84</v>
      </c>
      <c r="L12" s="201" t="s">
        <v>84</v>
      </c>
      <c r="M12" s="193" t="s">
        <v>95</v>
      </c>
      <c r="N12" s="190" t="s">
        <v>95</v>
      </c>
      <c r="O12" s="190" t="s">
        <v>95</v>
      </c>
      <c r="P12" s="190" t="s">
        <v>95</v>
      </c>
      <c r="Q12" s="190" t="s">
        <v>95</v>
      </c>
      <c r="R12" s="190" t="s">
        <v>95</v>
      </c>
      <c r="S12" s="571" t="s">
        <v>84</v>
      </c>
      <c r="T12" s="573" t="s">
        <v>95</v>
      </c>
      <c r="U12" s="572" t="s">
        <v>95</v>
      </c>
      <c r="V12" s="572" t="s">
        <v>95</v>
      </c>
      <c r="W12" s="572" t="s">
        <v>95</v>
      </c>
      <c r="X12" s="572" t="s">
        <v>95</v>
      </c>
      <c r="Y12" s="191" t="s">
        <v>84</v>
      </c>
      <c r="Z12" s="201" t="s">
        <v>84</v>
      </c>
      <c r="AA12" s="193" t="s">
        <v>94</v>
      </c>
      <c r="AB12" s="190" t="s">
        <v>94</v>
      </c>
      <c r="AC12" s="190" t="s">
        <v>94</v>
      </c>
      <c r="AD12" s="190" t="s">
        <v>94</v>
      </c>
      <c r="AE12" s="190" t="s">
        <v>94</v>
      </c>
      <c r="AF12" s="745" t="s">
        <v>84</v>
      </c>
      <c r="AG12" s="137" t="s">
        <v>95</v>
      </c>
      <c r="AH12" s="137" t="s">
        <v>38</v>
      </c>
      <c r="AI12" s="138" t="s">
        <v>84</v>
      </c>
      <c r="AJ12" s="137" t="s">
        <v>81</v>
      </c>
      <c r="AK12" s="137" t="s">
        <v>88</v>
      </c>
      <c r="AL12" s="137" t="s">
        <v>96</v>
      </c>
      <c r="AM12" s="139" t="s">
        <v>97</v>
      </c>
    </row>
    <row r="13" spans="1:39" ht="18" customHeight="1" thickBot="1">
      <c r="A13" s="1333"/>
      <c r="B13" s="116" t="s">
        <v>22</v>
      </c>
      <c r="C13" s="53" t="s">
        <v>16</v>
      </c>
      <c r="D13" s="23">
        <v>517968</v>
      </c>
      <c r="E13" s="663"/>
      <c r="F13" s="662"/>
      <c r="G13" s="23"/>
      <c r="H13" s="23"/>
      <c r="I13" s="23"/>
      <c r="J13" s="23"/>
      <c r="K13" s="23"/>
      <c r="L13" s="23"/>
      <c r="M13" s="662"/>
      <c r="N13" s="23"/>
      <c r="O13" s="23"/>
      <c r="P13" s="674" t="s">
        <v>88</v>
      </c>
      <c r="Q13" s="674" t="s">
        <v>84</v>
      </c>
      <c r="R13" s="23"/>
      <c r="S13" s="23"/>
      <c r="T13" s="561"/>
      <c r="U13" s="675" t="s">
        <v>160</v>
      </c>
      <c r="V13" s="675" t="s">
        <v>160</v>
      </c>
      <c r="W13" s="675" t="s">
        <v>160</v>
      </c>
      <c r="X13" s="23"/>
      <c r="Y13" s="23"/>
      <c r="Z13" s="23"/>
      <c r="AA13" s="23"/>
      <c r="AB13" s="23"/>
      <c r="AC13" s="23"/>
      <c r="AD13" s="23"/>
      <c r="AE13" s="23"/>
      <c r="AF13" s="736"/>
      <c r="AG13" s="89" cm="1">
        <f t="array" ref="AG13">SUMPRODUCT(($E$12:$AF$12="HR")*($E$13:$AF$13=""))+SUMPRODUCT(($E$13:$AF$13="HR")*1)</f>
        <v>6</v>
      </c>
      <c r="AH13" s="89" cm="1">
        <f t="array" ref="AH13">SUMPRODUCT(($E$12:$AF$12="N0")*($E$13:$AF$13=""))+SUMPRODUCT(($E$13:$AF$13="N")*1)</f>
        <v>11</v>
      </c>
      <c r="AI13" s="89" cm="1">
        <f t="array" ref="AI13">SUMPRODUCT(($E$12:$AF$12="RD")*($E$13:$AF$13=""))+SUMPRODUCT(($E$13:$AF$13="RD")*1)</f>
        <v>7</v>
      </c>
      <c r="AJ13" s="89" cm="1">
        <f t="array" ref="AJ13">SUMPRODUCT(($E$13:$AF$13="AL")*1)</f>
        <v>0</v>
      </c>
      <c r="AK13" s="89" cm="1">
        <f t="array" ref="AK13">SUMPRODUCT(($E$13:$AF$13="SH")*1)</f>
        <v>1</v>
      </c>
      <c r="AL13" s="89" cm="1">
        <f t="array" ref="AL13">SUMPRODUCT(($E$13:$AF$13="SL")*1)</f>
        <v>0</v>
      </c>
      <c r="AM13" s="140" t="e">
        <f>#REF!-AG13-AH13-AI13-AJ13-AK13-AL13</f>
        <v>#REF!</v>
      </c>
    </row>
    <row r="14" spans="1:39" ht="18" customHeight="1" thickTop="1" thickBot="1">
      <c r="A14" s="1316" t="s">
        <v>98</v>
      </c>
      <c r="B14" s="1330" t="s">
        <v>93</v>
      </c>
      <c r="C14" s="1330"/>
      <c r="D14" s="1330"/>
      <c r="E14" s="175" t="s">
        <v>84</v>
      </c>
      <c r="F14" s="95" t="s">
        <v>95</v>
      </c>
      <c r="G14" s="94" t="s">
        <v>95</v>
      </c>
      <c r="H14" s="94" t="s">
        <v>95</v>
      </c>
      <c r="I14" s="94" t="s">
        <v>95</v>
      </c>
      <c r="J14" s="94" t="s">
        <v>95</v>
      </c>
      <c r="K14" s="134" t="s">
        <v>84</v>
      </c>
      <c r="L14" s="136" t="s">
        <v>84</v>
      </c>
      <c r="M14" s="93" t="s">
        <v>94</v>
      </c>
      <c r="N14" s="94" t="s">
        <v>94</v>
      </c>
      <c r="O14" s="94" t="s">
        <v>94</v>
      </c>
      <c r="P14" s="94" t="s">
        <v>94</v>
      </c>
      <c r="Q14" s="94" t="s">
        <v>94</v>
      </c>
      <c r="R14" s="134" t="s">
        <v>84</v>
      </c>
      <c r="S14" s="576" t="s">
        <v>94</v>
      </c>
      <c r="T14" s="578" t="s">
        <v>94</v>
      </c>
      <c r="U14" s="577" t="s">
        <v>94</v>
      </c>
      <c r="V14" s="577" t="s">
        <v>94</v>
      </c>
      <c r="W14" s="577" t="s">
        <v>94</v>
      </c>
      <c r="X14" s="577" t="s">
        <v>94</v>
      </c>
      <c r="Y14" s="134" t="s">
        <v>84</v>
      </c>
      <c r="Z14" s="136" t="s">
        <v>84</v>
      </c>
      <c r="AA14" s="93" t="s">
        <v>95</v>
      </c>
      <c r="AB14" s="94" t="s">
        <v>95</v>
      </c>
      <c r="AC14" s="94" t="s">
        <v>95</v>
      </c>
      <c r="AD14" s="94" t="s">
        <v>95</v>
      </c>
      <c r="AE14" s="94" t="s">
        <v>95</v>
      </c>
      <c r="AF14" s="737" t="s">
        <v>95</v>
      </c>
      <c r="AG14" s="137" t="s">
        <v>95</v>
      </c>
      <c r="AH14" s="137" t="s">
        <v>38</v>
      </c>
      <c r="AI14" s="138" t="s">
        <v>84</v>
      </c>
      <c r="AJ14" s="137" t="s">
        <v>81</v>
      </c>
      <c r="AK14" s="137" t="s">
        <v>88</v>
      </c>
      <c r="AL14" s="137" t="s">
        <v>96</v>
      </c>
      <c r="AM14" s="139" t="s">
        <v>97</v>
      </c>
    </row>
    <row r="15" spans="1:39" ht="18" customHeight="1" thickBot="1">
      <c r="A15" s="1333"/>
      <c r="B15" s="55" t="s">
        <v>46</v>
      </c>
      <c r="C15" s="53" t="s">
        <v>16</v>
      </c>
      <c r="D15" s="54">
        <v>673706</v>
      </c>
      <c r="E15" s="663"/>
      <c r="F15" s="633"/>
      <c r="G15" s="263"/>
      <c r="H15" s="271"/>
      <c r="I15" s="271"/>
      <c r="J15" s="271"/>
      <c r="K15" s="271"/>
      <c r="L15" s="272"/>
      <c r="M15" s="273"/>
      <c r="N15" s="271"/>
      <c r="O15" s="271" t="s">
        <v>161</v>
      </c>
      <c r="P15" s="271"/>
      <c r="Q15" s="271"/>
      <c r="R15" s="271"/>
      <c r="S15" s="634"/>
      <c r="T15" s="635" t="s">
        <v>84</v>
      </c>
      <c r="U15" s="595" t="s">
        <v>84</v>
      </c>
      <c r="V15" s="595" t="s">
        <v>88</v>
      </c>
      <c r="W15" s="595" t="s">
        <v>88</v>
      </c>
      <c r="X15" s="636" t="s">
        <v>88</v>
      </c>
      <c r="Y15" s="271"/>
      <c r="Z15" s="272"/>
      <c r="AA15" s="684" t="s">
        <v>162</v>
      </c>
      <c r="AB15" s="685" t="s">
        <v>81</v>
      </c>
      <c r="AC15" s="326" t="s">
        <v>81</v>
      </c>
      <c r="AD15" s="326" t="s">
        <v>81</v>
      </c>
      <c r="AE15" s="326" t="s">
        <v>81</v>
      </c>
      <c r="AF15" s="738" t="s">
        <v>81</v>
      </c>
      <c r="AG15" s="89" cm="1">
        <f t="array" ref="AG15">SUMPRODUCT(($E$14:$AF$14="HR")*($E$15:$AF$15=""))+SUMPRODUCT(($E$15:$AF$15="HR")*1)</f>
        <v>5</v>
      </c>
      <c r="AH15" s="89" cm="1">
        <f t="array" ref="AH15">SUMPRODUCT(($E$14:$AF$14="N0")*($E$15:$AF$15=""))+SUMPRODUCT(($E$15:$AF$15="N")*1)</f>
        <v>5</v>
      </c>
      <c r="AI15" s="89" cm="1">
        <f t="array" ref="AI15">SUMPRODUCT(($E$14:$AF$14="RD")*($E$15:$AF$15=""))+SUMPRODUCT(($E$15:$AF$15="RD")*1)</f>
        <v>8</v>
      </c>
      <c r="AJ15" s="89" cm="1">
        <f t="array" ref="AJ15">SUMPRODUCT(($E$15:$AF$15="AL")*1)</f>
        <v>5</v>
      </c>
      <c r="AK15" s="89" cm="1">
        <f t="array" ref="AK15">SUMPRODUCT(($E$15:$AF$15="SH")*1)</f>
        <v>3</v>
      </c>
      <c r="AL15" s="89" cm="1">
        <f t="array" ref="AL15">SUMPRODUCT(($E$15:$AF$15="SL")*1)</f>
        <v>0</v>
      </c>
      <c r="AM15" s="140" t="e">
        <f>#REF!-AG15-AH15-AI15-AJ15-AK15-AL15</f>
        <v>#REF!</v>
      </c>
    </row>
    <row r="16" spans="1:39" ht="18" customHeight="1" thickTop="1" thickBot="1">
      <c r="A16" s="1335" t="s">
        <v>99</v>
      </c>
      <c r="B16" s="1330" t="s">
        <v>93</v>
      </c>
      <c r="C16" s="1330"/>
      <c r="D16" s="1330"/>
      <c r="E16" s="637" t="s">
        <v>84</v>
      </c>
      <c r="F16" s="189" t="s">
        <v>95</v>
      </c>
      <c r="G16" s="190" t="s">
        <v>95</v>
      </c>
      <c r="H16" s="190" t="s">
        <v>95</v>
      </c>
      <c r="I16" s="190" t="s">
        <v>95</v>
      </c>
      <c r="J16" s="190" t="s">
        <v>95</v>
      </c>
      <c r="K16" s="191" t="s">
        <v>84</v>
      </c>
      <c r="L16" s="201" t="s">
        <v>84</v>
      </c>
      <c r="M16" s="193" t="s">
        <v>95</v>
      </c>
      <c r="N16" s="190" t="s">
        <v>95</v>
      </c>
      <c r="O16" s="190" t="s">
        <v>95</v>
      </c>
      <c r="P16" s="190" t="s">
        <v>95</v>
      </c>
      <c r="Q16" s="190" t="s">
        <v>95</v>
      </c>
      <c r="R16" s="190" t="s">
        <v>95</v>
      </c>
      <c r="S16" s="638" t="s">
        <v>84</v>
      </c>
      <c r="T16" s="639" t="s">
        <v>95</v>
      </c>
      <c r="U16" s="640" t="s">
        <v>95</v>
      </c>
      <c r="V16" s="640" t="s">
        <v>95</v>
      </c>
      <c r="W16" s="640" t="s">
        <v>95</v>
      </c>
      <c r="X16" s="640" t="s">
        <v>95</v>
      </c>
      <c r="Y16" s="191" t="s">
        <v>84</v>
      </c>
      <c r="Z16" s="201" t="s">
        <v>84</v>
      </c>
      <c r="AA16" s="682" t="s">
        <v>95</v>
      </c>
      <c r="AB16" s="683" t="s">
        <v>95</v>
      </c>
      <c r="AC16" s="190" t="s">
        <v>95</v>
      </c>
      <c r="AD16" s="190" t="s">
        <v>95</v>
      </c>
      <c r="AE16" s="190" t="s">
        <v>95</v>
      </c>
      <c r="AF16" s="739" t="s">
        <v>95</v>
      </c>
      <c r="AG16" s="137" t="s">
        <v>95</v>
      </c>
      <c r="AH16" s="137" t="s">
        <v>38</v>
      </c>
      <c r="AI16" s="138" t="s">
        <v>84</v>
      </c>
      <c r="AJ16" s="137" t="s">
        <v>81</v>
      </c>
      <c r="AK16" s="137" t="s">
        <v>88</v>
      </c>
      <c r="AL16" s="137" t="s">
        <v>96</v>
      </c>
      <c r="AM16" s="139" t="s">
        <v>97</v>
      </c>
    </row>
    <row r="17" spans="1:39" ht="18" customHeight="1">
      <c r="A17" s="1336"/>
      <c r="B17" s="56" t="s">
        <v>100</v>
      </c>
      <c r="C17" s="53" t="s">
        <v>16</v>
      </c>
      <c r="D17" s="54">
        <v>469319</v>
      </c>
      <c r="E17" s="663"/>
      <c r="F17" s="663"/>
      <c r="G17" s="54"/>
      <c r="H17" s="54"/>
      <c r="I17" s="54"/>
      <c r="J17" s="692" t="s">
        <v>163</v>
      </c>
      <c r="K17" s="54"/>
      <c r="L17" s="54"/>
      <c r="M17" s="663"/>
      <c r="N17" s="686" t="s">
        <v>84</v>
      </c>
      <c r="O17" s="54"/>
      <c r="P17" s="695" t="s">
        <v>96</v>
      </c>
      <c r="Q17" s="695" t="s">
        <v>96</v>
      </c>
      <c r="R17" s="54"/>
      <c r="S17" s="54"/>
      <c r="T17" s="575" t="s">
        <v>158</v>
      </c>
      <c r="U17" s="574" t="s">
        <v>88</v>
      </c>
      <c r="V17" s="574" t="s">
        <v>88</v>
      </c>
      <c r="W17" s="366" t="s">
        <v>81</v>
      </c>
      <c r="X17" s="366" t="s">
        <v>81</v>
      </c>
      <c r="Y17" s="54"/>
      <c r="Z17" s="54"/>
      <c r="AA17" s="664" t="s">
        <v>81</v>
      </c>
      <c r="AB17" s="664" t="s">
        <v>81</v>
      </c>
      <c r="AC17" s="54"/>
      <c r="AD17" s="54"/>
      <c r="AE17" s="54"/>
      <c r="AF17" s="740"/>
      <c r="AG17" s="89" cm="1">
        <f t="array" ref="AG17">SUMPRODUCT(($E$16:$AF$16="HR")*($E$17:$AF$17=""))+SUMPRODUCT(($E$17:$AF$17="HR")*1)</f>
        <v>11</v>
      </c>
      <c r="AH17" s="89" cm="1">
        <f t="array" ref="AH17">SUMPRODUCT(($E$16:$AF$16="N0")*($E$17:$AF$17=""))+SUMPRODUCT(($E$17:$AF$17="N")*1)</f>
        <v>0</v>
      </c>
      <c r="AI17" s="89" cm="1">
        <f t="array" ref="AI17">SUMPRODUCT(($E$16:$AF$16="RD")*($E$17:$AF$17=""))+SUMPRODUCT(($E$17:$AF$17="RD")*1)</f>
        <v>7</v>
      </c>
      <c r="AJ17" s="89" cm="1">
        <f t="array" ref="AJ17">SUMPRODUCT(($E$17:$AF$17="AL")*1)</f>
        <v>4</v>
      </c>
      <c r="AK17" s="89" cm="1">
        <f t="array" ref="AK17">SUMPRODUCT(($E$17:$AF$17="SH")*1)</f>
        <v>2</v>
      </c>
      <c r="AL17" s="89" cm="1">
        <f t="array" ref="AL17">SUMPRODUCT(($E$17:$AF$17="SL")*1)</f>
        <v>2</v>
      </c>
      <c r="AM17" s="140" t="e">
        <f>#REF!-AG17-AH17-AI17-AJ17-AK17-AL17</f>
        <v>#REF!</v>
      </c>
    </row>
    <row r="18" spans="1:39" ht="18" customHeight="1">
      <c r="A18" s="1340" t="s">
        <v>101</v>
      </c>
      <c r="B18" s="1343" t="s">
        <v>93</v>
      </c>
      <c r="C18" s="1344"/>
      <c r="D18" s="1345"/>
      <c r="E18" s="174" t="s">
        <v>94</v>
      </c>
      <c r="F18" s="95" t="s">
        <v>94</v>
      </c>
      <c r="G18" s="94" t="s">
        <v>94</v>
      </c>
      <c r="H18" s="94" t="s">
        <v>94</v>
      </c>
      <c r="I18" s="94" t="s">
        <v>94</v>
      </c>
      <c r="J18" s="94" t="s">
        <v>94</v>
      </c>
      <c r="K18" s="134" t="s">
        <v>84</v>
      </c>
      <c r="L18" s="136" t="s">
        <v>84</v>
      </c>
      <c r="M18" s="162" t="s">
        <v>95</v>
      </c>
      <c r="N18" s="160" t="s">
        <v>95</v>
      </c>
      <c r="O18" s="160" t="s">
        <v>95</v>
      </c>
      <c r="P18" s="160" t="s">
        <v>95</v>
      </c>
      <c r="Q18" s="160" t="s">
        <v>95</v>
      </c>
      <c r="R18" s="159" t="s">
        <v>84</v>
      </c>
      <c r="S18" s="579" t="s">
        <v>84</v>
      </c>
      <c r="T18" s="573" t="s">
        <v>94</v>
      </c>
      <c r="U18" s="572" t="s">
        <v>94</v>
      </c>
      <c r="V18" s="572" t="s">
        <v>94</v>
      </c>
      <c r="W18" s="572" t="s">
        <v>94</v>
      </c>
      <c r="X18" s="572" t="s">
        <v>94</v>
      </c>
      <c r="Y18" s="134" t="s">
        <v>84</v>
      </c>
      <c r="Z18" s="92" t="s">
        <v>94</v>
      </c>
      <c r="AA18" s="87" t="s">
        <v>94</v>
      </c>
      <c r="AB18" s="80" t="s">
        <v>94</v>
      </c>
      <c r="AC18" s="80" t="s">
        <v>94</v>
      </c>
      <c r="AD18" s="80" t="s">
        <v>94</v>
      </c>
      <c r="AE18" s="80" t="s">
        <v>94</v>
      </c>
      <c r="AF18" s="741" t="s">
        <v>84</v>
      </c>
      <c r="AG18" s="137" t="s">
        <v>95</v>
      </c>
      <c r="AH18" s="137" t="s">
        <v>38</v>
      </c>
      <c r="AI18" s="138" t="s">
        <v>84</v>
      </c>
      <c r="AJ18" s="137" t="s">
        <v>81</v>
      </c>
      <c r="AK18" s="137" t="s">
        <v>88</v>
      </c>
      <c r="AL18" s="137" t="s">
        <v>96</v>
      </c>
      <c r="AM18" s="139" t="s">
        <v>97</v>
      </c>
    </row>
    <row r="19" spans="1:39" ht="18" customHeight="1">
      <c r="A19" s="1341"/>
      <c r="B19" s="121" t="s">
        <v>14</v>
      </c>
      <c r="C19" s="111" t="s">
        <v>16</v>
      </c>
      <c r="D19" s="112">
        <v>321508</v>
      </c>
      <c r="E19" s="107"/>
      <c r="F19" s="95"/>
      <c r="G19" s="94"/>
      <c r="H19" s="94"/>
      <c r="I19" s="94"/>
      <c r="J19" s="94"/>
      <c r="K19" s="29"/>
      <c r="L19" s="30"/>
      <c r="M19" s="75"/>
      <c r="N19" s="29"/>
      <c r="O19" s="691" t="s">
        <v>83</v>
      </c>
      <c r="P19" s="29" t="s">
        <v>94</v>
      </c>
      <c r="Q19" s="183" t="s">
        <v>84</v>
      </c>
      <c r="R19" s="29"/>
      <c r="S19" s="581"/>
      <c r="T19" s="562" t="s">
        <v>81</v>
      </c>
      <c r="U19" s="560" t="s">
        <v>81</v>
      </c>
      <c r="V19" s="560" t="s">
        <v>81</v>
      </c>
      <c r="W19" s="560" t="s">
        <v>81</v>
      </c>
      <c r="X19" s="560" t="s">
        <v>81</v>
      </c>
      <c r="Y19" s="29"/>
      <c r="Z19" s="30"/>
      <c r="AA19" s="75"/>
      <c r="AB19" s="29"/>
      <c r="AC19" s="29"/>
      <c r="AD19" s="29"/>
      <c r="AE19" s="29"/>
      <c r="AF19" s="742"/>
      <c r="AG19" s="89" cm="1">
        <f t="array" ref="AG19">SUMPRODUCT(($E$18:$AF$18="HR")*(E19:AF19=""))+SUMPRODUCT((E19:AF19="HR")*1)</f>
        <v>2</v>
      </c>
      <c r="AH19" s="89" cm="1">
        <f t="array" ref="AH19">SUMPRODUCT(($E$18:$AF$18="N0")*(E19:AF19=""))+SUMPRODUCT((E19:AF19="N")*1)</f>
        <v>12</v>
      </c>
      <c r="AI19" s="88" cm="1">
        <f t="array" ref="AI19">SUMPRODUCT(($E$18:$AF$18="RD")*(E19:AF19=""))+SUMPRODUCT((E19:AF19="RD")*1)</f>
        <v>7</v>
      </c>
      <c r="AJ19" s="89" cm="1">
        <f t="array" ref="AJ19">SUMPRODUCT((F19:AF19="AL")*1)</f>
        <v>5</v>
      </c>
      <c r="AK19" s="89" cm="1">
        <f t="array" ref="AK19">SUMPRODUCT((F19:AF19="SH")*1)</f>
        <v>0</v>
      </c>
      <c r="AL19" s="89" cm="1">
        <f t="array" ref="AL19">SUMPRODUCT((E19:AF19="SL")*1)</f>
        <v>0</v>
      </c>
      <c r="AM19" s="140" t="e">
        <f>#REF!-AG19-AH19-AI19-AJ19-AK19-AL19</f>
        <v>#REF!</v>
      </c>
    </row>
    <row r="20" spans="1:39" ht="18" customHeight="1">
      <c r="A20" s="1341"/>
      <c r="B20" s="118" t="s">
        <v>102</v>
      </c>
      <c r="C20" s="99" t="s">
        <v>16</v>
      </c>
      <c r="D20" s="103">
        <v>461865</v>
      </c>
      <c r="E20" s="107"/>
      <c r="F20" s="95"/>
      <c r="G20" s="94"/>
      <c r="H20" s="94"/>
      <c r="I20" s="94"/>
      <c r="J20" s="208" t="s">
        <v>96</v>
      </c>
      <c r="K20" s="29"/>
      <c r="L20" s="30"/>
      <c r="M20" s="75"/>
      <c r="N20" s="29"/>
      <c r="O20" s="29"/>
      <c r="P20" s="29"/>
      <c r="R20" s="29" t="s">
        <v>95</v>
      </c>
      <c r="S20" s="581"/>
      <c r="T20" s="562" t="s">
        <v>84</v>
      </c>
      <c r="U20" s="676"/>
      <c r="V20" s="676"/>
      <c r="W20" s="358"/>
      <c r="X20" s="358"/>
      <c r="Y20" s="29"/>
      <c r="Z20" s="30"/>
      <c r="AA20" s="75"/>
      <c r="AB20" s="29"/>
      <c r="AC20" s="29"/>
      <c r="AD20" s="29"/>
      <c r="AE20" s="29"/>
      <c r="AF20" s="742"/>
      <c r="AG20" s="89" cm="1">
        <f t="array" ref="AG20">SUMPRODUCT(($E$18:$AF$18="HR")*(E20:AF20=""))+SUMPRODUCT((E20:AF20="HR")*1)</f>
        <v>6</v>
      </c>
      <c r="AH20" s="89" cm="1">
        <f t="array" ref="AH20">SUMPRODUCT(($E$18:$AF$18="N0")*(E20:AF20=""))+SUMPRODUCT((E20:AF20="N")*1)</f>
        <v>15</v>
      </c>
      <c r="AI20" s="88" cm="1">
        <f t="array" ref="AI20">SUMPRODUCT(($E$18:$AF$18="RD")*(E20:AF20=""))+SUMPRODUCT((E20:AF20="RD")*1)</f>
        <v>6</v>
      </c>
      <c r="AJ20" s="89" cm="1">
        <f t="array" ref="AJ20">SUMPRODUCT((F20:AF20="AL")*1)</f>
        <v>0</v>
      </c>
      <c r="AK20" s="89" cm="1">
        <f t="array" ref="AK20">SUMPRODUCT((F20:AF20="SH")*1)</f>
        <v>0</v>
      </c>
      <c r="AL20" s="89" cm="1">
        <f t="array" ref="AL20">SUMPRODUCT((E20:AF20="SL")*1)</f>
        <v>1</v>
      </c>
      <c r="AM20" s="140" t="e">
        <f>#REF!-AG20-AH20-AI20-AJ20-AK20-AL20</f>
        <v>#REF!</v>
      </c>
    </row>
    <row r="21" spans="1:39" ht="18" customHeight="1">
      <c r="A21" s="1341"/>
      <c r="B21" s="101" t="s">
        <v>41</v>
      </c>
      <c r="C21" s="99" t="s">
        <v>27</v>
      </c>
      <c r="D21" s="103">
        <v>676095</v>
      </c>
      <c r="E21" s="107"/>
      <c r="F21" s="28"/>
      <c r="G21" s="29"/>
      <c r="H21" s="29"/>
      <c r="I21" s="29"/>
      <c r="J21" s="29"/>
      <c r="K21" s="29"/>
      <c r="L21" s="30"/>
      <c r="M21" s="75"/>
      <c r="N21" s="29"/>
      <c r="O21" s="29"/>
      <c r="P21" s="29" t="s">
        <v>108</v>
      </c>
      <c r="Q21" s="29"/>
      <c r="R21" s="29"/>
      <c r="S21" s="581"/>
      <c r="T21" s="562" t="s">
        <v>158</v>
      </c>
      <c r="U21" s="676"/>
      <c r="V21" s="676"/>
      <c r="W21" s="358"/>
      <c r="X21" s="358"/>
      <c r="Y21" s="29"/>
      <c r="Z21" s="30"/>
      <c r="AA21" s="75"/>
      <c r="AB21" s="29"/>
      <c r="AC21" s="29"/>
      <c r="AD21" s="29"/>
      <c r="AE21" s="29"/>
      <c r="AF21" s="742"/>
      <c r="AG21" s="89" cm="1">
        <f t="array" ref="AG21">SUMPRODUCT(($E$18:$AF$18="HR")*(E21:AF21=""))+SUMPRODUCT((E21:AF21="HR")*1)</f>
        <v>4</v>
      </c>
      <c r="AH21" s="89" cm="1">
        <f t="array" ref="AH21">SUMPRODUCT(($E$18:$AF$18="N0")*(E21:AF21=""))+SUMPRODUCT((E21:AF21="N")*1)</f>
        <v>16</v>
      </c>
      <c r="AI21" s="88" cm="1">
        <f t="array" ref="AI21">SUMPRODUCT(($E$18:$AF$18="RD")*(E21:AF21=""))+SUMPRODUCT((E21:AF21="RD")*1)</f>
        <v>6</v>
      </c>
      <c r="AJ21" s="89" cm="1">
        <f t="array" ref="AJ21">SUMPRODUCT((F21:AF21="AL")*1)</f>
        <v>0</v>
      </c>
      <c r="AK21" s="89" cm="1">
        <f t="array" ref="AK21">SUMPRODUCT((F21:AF21="SH")*1)</f>
        <v>0</v>
      </c>
      <c r="AL21" s="89" cm="1">
        <f t="array" ref="AL21">SUMPRODUCT((E21:AF21="SL")*1)</f>
        <v>0</v>
      </c>
      <c r="AM21" s="140" t="e">
        <f>#REF!-AG21-AH21-AI21-AJ21-AK21-AL21</f>
        <v>#REF!</v>
      </c>
    </row>
    <row r="22" spans="1:39" ht="18" customHeight="1">
      <c r="A22" s="1341"/>
      <c r="B22" s="118" t="s">
        <v>104</v>
      </c>
      <c r="C22" s="99" t="s">
        <v>27</v>
      </c>
      <c r="D22" s="103">
        <v>681383</v>
      </c>
      <c r="E22" s="187" t="s">
        <v>88</v>
      </c>
      <c r="F22" s="184" t="s">
        <v>88</v>
      </c>
      <c r="G22" s="183" t="s">
        <v>88</v>
      </c>
      <c r="H22" s="183" t="s">
        <v>88</v>
      </c>
      <c r="I22" s="183" t="s">
        <v>81</v>
      </c>
      <c r="J22" s="183" t="s">
        <v>81</v>
      </c>
      <c r="K22" s="29"/>
      <c r="L22" s="30"/>
      <c r="M22" s="186" t="s">
        <v>88</v>
      </c>
      <c r="N22" s="29"/>
      <c r="O22" s="29" t="s">
        <v>107</v>
      </c>
      <c r="P22" s="29" t="s">
        <v>107</v>
      </c>
      <c r="Q22" s="29" t="s">
        <v>107</v>
      </c>
      <c r="R22" s="29"/>
      <c r="S22" s="581"/>
      <c r="T22" s="562" t="s">
        <v>158</v>
      </c>
      <c r="U22" s="676"/>
      <c r="V22" s="676"/>
      <c r="X22" s="560" t="s">
        <v>88</v>
      </c>
      <c r="Y22" s="29"/>
      <c r="Z22" s="30"/>
      <c r="AA22" s="75"/>
      <c r="AB22" s="29"/>
      <c r="AC22" s="29"/>
      <c r="AD22" s="29"/>
      <c r="AE22" s="29"/>
      <c r="AF22" s="742"/>
      <c r="AG22" s="89" cm="1">
        <f t="array" ref="AG22">SUMPRODUCT(($E$18:$AF$18="HR")*(E22:AF22=""))+SUMPRODUCT((E22:AF22="HR")*1)</f>
        <v>1</v>
      </c>
      <c r="AH22" s="89" cm="1">
        <f t="array" ref="AH22">SUMPRODUCT(($E$18:$AF$18="N0")*(E22:AF22=""))+SUMPRODUCT((E22:AF22="N")*1)</f>
        <v>9</v>
      </c>
      <c r="AI22" s="88" cm="1">
        <f t="array" ref="AI22">SUMPRODUCT(($E$18:$AF$18="RD")*(E22:AF22=""))+SUMPRODUCT((E22:AF22="RD")*1)</f>
        <v>6</v>
      </c>
      <c r="AJ22" s="89" cm="1">
        <f t="array" ref="AJ22">SUMPRODUCT((F22:AF22="AL")*1)</f>
        <v>2</v>
      </c>
      <c r="AK22" s="89" cm="1">
        <f t="array" ref="AK22">SUMPRODUCT((F22:AF22="SH")*1)</f>
        <v>5</v>
      </c>
      <c r="AL22" s="89" cm="1">
        <f t="array" ref="AL22">SUMPRODUCT((E22:AF22="SL")*1)</f>
        <v>0</v>
      </c>
      <c r="AM22" s="140" t="e">
        <f>#REF!-AG22-AH22-AI22-AJ22-AK22-AL22</f>
        <v>#REF!</v>
      </c>
    </row>
    <row r="23" spans="1:39" ht="18" customHeight="1">
      <c r="A23" s="1341"/>
      <c r="B23" s="100" t="s">
        <v>30</v>
      </c>
      <c r="C23" s="99" t="s">
        <v>32</v>
      </c>
      <c r="D23" s="103">
        <v>679417</v>
      </c>
      <c r="E23" s="107"/>
      <c r="F23" s="28"/>
      <c r="G23" s="29"/>
      <c r="H23" s="29"/>
      <c r="I23" s="29"/>
      <c r="J23" s="29"/>
      <c r="K23" s="29"/>
      <c r="L23" s="30"/>
      <c r="M23" s="75"/>
      <c r="N23" s="29" t="s">
        <v>140</v>
      </c>
      <c r="O23" s="208" t="s">
        <v>96</v>
      </c>
      <c r="P23" s="29"/>
      <c r="Q23" s="29"/>
      <c r="R23" s="29"/>
      <c r="S23" s="581"/>
      <c r="T23" s="568" t="s">
        <v>158</v>
      </c>
      <c r="U23" s="676"/>
      <c r="V23" s="676"/>
      <c r="W23" s="358"/>
      <c r="X23" s="358"/>
      <c r="Y23" s="29"/>
      <c r="Z23" s="30"/>
      <c r="AA23" s="75"/>
      <c r="AB23" s="29"/>
      <c r="AC23" s="29"/>
      <c r="AD23" s="208" t="s">
        <v>96</v>
      </c>
      <c r="AE23" s="208" t="s">
        <v>96</v>
      </c>
      <c r="AF23" s="742"/>
      <c r="AG23" s="89" cm="1">
        <f t="array" ref="AG23">SUMPRODUCT(($E$18:$AF$18="HR")*(E23:AF23=""))+SUMPRODUCT((E23:AF23="HR")*1)</f>
        <v>3</v>
      </c>
      <c r="AH23" s="89" cm="1">
        <f t="array" ref="AH23">SUMPRODUCT(($E$18:$AF$18="N0")*(E23:AF23=""))+SUMPRODUCT((E23:AF23="N")*1)</f>
        <v>14</v>
      </c>
      <c r="AI23" s="88" cm="1">
        <f t="array" ref="AI23">SUMPRODUCT(($E$18:$AF$18="RD")*(E23:AF23=""))+SUMPRODUCT((E23:AF23="RD")*1)</f>
        <v>6</v>
      </c>
      <c r="AJ23" s="89" cm="1">
        <f t="array" ref="AJ23">SUMPRODUCT((F23:AF23="AL")*1)</f>
        <v>0</v>
      </c>
      <c r="AK23" s="89" cm="1">
        <f t="array" ref="AK23">SUMPRODUCT((F23:AF23="SH")*1)</f>
        <v>0</v>
      </c>
      <c r="AL23" s="89" cm="1">
        <f t="array" ref="AL23">SUMPRODUCT((E23:AF23="SL")*1)</f>
        <v>3</v>
      </c>
      <c r="AM23" s="140" t="e">
        <f>#REF!-AG23-AH23-AI23-AJ23-AK23-AL23</f>
        <v>#REF!</v>
      </c>
    </row>
    <row r="24" spans="1:39" ht="18" customHeight="1">
      <c r="A24" s="1342"/>
      <c r="B24" s="119" t="s">
        <v>48</v>
      </c>
      <c r="C24" s="106" t="s">
        <v>27</v>
      </c>
      <c r="D24" s="157">
        <v>684061</v>
      </c>
      <c r="E24" s="641" t="s">
        <v>84</v>
      </c>
      <c r="F24" s="247" t="s">
        <v>124</v>
      </c>
      <c r="G24" s="244" t="s">
        <v>124</v>
      </c>
      <c r="H24" s="244"/>
      <c r="I24" s="244"/>
      <c r="J24" s="244"/>
      <c r="K24" s="244"/>
      <c r="L24" s="248"/>
      <c r="M24" s="689" t="s">
        <v>96</v>
      </c>
      <c r="N24" s="690" t="s">
        <v>96</v>
      </c>
      <c r="O24" s="244"/>
      <c r="P24" s="244"/>
      <c r="Q24" s="244"/>
      <c r="R24" s="244"/>
      <c r="S24" s="642"/>
      <c r="T24" s="643" t="s">
        <v>158</v>
      </c>
      <c r="U24" s="677"/>
      <c r="V24" s="677"/>
      <c r="W24" s="632"/>
      <c r="X24" s="632"/>
      <c r="Y24" s="244"/>
      <c r="Z24" s="248"/>
      <c r="AA24" s="249"/>
      <c r="AB24" s="244"/>
      <c r="AC24" s="244"/>
      <c r="AD24" s="244"/>
      <c r="AE24" s="244"/>
      <c r="AF24" s="743"/>
      <c r="AG24" s="89" cm="1">
        <f t="array" ref="AG24">SUMPRODUCT(($E$18:$AF$18="HR")*(E24:AF24=""))+SUMPRODUCT((E24:AF24="HR")*1)</f>
        <v>3</v>
      </c>
      <c r="AH24" s="89" cm="1">
        <f t="array" ref="AH24">SUMPRODUCT(($E$18:$AF$18="N0")*(E24:AF24=""))+SUMPRODUCT((E24:AF24="N")*1)</f>
        <v>13</v>
      </c>
      <c r="AI24" s="88" cm="1">
        <f t="array" ref="AI24">SUMPRODUCT(($E$18:$AF$18="RD")*(E24:AF24=""))+SUMPRODUCT((E24:AF24="RD")*1)</f>
        <v>7</v>
      </c>
      <c r="AJ24" s="89" cm="1">
        <f t="array" ref="AJ24">SUMPRODUCT((F24:AF24="AL")*1)</f>
        <v>0</v>
      </c>
      <c r="AK24" s="89" cm="1">
        <f t="array" ref="AK24">SUMPRODUCT((F24:AF24="SH")*1)</f>
        <v>0</v>
      </c>
      <c r="AL24" s="89" cm="1">
        <f t="array" ref="AL24">SUMPRODUCT((E24:AF24="SL")*1)</f>
        <v>2</v>
      </c>
      <c r="AM24" s="140" t="e">
        <f>#REF!-AG24-AH24-AI24-AJ24-AK24-AL24</f>
        <v>#REF!</v>
      </c>
    </row>
    <row r="25" spans="1:39" ht="18" customHeight="1">
      <c r="A25" s="1337" t="s">
        <v>109</v>
      </c>
      <c r="B25" s="1329" t="s">
        <v>110</v>
      </c>
      <c r="C25" s="1330"/>
      <c r="D25" s="1330"/>
      <c r="E25" s="367" t="s">
        <v>94</v>
      </c>
      <c r="F25" s="199" t="s">
        <v>94</v>
      </c>
      <c r="G25" s="200" t="s">
        <v>94</v>
      </c>
      <c r="H25" s="200" t="s">
        <v>94</v>
      </c>
      <c r="I25" s="200" t="s">
        <v>94</v>
      </c>
      <c r="J25" s="200" t="s">
        <v>94</v>
      </c>
      <c r="K25" s="196" t="s">
        <v>84</v>
      </c>
      <c r="L25" s="202" t="s">
        <v>94</v>
      </c>
      <c r="M25" s="203" t="s">
        <v>94</v>
      </c>
      <c r="N25" s="200" t="s">
        <v>94</v>
      </c>
      <c r="O25" s="200" t="s">
        <v>94</v>
      </c>
      <c r="P25" s="200" t="s">
        <v>94</v>
      </c>
      <c r="Q25" s="200" t="s">
        <v>94</v>
      </c>
      <c r="R25" s="196" t="s">
        <v>84</v>
      </c>
      <c r="S25" s="571" t="s">
        <v>84</v>
      </c>
      <c r="T25" s="570" t="s">
        <v>95</v>
      </c>
      <c r="U25" s="569" t="s">
        <v>95</v>
      </c>
      <c r="V25" s="569" t="s">
        <v>95</v>
      </c>
      <c r="W25" s="569" t="s">
        <v>95</v>
      </c>
      <c r="X25" s="569" t="s">
        <v>95</v>
      </c>
      <c r="Y25" s="196" t="s">
        <v>84</v>
      </c>
      <c r="Z25" s="197" t="s">
        <v>84</v>
      </c>
      <c r="AA25" s="203" t="s">
        <v>94</v>
      </c>
      <c r="AB25" s="200" t="s">
        <v>94</v>
      </c>
      <c r="AC25" s="200" t="s">
        <v>94</v>
      </c>
      <c r="AD25" s="200" t="s">
        <v>94</v>
      </c>
      <c r="AE25" s="200" t="s">
        <v>94</v>
      </c>
      <c r="AF25" s="197" t="s">
        <v>84</v>
      </c>
      <c r="AG25" s="137" t="s">
        <v>95</v>
      </c>
      <c r="AH25" s="137" t="s">
        <v>38</v>
      </c>
      <c r="AI25" s="138" t="s">
        <v>84</v>
      </c>
      <c r="AJ25" s="137" t="s">
        <v>81</v>
      </c>
      <c r="AK25" s="137" t="s">
        <v>88</v>
      </c>
      <c r="AL25" s="137" t="s">
        <v>96</v>
      </c>
      <c r="AM25" s="139" t="s">
        <v>97</v>
      </c>
    </row>
    <row r="26" spans="1:39" ht="18" customHeight="1">
      <c r="A26" s="1338"/>
      <c r="B26" s="601" t="s">
        <v>111</v>
      </c>
      <c r="C26" s="27" t="s">
        <v>16</v>
      </c>
      <c r="D26" s="21">
        <v>265691</v>
      </c>
      <c r="E26" s="107"/>
      <c r="F26" s="95"/>
      <c r="G26" s="94"/>
      <c r="H26" s="94"/>
      <c r="I26" s="94"/>
      <c r="J26" s="94"/>
      <c r="K26" s="29"/>
      <c r="L26" s="30"/>
      <c r="M26" s="75"/>
      <c r="N26" s="29"/>
      <c r="O26" s="29"/>
      <c r="P26" s="29"/>
      <c r="Q26" s="29"/>
      <c r="R26" s="29"/>
      <c r="S26" s="581"/>
      <c r="T26" s="580"/>
      <c r="U26" s="560" t="s">
        <v>158</v>
      </c>
      <c r="V26" s="560" t="s">
        <v>88</v>
      </c>
      <c r="W26" s="560" t="s">
        <v>88</v>
      </c>
      <c r="X26" s="560" t="s">
        <v>88</v>
      </c>
      <c r="Y26" s="29"/>
      <c r="Z26" s="30"/>
      <c r="AA26" s="75"/>
      <c r="AB26" s="29"/>
      <c r="AC26" s="29"/>
      <c r="AD26" s="29"/>
      <c r="AE26" s="29"/>
      <c r="AF26" s="30"/>
      <c r="AG26" s="89" cm="1">
        <f t="array" ref="AG26">SUMPRODUCT(($E$25:$AF$25="HR")*(E26:AF26=""))+SUMPRODUCT((E26:AF26="HR")*1)</f>
        <v>1</v>
      </c>
      <c r="AH26" s="89" cm="1">
        <f t="array" ref="AH26">SUMPRODUCT(($E$25:$AF$25="N0")*(E26:AF26=""))+SUMPRODUCT((E26:AF26="N")*1)</f>
        <v>17</v>
      </c>
      <c r="AI26" s="88" cm="1">
        <f t="array" ref="AI26">SUMPRODUCT(($E$25:$AF$25="RD")*(E26:AF26=""))+SUMPRODUCT((E26:AF26="RD")*1)</f>
        <v>6</v>
      </c>
      <c r="AJ26" s="89" cm="1">
        <f t="array" ref="AJ26">SUMPRODUCT((F26:AF26="AL")*1)</f>
        <v>0</v>
      </c>
      <c r="AK26" s="89" cm="1">
        <f t="array" ref="AK26">SUMPRODUCT((F26:AF26="SH")*1)</f>
        <v>3</v>
      </c>
      <c r="AL26" s="89" cm="1">
        <f t="array" ref="AL26">SUMPRODUCT((E26:AF26="SL")*1)</f>
        <v>0</v>
      </c>
      <c r="AM26" s="140" t="e">
        <f>#REF!-AG26-AH26-AI26-AJ26-AK26-AL26</f>
        <v>#REF!</v>
      </c>
    </row>
    <row r="27" spans="1:39" ht="18" customHeight="1">
      <c r="A27" s="1338"/>
      <c r="B27" s="602" t="s">
        <v>113</v>
      </c>
      <c r="C27" s="16" t="s">
        <v>16</v>
      </c>
      <c r="D27" s="22">
        <v>422401</v>
      </c>
      <c r="E27" s="107"/>
      <c r="F27" s="95"/>
      <c r="G27" s="94"/>
      <c r="H27" s="94"/>
      <c r="I27" s="94"/>
      <c r="J27" s="94"/>
      <c r="K27" s="29"/>
      <c r="L27" s="30"/>
      <c r="M27" s="75"/>
      <c r="N27" s="29"/>
      <c r="O27" s="29"/>
      <c r="P27" s="183"/>
      <c r="Q27" s="183" t="s">
        <v>88</v>
      </c>
      <c r="R27" s="29"/>
      <c r="S27" s="581"/>
      <c r="T27" s="568" t="s">
        <v>81</v>
      </c>
      <c r="U27" s="560" t="s">
        <v>81</v>
      </c>
      <c r="V27" s="560" t="s">
        <v>81</v>
      </c>
      <c r="W27" s="560" t="s">
        <v>81</v>
      </c>
      <c r="X27" s="560" t="s">
        <v>81</v>
      </c>
      <c r="Y27" s="29"/>
      <c r="Z27" s="30"/>
      <c r="AA27" s="75"/>
      <c r="AB27" s="29"/>
      <c r="AC27" s="29"/>
      <c r="AD27" s="29"/>
      <c r="AE27" s="29"/>
      <c r="AF27" s="30"/>
      <c r="AG27" s="89" cm="1">
        <f t="array" ref="AG27">SUMPRODUCT(($E$25:$AF$25="HR")*(E27:AF27=""))+SUMPRODUCT((E27:AF27="HR")*1)</f>
        <v>0</v>
      </c>
      <c r="AH27" s="89" cm="1">
        <f t="array" ref="AH27">SUMPRODUCT(($E$25:$AF$25="N0")*(E27:AF27=""))+SUMPRODUCT((E27:AF27="N")*1)</f>
        <v>16</v>
      </c>
      <c r="AI27" s="88" cm="1">
        <f t="array" ref="AI27">SUMPRODUCT(($E$25:$AF$25="RD")*(E27:AF27=""))+SUMPRODUCT((E27:AF27="RD")*1)</f>
        <v>6</v>
      </c>
      <c r="AJ27" s="89" cm="1">
        <f t="array" ref="AJ27">SUMPRODUCT((F27:AF27="AL")*1)</f>
        <v>5</v>
      </c>
      <c r="AK27" s="89" cm="1">
        <f t="array" ref="AK27">SUMPRODUCT((F27:AF27="SH")*1)</f>
        <v>1</v>
      </c>
      <c r="AL27" s="89" cm="1">
        <f t="array" ref="AL27">SUMPRODUCT((E27:AF27="SL")*1)</f>
        <v>0</v>
      </c>
      <c r="AM27" s="140" t="e">
        <f>#REF!-AG27-AH27-AI27-AJ27-AK27-AL27</f>
        <v>#REF!</v>
      </c>
    </row>
    <row r="28" spans="1:39" ht="18" customHeight="1">
      <c r="A28" s="1338"/>
      <c r="B28" s="603" t="s">
        <v>29</v>
      </c>
      <c r="C28" s="16" t="s">
        <v>27</v>
      </c>
      <c r="D28" s="22">
        <v>679365</v>
      </c>
      <c r="E28" s="107"/>
      <c r="F28" s="28"/>
      <c r="G28" s="29"/>
      <c r="H28" s="29"/>
      <c r="I28" s="29"/>
      <c r="J28" s="29"/>
      <c r="K28" s="29"/>
      <c r="L28" s="185" t="s">
        <v>88</v>
      </c>
      <c r="M28" s="186" t="s">
        <v>88</v>
      </c>
      <c r="N28" s="183" t="s">
        <v>88</v>
      </c>
      <c r="O28" s="183" t="s">
        <v>88</v>
      </c>
      <c r="P28" s="183" t="s">
        <v>88</v>
      </c>
      <c r="Q28" s="183" t="s">
        <v>88</v>
      </c>
      <c r="R28" s="29"/>
      <c r="S28" s="581"/>
      <c r="T28" s="580"/>
      <c r="U28" s="676" t="s">
        <v>94</v>
      </c>
      <c r="V28" s="676" t="s">
        <v>94</v>
      </c>
      <c r="W28" s="358" t="s">
        <v>94</v>
      </c>
      <c r="X28" s="358" t="s">
        <v>94</v>
      </c>
      <c r="Y28" s="29"/>
      <c r="Z28" s="30"/>
      <c r="AA28" s="75"/>
      <c r="AB28" s="29"/>
      <c r="AC28" s="29"/>
      <c r="AD28" s="29"/>
      <c r="AE28" s="29"/>
      <c r="AF28" s="30"/>
      <c r="AG28" s="89" cm="1">
        <f t="array" ref="AG28">SUMPRODUCT(($E$25:$AF$25="HR")*(E28:AF28=""))+SUMPRODUCT((E28:AF28="HR")*1)</f>
        <v>1</v>
      </c>
      <c r="AH28" s="89" cm="1">
        <f t="array" ref="AH28">SUMPRODUCT(($E$25:$AF$25="N0")*(E28:AF28=""))+SUMPRODUCT((E28:AF28="N")*1)</f>
        <v>11</v>
      </c>
      <c r="AI28" s="88" cm="1">
        <f t="array" ref="AI28">SUMPRODUCT(($E$25:$AF$25="RD")*(E28:AF28=""))+SUMPRODUCT((E28:AF28="RD")*1)</f>
        <v>6</v>
      </c>
      <c r="AJ28" s="89" cm="1">
        <f t="array" ref="AJ28">SUMPRODUCT((F28:AF28="AL")*1)</f>
        <v>0</v>
      </c>
      <c r="AK28" s="89" cm="1">
        <f t="array" ref="AK28">SUMPRODUCT((F28:AF28="SH")*1)</f>
        <v>6</v>
      </c>
      <c r="AL28" s="89" cm="1">
        <f t="array" ref="AL28">SUMPRODUCT((E28:AF28="SL")*1)</f>
        <v>0</v>
      </c>
      <c r="AM28" s="140" t="e">
        <f>#REF!-AG28-AH28-AI28-AJ28-AK28-AL28</f>
        <v>#REF!</v>
      </c>
    </row>
    <row r="29" spans="1:39" ht="18" customHeight="1">
      <c r="A29" s="1338"/>
      <c r="B29" s="603" t="s">
        <v>114</v>
      </c>
      <c r="C29" s="16" t="s">
        <v>27</v>
      </c>
      <c r="D29" s="22">
        <v>680682</v>
      </c>
      <c r="E29" s="107"/>
      <c r="F29" s="28"/>
      <c r="G29" s="29"/>
      <c r="H29" s="29"/>
      <c r="I29" s="29"/>
      <c r="J29" s="29"/>
      <c r="K29" s="29"/>
      <c r="L29" s="185" t="s">
        <v>88</v>
      </c>
      <c r="M29" s="186" t="s">
        <v>88</v>
      </c>
      <c r="N29" s="183" t="s">
        <v>88</v>
      </c>
      <c r="O29" s="183" t="s">
        <v>88</v>
      </c>
      <c r="P29" s="183" t="s">
        <v>88</v>
      </c>
      <c r="Q29" s="183" t="s">
        <v>88</v>
      </c>
      <c r="R29" s="29"/>
      <c r="S29" s="581"/>
      <c r="T29" s="580"/>
      <c r="U29" s="676" t="s">
        <v>94</v>
      </c>
      <c r="V29" s="676" t="s">
        <v>94</v>
      </c>
      <c r="W29" s="560" t="s">
        <v>81</v>
      </c>
      <c r="X29" s="358" t="s">
        <v>140</v>
      </c>
      <c r="Y29" s="29"/>
      <c r="Z29" s="30"/>
      <c r="AA29" s="75"/>
      <c r="AB29" s="29"/>
      <c r="AC29" s="29"/>
      <c r="AD29" s="29"/>
      <c r="AE29" s="29"/>
      <c r="AF29" s="30"/>
      <c r="AG29" s="89" cm="1">
        <f t="array" ref="AG29">SUMPRODUCT(($E$25:$AF$25="HR")*(E29:AF29=""))+SUMPRODUCT((E29:AF29="HR")*1)</f>
        <v>1</v>
      </c>
      <c r="AH29" s="89" cm="1">
        <f t="array" ref="AH29">SUMPRODUCT(($E$25:$AF$25="N0")*(E29:AF29=""))+SUMPRODUCT((E29:AF29="N")*1)</f>
        <v>11</v>
      </c>
      <c r="AI29" s="88" cm="1">
        <f t="array" ref="AI29">SUMPRODUCT(($E$25:$AF$25="RD")*(E29:AF29=""))+SUMPRODUCT((E29:AF29="RD")*1)</f>
        <v>6</v>
      </c>
      <c r="AJ29" s="89" cm="1">
        <f t="array" ref="AJ29">SUMPRODUCT((F29:AF29="AL")*1)</f>
        <v>1</v>
      </c>
      <c r="AK29" s="89" cm="1">
        <f t="array" ref="AK29">SUMPRODUCT((F29:AF29="SH")*1)</f>
        <v>6</v>
      </c>
      <c r="AL29" s="89" cm="1">
        <f t="array" ref="AL29">SUMPRODUCT((E29:AF29="SL")*1)</f>
        <v>0</v>
      </c>
      <c r="AM29" s="140" t="e">
        <f>#REF!-AG29-AH29-AI29-AJ29-AK29-AL29</f>
        <v>#REF!</v>
      </c>
    </row>
    <row r="30" spans="1:39" ht="18" customHeight="1">
      <c r="A30" s="1338"/>
      <c r="B30" s="604" t="s">
        <v>52</v>
      </c>
      <c r="C30" s="318" t="s">
        <v>27</v>
      </c>
      <c r="D30" s="319">
        <v>678954</v>
      </c>
      <c r="E30" s="107"/>
      <c r="F30" s="28"/>
      <c r="G30" s="29"/>
      <c r="H30" s="29"/>
      <c r="I30" s="29"/>
      <c r="J30" s="208" t="s">
        <v>96</v>
      </c>
      <c r="K30" s="29"/>
      <c r="L30" s="30"/>
      <c r="M30" s="75"/>
      <c r="N30" s="29"/>
      <c r="O30" s="29"/>
      <c r="P30" s="29"/>
      <c r="Q30" s="29"/>
      <c r="R30" s="29"/>
      <c r="S30" s="581"/>
      <c r="T30" s="568" t="s">
        <v>158</v>
      </c>
      <c r="U30" s="560" t="s">
        <v>158</v>
      </c>
      <c r="V30" s="560" t="s">
        <v>81</v>
      </c>
      <c r="W30" s="560" t="s">
        <v>81</v>
      </c>
      <c r="X30" s="560" t="s">
        <v>81</v>
      </c>
      <c r="Y30" s="29"/>
      <c r="Z30" s="30"/>
      <c r="AA30" s="75"/>
      <c r="AB30" s="29"/>
      <c r="AC30" s="29"/>
      <c r="AD30" s="29"/>
      <c r="AE30" s="29"/>
      <c r="AF30" s="30"/>
      <c r="AG30" s="89" cm="1">
        <f t="array" ref="AG30">SUMPRODUCT(($E$25:$AF$25="HR")*(E30:AF30=""))+SUMPRODUCT((E30:AF30="HR")*1)</f>
        <v>0</v>
      </c>
      <c r="AH30" s="89" cm="1">
        <f t="array" ref="AH30">SUMPRODUCT(($E$25:$AF$25="N0")*(E30:AF30=""))+SUMPRODUCT((E30:AF30="N")*1)</f>
        <v>16</v>
      </c>
      <c r="AI30" s="88" cm="1">
        <f t="array" ref="AI30">SUMPRODUCT(($E$25:$AF$25="RD")*(E30:AF30=""))+SUMPRODUCT((E30:AF30="RD")*1)</f>
        <v>6</v>
      </c>
      <c r="AJ30" s="89" cm="1">
        <f t="array" ref="AJ30">SUMPRODUCT((F30:AF30="AL")*1)</f>
        <v>3</v>
      </c>
      <c r="AK30" s="89" cm="1">
        <f t="array" ref="AK30">SUMPRODUCT((F30:AF30="SH")*1)</f>
        <v>0</v>
      </c>
      <c r="AL30" s="89" cm="1">
        <f t="array" ref="AL30">SUMPRODUCT((E30:AF30="SL")*1)</f>
        <v>1</v>
      </c>
      <c r="AM30" s="140" t="e">
        <f>#REF!-AG30-AH30-AI30-AJ30-AK30-AL30</f>
        <v>#REF!</v>
      </c>
    </row>
    <row r="31" spans="1:39" ht="17.25" customHeight="1">
      <c r="A31" s="1338"/>
      <c r="B31" s="605" t="s">
        <v>51</v>
      </c>
      <c r="C31" s="111" t="s">
        <v>32</v>
      </c>
      <c r="D31" s="600">
        <v>685750</v>
      </c>
      <c r="E31" s="596"/>
      <c r="F31" s="316"/>
      <c r="G31" s="330"/>
      <c r="H31" s="330"/>
      <c r="I31" s="330"/>
      <c r="J31" s="330"/>
      <c r="K31" s="330"/>
      <c r="L31" s="331"/>
      <c r="M31" s="332"/>
      <c r="N31" s="330"/>
      <c r="O31" s="330"/>
      <c r="P31" s="330"/>
      <c r="Q31" s="330"/>
      <c r="R31" s="330"/>
      <c r="S31" s="597"/>
      <c r="T31" s="598" t="s">
        <v>158</v>
      </c>
      <c r="U31" s="599" t="s">
        <v>88</v>
      </c>
      <c r="V31" s="599" t="s">
        <v>88</v>
      </c>
      <c r="W31" s="599" t="s">
        <v>88</v>
      </c>
      <c r="X31" s="599" t="s">
        <v>88</v>
      </c>
      <c r="Y31" s="330"/>
      <c r="Z31" s="331"/>
      <c r="AA31" s="332"/>
      <c r="AB31" s="330"/>
      <c r="AC31" s="330"/>
      <c r="AD31" s="330"/>
      <c r="AE31" s="330"/>
      <c r="AF31" s="331"/>
      <c r="AG31" s="89" cm="1">
        <f t="array" ref="AG31">SUMPRODUCT(($E$25:$AF$25="HR")*(E31:AF31=""))+SUMPRODUCT((E31:AF31="HR")*1)</f>
        <v>0</v>
      </c>
      <c r="AH31" s="89" cm="1">
        <f t="array" ref="AH31">SUMPRODUCT(($E$25:$AF$25="N0")*(E31:AF31=""))+SUMPRODUCT((E31:AF31="N")*1)</f>
        <v>17</v>
      </c>
      <c r="AI31" s="88" cm="1">
        <f t="array" ref="AI31">SUMPRODUCT(($E$25:$AF$25="RD")*(E31:AF31=""))+SUMPRODUCT((E31:AF31="RD")*1)</f>
        <v>6</v>
      </c>
      <c r="AJ31" s="89" cm="1">
        <f t="array" ref="AJ31">SUMPRODUCT((F31:AF31="AL")*1)</f>
        <v>0</v>
      </c>
      <c r="AK31" s="89" cm="1">
        <f t="array" ref="AK31">SUMPRODUCT((F31:AF31="SH")*1)</f>
        <v>4</v>
      </c>
      <c r="AL31" s="89" cm="1">
        <f t="array" ref="AL31">SUMPRODUCT((E31:AF31="SL")*1)</f>
        <v>0</v>
      </c>
      <c r="AM31" s="140" t="e">
        <f>#REF!-AG31-AH31-AI31-AJ31-AK31-AL31</f>
        <v>#REF!</v>
      </c>
    </row>
    <row r="32" spans="1:39" ht="18" customHeight="1">
      <c r="A32" s="1339"/>
      <c r="B32" s="606" t="s">
        <v>116</v>
      </c>
      <c r="C32" s="122" t="s">
        <v>55</v>
      </c>
      <c r="D32" s="158">
        <v>682089</v>
      </c>
      <c r="E32" s="644"/>
      <c r="F32" s="645"/>
      <c r="G32" s="646"/>
      <c r="H32" s="646"/>
      <c r="I32" s="646"/>
      <c r="J32" s="646"/>
      <c r="K32" s="646"/>
      <c r="L32" s="647"/>
      <c r="M32" s="648"/>
      <c r="N32" s="646"/>
      <c r="O32" s="646"/>
      <c r="P32" s="646"/>
      <c r="Q32" s="646"/>
      <c r="R32" s="649"/>
      <c r="S32" s="650"/>
      <c r="T32" s="651" t="s">
        <v>158</v>
      </c>
      <c r="U32" s="652" t="s">
        <v>158</v>
      </c>
      <c r="V32" s="652" t="s">
        <v>88</v>
      </c>
      <c r="W32" s="652" t="s">
        <v>81</v>
      </c>
      <c r="X32" s="652" t="s">
        <v>81</v>
      </c>
      <c r="Y32" s="646"/>
      <c r="Z32" s="647"/>
      <c r="AA32" s="648"/>
      <c r="AB32" s="646"/>
      <c r="AC32" s="646"/>
      <c r="AD32" s="646"/>
      <c r="AE32" s="646"/>
      <c r="AF32" s="647"/>
      <c r="AG32" s="89" cm="1">
        <f t="array" ref="AG32">SUMPRODUCT(($E$33:$AF$33="HR")*(E32:AF32=""))+SUMPRODUCT((E32:AF32="HR")*1)</f>
        <v>5</v>
      </c>
      <c r="AH32" s="89" cm="1">
        <f t="array" ref="AH32">SUMPRODUCT(($E$33:$AF$33="N0")*(E32:AF32=""))+SUMPRODUCT((E32:AF32="N")*1)</f>
        <v>12</v>
      </c>
      <c r="AI32" s="88" cm="1">
        <f t="array" ref="AI32">SUMPRODUCT(($E$33:$AF$33="RD")*(E32:AF32=""))+SUMPRODUCT((E32:AF32="RD")*1)</f>
        <v>6</v>
      </c>
      <c r="AJ32" s="89" cm="1">
        <f t="array" ref="AJ32">SUMPRODUCT((F32:AF32="AL")*1)</f>
        <v>2</v>
      </c>
      <c r="AK32" s="89" cm="1">
        <f t="array" ref="AK32">SUMPRODUCT((F32:AF32="SH")*1)</f>
        <v>1</v>
      </c>
      <c r="AL32" s="89" cm="1">
        <f t="array" ref="AL32">SUMPRODUCT((E32:AF32="SL")*1)</f>
        <v>0</v>
      </c>
      <c r="AM32" s="140" t="e">
        <f>#REF!-AG32-AH32-AI32-AJ32-AK32-AL32</f>
        <v>#REF!</v>
      </c>
    </row>
    <row r="33" spans="1:39" ht="18" customHeight="1">
      <c r="A33" s="1316" t="s">
        <v>117</v>
      </c>
      <c r="B33" s="1332" t="s">
        <v>110</v>
      </c>
      <c r="C33" s="1332"/>
      <c r="D33" s="1332"/>
      <c r="E33" s="362" t="s">
        <v>84</v>
      </c>
      <c r="F33" s="199" t="s">
        <v>94</v>
      </c>
      <c r="G33" s="200" t="s">
        <v>94</v>
      </c>
      <c r="H33" s="200" t="s">
        <v>94</v>
      </c>
      <c r="I33" s="200" t="s">
        <v>94</v>
      </c>
      <c r="J33" s="200" t="s">
        <v>94</v>
      </c>
      <c r="K33" s="196" t="s">
        <v>84</v>
      </c>
      <c r="L33" s="202" t="s">
        <v>94</v>
      </c>
      <c r="M33" s="203" t="s">
        <v>94</v>
      </c>
      <c r="N33" s="200" t="s">
        <v>94</v>
      </c>
      <c r="O33" s="200" t="s">
        <v>94</v>
      </c>
      <c r="P33" s="200" t="s">
        <v>94</v>
      </c>
      <c r="Q33" s="200" t="s">
        <v>94</v>
      </c>
      <c r="R33" s="196" t="s">
        <v>84</v>
      </c>
      <c r="S33" s="365" t="s">
        <v>94</v>
      </c>
      <c r="T33" s="567" t="s">
        <v>94</v>
      </c>
      <c r="U33" s="363" t="s">
        <v>94</v>
      </c>
      <c r="V33" s="363" t="s">
        <v>94</v>
      </c>
      <c r="W33" s="363" t="s">
        <v>94</v>
      </c>
      <c r="X33" s="363" t="s">
        <v>94</v>
      </c>
      <c r="Y33" s="196" t="s">
        <v>84</v>
      </c>
      <c r="Z33" s="197" t="s">
        <v>84</v>
      </c>
      <c r="AA33" s="204" t="s">
        <v>95</v>
      </c>
      <c r="AB33" s="195" t="s">
        <v>95</v>
      </c>
      <c r="AC33" s="195" t="s">
        <v>95</v>
      </c>
      <c r="AD33" s="195" t="s">
        <v>95</v>
      </c>
      <c r="AE33" s="195" t="s">
        <v>95</v>
      </c>
      <c r="AF33" s="197" t="s">
        <v>84</v>
      </c>
      <c r="AG33" s="137" t="s">
        <v>95</v>
      </c>
      <c r="AH33" s="137" t="s">
        <v>38</v>
      </c>
      <c r="AI33" s="138" t="s">
        <v>84</v>
      </c>
      <c r="AJ33" s="137" t="s">
        <v>81</v>
      </c>
      <c r="AK33" s="137" t="s">
        <v>88</v>
      </c>
      <c r="AL33" s="137" t="s">
        <v>96</v>
      </c>
      <c r="AM33" s="139" t="s">
        <v>97</v>
      </c>
    </row>
    <row r="34" spans="1:39" ht="18" customHeight="1">
      <c r="A34" s="1331"/>
      <c r="B34" s="46" t="s">
        <v>17</v>
      </c>
      <c r="C34" s="27" t="s">
        <v>16</v>
      </c>
      <c r="D34" s="21">
        <v>321524</v>
      </c>
      <c r="E34" s="107"/>
      <c r="F34" s="559"/>
      <c r="G34" s="134"/>
      <c r="H34" s="134"/>
      <c r="I34" s="134"/>
      <c r="J34" s="134"/>
      <c r="K34" s="29"/>
      <c r="L34" s="30"/>
      <c r="M34" s="75"/>
      <c r="N34" s="29"/>
      <c r="O34" s="29"/>
      <c r="P34" s="29"/>
      <c r="Q34" s="29"/>
      <c r="R34" s="29"/>
      <c r="S34" s="566" t="s">
        <v>88</v>
      </c>
      <c r="T34" s="568" t="s">
        <v>158</v>
      </c>
      <c r="U34" s="560" t="s">
        <v>158</v>
      </c>
      <c r="V34" s="560" t="s">
        <v>88</v>
      </c>
      <c r="W34" s="560" t="s">
        <v>81</v>
      </c>
      <c r="X34" s="560" t="s">
        <v>81</v>
      </c>
      <c r="Y34" s="29"/>
      <c r="Z34" s="30"/>
      <c r="AA34" s="75"/>
      <c r="AB34" s="29"/>
      <c r="AC34" s="29"/>
      <c r="AD34" s="29"/>
      <c r="AE34" s="29"/>
      <c r="AF34" s="30"/>
      <c r="AG34" s="89" cm="1">
        <f t="array" ref="AG34">SUMPRODUCT(($E$33:$AF$33="HR")*(E34:AF34=""))+SUMPRODUCT((E34:AF34="HR")*1)</f>
        <v>5</v>
      </c>
      <c r="AH34" s="89" cm="1">
        <f t="array" ref="AH34">SUMPRODUCT(($E$33:$AF$33="N0")*(E34:AF34=""))+SUMPRODUCT((E34:AF34="N")*1)</f>
        <v>11</v>
      </c>
      <c r="AI34" s="88" cm="1">
        <f t="array" ref="AI34">SUMPRODUCT(($E$33:$AF$33="RD")*(E34:AF34=""))+SUMPRODUCT((E34:AF34="RD")*1)</f>
        <v>6</v>
      </c>
      <c r="AJ34" s="89" cm="1">
        <f t="array" ref="AJ34">SUMPRODUCT((F34:AF34="AL")*1)</f>
        <v>2</v>
      </c>
      <c r="AK34" s="89" cm="1">
        <f t="array" ref="AK34">SUMPRODUCT((F34:AF34="SH")*1)</f>
        <v>2</v>
      </c>
      <c r="AL34" s="89" cm="1">
        <f t="array" ref="AL34">SUMPRODUCT((E34:AF34="SL")*1)</f>
        <v>0</v>
      </c>
      <c r="AM34" s="140" t="e">
        <f>#REF!-AG34-AH34-AI34-AJ34-AK34-AL34</f>
        <v>#REF!</v>
      </c>
    </row>
    <row r="35" spans="1:39" ht="18" customHeight="1">
      <c r="A35" s="1331"/>
      <c r="B35" s="48" t="s">
        <v>28</v>
      </c>
      <c r="C35" s="16" t="s">
        <v>16</v>
      </c>
      <c r="D35" s="22">
        <v>427616</v>
      </c>
      <c r="E35" s="107"/>
      <c r="F35" s="559"/>
      <c r="G35" s="134"/>
      <c r="H35" s="134"/>
      <c r="I35" s="134"/>
      <c r="J35" s="134"/>
      <c r="K35" s="29"/>
      <c r="L35" s="30"/>
      <c r="M35" s="75"/>
      <c r="N35" s="29"/>
      <c r="O35" s="29"/>
      <c r="P35" s="29"/>
      <c r="Q35" s="183" t="s">
        <v>88</v>
      </c>
      <c r="R35" s="29"/>
      <c r="S35" s="566" t="s">
        <v>88</v>
      </c>
      <c r="T35" s="568" t="s">
        <v>158</v>
      </c>
      <c r="U35" s="560" t="s">
        <v>158</v>
      </c>
      <c r="V35" s="560" t="s">
        <v>81</v>
      </c>
      <c r="W35" s="560" t="s">
        <v>81</v>
      </c>
      <c r="X35" s="560" t="s">
        <v>81</v>
      </c>
      <c r="Y35" s="29"/>
      <c r="Z35" s="30"/>
      <c r="AA35" s="75"/>
      <c r="AB35" s="29"/>
      <c r="AC35" s="29"/>
      <c r="AD35" s="29"/>
      <c r="AE35" s="29"/>
      <c r="AF35" s="30"/>
      <c r="AG35" s="89" cm="1">
        <f t="array" ref="AG35">SUMPRODUCT(($E$33:$AF$33="HR")*(E35:AF35=""))+SUMPRODUCT((E35:AF35="HR")*1)</f>
        <v>5</v>
      </c>
      <c r="AH35" s="89" cm="1">
        <f t="array" ref="AH35">SUMPRODUCT(($E$33:$AF$33="N0")*(E35:AF35=""))+SUMPRODUCT((E35:AF35="N")*1)</f>
        <v>10</v>
      </c>
      <c r="AI35" s="88" cm="1">
        <f t="array" ref="AI35">SUMPRODUCT(($E$33:$AF$33="RD")*(E35:AF35=""))+SUMPRODUCT((E35:AF35="RD")*1)</f>
        <v>6</v>
      </c>
      <c r="AJ35" s="89" cm="1">
        <f t="array" ref="AJ35">SUMPRODUCT((F35:AF35="AL")*1)</f>
        <v>3</v>
      </c>
      <c r="AK35" s="89" cm="1">
        <f t="array" ref="AK35">SUMPRODUCT((F35:AF35="SH")*1)</f>
        <v>2</v>
      </c>
      <c r="AL35" s="89" cm="1">
        <f t="array" ref="AL35">SUMPRODUCT((E35:AF35="SL")*1)</f>
        <v>0</v>
      </c>
      <c r="AM35" s="140" t="e">
        <f>#REF!-AG35-AH35-AI35-AJ35-AK35-AL35</f>
        <v>#REF!</v>
      </c>
    </row>
    <row r="36" spans="1:39" ht="18" customHeight="1">
      <c r="A36" s="1331"/>
      <c r="B36" s="50" t="s">
        <v>33</v>
      </c>
      <c r="C36" s="18" t="s">
        <v>27</v>
      </c>
      <c r="D36" s="51">
        <v>672075</v>
      </c>
      <c r="E36" s="107"/>
      <c r="F36" s="559"/>
      <c r="G36" s="134"/>
      <c r="H36" s="134"/>
      <c r="I36" s="134"/>
      <c r="J36" s="134"/>
      <c r="K36" s="29"/>
      <c r="L36" s="30"/>
      <c r="M36" s="75"/>
      <c r="N36" s="29"/>
      <c r="O36" s="29"/>
      <c r="P36" s="29"/>
      <c r="Q36" s="29"/>
      <c r="R36" s="29"/>
      <c r="S36" s="566" t="s">
        <v>88</v>
      </c>
      <c r="T36" s="565" t="s">
        <v>88</v>
      </c>
      <c r="U36" s="564" t="s">
        <v>158</v>
      </c>
      <c r="V36" s="560" t="s">
        <v>88</v>
      </c>
      <c r="W36" s="560" t="s">
        <v>88</v>
      </c>
      <c r="X36" s="560" t="s">
        <v>88</v>
      </c>
      <c r="Y36" s="29"/>
      <c r="Z36" s="30"/>
      <c r="AA36" s="75"/>
      <c r="AB36" s="29"/>
      <c r="AC36" s="29"/>
      <c r="AD36" s="29"/>
      <c r="AE36" s="29"/>
      <c r="AF36" s="30"/>
      <c r="AG36" s="89" cm="1">
        <f t="array" ref="AG36">SUMPRODUCT(($E$33:$AF$33="HR")*(E36:AF36=""))+SUMPRODUCT((E36:AF36="HR")*1)</f>
        <v>5</v>
      </c>
      <c r="AH36" s="89" cm="1">
        <f t="array" ref="AH36">SUMPRODUCT(($E$33:$AF$33="N0")*(E36:AF36=""))+SUMPRODUCT((E36:AF36="N")*1)</f>
        <v>11</v>
      </c>
      <c r="AI36" s="88" cm="1">
        <f t="array" ref="AI36">SUMPRODUCT(($E$33:$AF$33="RD")*(E36:AF36=""))+SUMPRODUCT((E36:AF36="RD")*1)</f>
        <v>6</v>
      </c>
      <c r="AJ36" s="89" cm="1">
        <f t="array" ref="AJ36">SUMPRODUCT((F36:AF36="AL")*1)</f>
        <v>0</v>
      </c>
      <c r="AK36" s="89" cm="1">
        <f t="array" ref="AK36">SUMPRODUCT((F36:AF36="SH")*1)</f>
        <v>5</v>
      </c>
      <c r="AL36" s="89" cm="1">
        <f t="array" ref="AL36">SUMPRODUCT((E36:AF36="SL")*1)</f>
        <v>0</v>
      </c>
      <c r="AM36" s="140" t="e">
        <f>#REF!-AG36-AH36-AI36-AJ36-AK36-AL36</f>
        <v>#REF!</v>
      </c>
    </row>
    <row r="37" spans="1:39" ht="18" customHeight="1">
      <c r="A37" s="1331"/>
      <c r="B37" s="47" t="s">
        <v>35</v>
      </c>
      <c r="C37" s="16" t="s">
        <v>27</v>
      </c>
      <c r="D37" s="22">
        <v>655180</v>
      </c>
      <c r="E37" s="107"/>
      <c r="F37" s="28" t="s">
        <v>124</v>
      </c>
      <c r="G37" s="29" t="s">
        <v>124</v>
      </c>
      <c r="H37" s="29"/>
      <c r="I37" s="29"/>
      <c r="J37" s="29"/>
      <c r="K37" s="29"/>
      <c r="L37" s="30"/>
      <c r="M37" s="75"/>
      <c r="N37" s="29"/>
      <c r="O37" s="183" t="s">
        <v>88</v>
      </c>
      <c r="P37" s="183" t="s">
        <v>88</v>
      </c>
      <c r="Q37" s="183" t="s">
        <v>88</v>
      </c>
      <c r="R37" s="29"/>
      <c r="S37" s="566" t="s">
        <v>81</v>
      </c>
      <c r="T37" s="568" t="s">
        <v>81</v>
      </c>
      <c r="U37" s="676"/>
      <c r="V37" s="676"/>
      <c r="W37" s="358"/>
      <c r="X37" s="358"/>
      <c r="Y37" s="29"/>
      <c r="Z37" s="30"/>
      <c r="AA37" s="593" t="s">
        <v>96</v>
      </c>
      <c r="AB37" s="29"/>
      <c r="AC37" s="29"/>
      <c r="AD37" s="29"/>
      <c r="AE37" s="29"/>
      <c r="AF37" s="30"/>
      <c r="AG37" s="89" cm="1">
        <f t="array" ref="AG37">SUMPRODUCT(($E$33:$AF$33="HR")*(E37:AF37=""))+SUMPRODUCT((E37:AF37="HR")*1)</f>
        <v>4</v>
      </c>
      <c r="AH37" s="89" cm="1">
        <f t="array" ref="AH37">SUMPRODUCT(($E$33:$AF$33="N0")*(E37:AF37=""))+SUMPRODUCT((E37:AF37="N")*1)</f>
        <v>10</v>
      </c>
      <c r="AI37" s="88" cm="1">
        <f t="array" ref="AI37">SUMPRODUCT(($E$33:$AF$33="RD")*(E37:AF37=""))+SUMPRODUCT((E37:AF37="RD")*1)</f>
        <v>6</v>
      </c>
      <c r="AJ37" s="89" cm="1">
        <f t="array" ref="AJ37">SUMPRODUCT((F37:AF37="AL")*1)</f>
        <v>2</v>
      </c>
      <c r="AK37" s="89" cm="1">
        <f t="array" ref="AK37">SUMPRODUCT((F37:AF37="SH")*1)</f>
        <v>3</v>
      </c>
      <c r="AL37" s="89" cm="1">
        <f t="array" ref="AL37">SUMPRODUCT((E37:AF37="SL")*1)</f>
        <v>1</v>
      </c>
      <c r="AM37" s="140" t="e">
        <f>#REF!-AG37-AH37-AI37-AJ37-AK37-AL37</f>
        <v>#REF!</v>
      </c>
    </row>
    <row r="38" spans="1:39" ht="18" customHeight="1">
      <c r="A38" s="1331"/>
      <c r="B38" s="97" t="s">
        <v>34</v>
      </c>
      <c r="C38" s="16" t="s">
        <v>32</v>
      </c>
      <c r="D38" s="22">
        <v>673277</v>
      </c>
      <c r="E38" s="107"/>
      <c r="F38" s="28"/>
      <c r="G38" s="29"/>
      <c r="H38" s="29"/>
      <c r="I38" s="29"/>
      <c r="J38" s="29"/>
      <c r="K38" s="29"/>
      <c r="L38" s="30"/>
      <c r="M38" s="75"/>
      <c r="N38" s="29"/>
      <c r="O38" s="29"/>
      <c r="P38" s="29"/>
      <c r="Q38" s="29"/>
      <c r="R38" s="29"/>
      <c r="S38" s="581"/>
      <c r="T38" s="568" t="s">
        <v>158</v>
      </c>
      <c r="U38" s="676"/>
      <c r="V38" s="676"/>
      <c r="W38" s="358"/>
      <c r="X38" s="358"/>
      <c r="Y38" s="29"/>
      <c r="Z38" s="30"/>
      <c r="AA38" s="186" t="s">
        <v>81</v>
      </c>
      <c r="AB38" s="183" t="s">
        <v>81</v>
      </c>
      <c r="AC38" s="564" t="s">
        <v>158</v>
      </c>
      <c r="AD38" s="560" t="s">
        <v>88</v>
      </c>
      <c r="AE38" s="560" t="s">
        <v>88</v>
      </c>
      <c r="AF38" s="30"/>
      <c r="AG38" s="89" cm="1">
        <f t="array" ref="AG38">SUMPRODUCT(($E$33:$AF$33="HR")*(E38:AF38=""))+SUMPRODUCT((E38:AF38="HR")*1)</f>
        <v>0</v>
      </c>
      <c r="AH38" s="89" cm="1">
        <f t="array" ref="AH38">SUMPRODUCT(($E$33:$AF$33="N0")*(E38:AF38=""))+SUMPRODUCT((E38:AF38="N")*1)</f>
        <v>16</v>
      </c>
      <c r="AI38" s="88" cm="1">
        <f t="array" ref="AI38">SUMPRODUCT(($E$33:$AF$33="RD")*(E38:AF38=""))+SUMPRODUCT((E38:AF38="RD")*1)</f>
        <v>6</v>
      </c>
      <c r="AJ38" s="89" cm="1">
        <f t="array" ref="AJ38">SUMPRODUCT((F38:AF38="AL")*1)</f>
        <v>2</v>
      </c>
      <c r="AK38" s="89" cm="1">
        <f t="array" ref="AK38">SUMPRODUCT((F38:AF38="SH")*1)</f>
        <v>2</v>
      </c>
      <c r="AL38" s="89" cm="1">
        <f t="array" ref="AL38">SUMPRODUCT((E38:AF38="SL")*1)</f>
        <v>0</v>
      </c>
      <c r="AM38" s="140" t="e">
        <f>#REF!-AG38-AH38-AI38-AJ38-AK38-AL38</f>
        <v>#REF!</v>
      </c>
    </row>
    <row r="39" spans="1:39" ht="18" customHeight="1">
      <c r="A39" s="1331"/>
      <c r="B39" s="150" t="s">
        <v>118</v>
      </c>
      <c r="C39" s="133" t="s">
        <v>27</v>
      </c>
      <c r="D39" s="108">
        <v>674432</v>
      </c>
      <c r="E39" s="628"/>
      <c r="F39" s="247"/>
      <c r="G39" s="244"/>
      <c r="H39" s="244"/>
      <c r="I39" s="244"/>
      <c r="J39" s="244"/>
      <c r="K39" s="244"/>
      <c r="L39" s="248"/>
      <c r="M39" s="249"/>
      <c r="N39" s="244"/>
      <c r="O39" s="244"/>
      <c r="P39" s="244"/>
      <c r="Q39" s="244"/>
      <c r="R39" s="244"/>
      <c r="S39" s="642"/>
      <c r="T39" s="643" t="s">
        <v>158</v>
      </c>
      <c r="U39" s="677"/>
      <c r="V39" s="677"/>
      <c r="W39" s="632"/>
      <c r="X39" s="632"/>
      <c r="Y39" s="244"/>
      <c r="Z39" s="248"/>
      <c r="AA39" s="249"/>
      <c r="AB39" s="244"/>
      <c r="AC39" s="244" t="s">
        <v>135</v>
      </c>
      <c r="AD39" s="244" t="s">
        <v>135</v>
      </c>
      <c r="AE39" s="244" t="s">
        <v>135</v>
      </c>
      <c r="AF39" s="248"/>
      <c r="AG39" s="89" cm="1">
        <f t="array" ref="AG39">SUMPRODUCT(($E$33:$AF$33="HR")*(E39:AF39=""))+SUMPRODUCT((E39:AF39="HR")*1)</f>
        <v>2</v>
      </c>
      <c r="AH39" s="89" cm="1">
        <f t="array" ref="AH39">SUMPRODUCT(($E$33:$AF$33="N0")*(E39:AF39=""))+SUMPRODUCT((E39:AF39="N")*1)</f>
        <v>16</v>
      </c>
      <c r="AI39" s="88" cm="1">
        <f t="array" ref="AI39">SUMPRODUCT(($E$33:$AF$33="RD")*(E39:AF39=""))+SUMPRODUCT((E39:AF39="RD")*1)</f>
        <v>6</v>
      </c>
      <c r="AJ39" s="89" cm="1">
        <f t="array" ref="AJ39">SUMPRODUCT((F39:AF39="AL")*1)</f>
        <v>0</v>
      </c>
      <c r="AK39" s="89" cm="1">
        <f t="array" ref="AK39">SUMPRODUCT((F39:AF39="SH")*1)</f>
        <v>0</v>
      </c>
      <c r="AL39" s="89" cm="1">
        <f t="array" ref="AL39">SUMPRODUCT((E39:AF39="SL")*1)</f>
        <v>0</v>
      </c>
      <c r="AM39" s="140" t="e">
        <f>#REF!-AG39-AH39-AI39-AJ39-AK39-AL39</f>
        <v>#REF!</v>
      </c>
    </row>
    <row r="40" spans="1:39" ht="18" customHeight="1">
      <c r="A40" s="1316" t="s">
        <v>119</v>
      </c>
      <c r="B40" s="1334" t="s">
        <v>110</v>
      </c>
      <c r="C40" s="1332"/>
      <c r="D40" s="1332"/>
      <c r="E40" s="362" t="s">
        <v>84</v>
      </c>
      <c r="F40" s="194" t="s">
        <v>95</v>
      </c>
      <c r="G40" s="195" t="s">
        <v>95</v>
      </c>
      <c r="H40" s="195" t="s">
        <v>95</v>
      </c>
      <c r="I40" s="195" t="s">
        <v>95</v>
      </c>
      <c r="J40" s="195" t="s">
        <v>95</v>
      </c>
      <c r="K40" s="196" t="s">
        <v>84</v>
      </c>
      <c r="L40" s="197" t="s">
        <v>84</v>
      </c>
      <c r="M40" s="203" t="s">
        <v>94</v>
      </c>
      <c r="N40" s="200" t="s">
        <v>94</v>
      </c>
      <c r="O40" s="200" t="s">
        <v>94</v>
      </c>
      <c r="P40" s="200" t="s">
        <v>94</v>
      </c>
      <c r="Q40" s="363" t="s">
        <v>94</v>
      </c>
      <c r="R40" s="364" t="s">
        <v>84</v>
      </c>
      <c r="S40" s="365" t="s">
        <v>94</v>
      </c>
      <c r="T40" s="567" t="s">
        <v>94</v>
      </c>
      <c r="U40" s="363" t="s">
        <v>94</v>
      </c>
      <c r="V40" s="363" t="s">
        <v>94</v>
      </c>
      <c r="W40" s="363" t="s">
        <v>94</v>
      </c>
      <c r="X40" s="363" t="s">
        <v>94</v>
      </c>
      <c r="Y40" s="196" t="s">
        <v>84</v>
      </c>
      <c r="Z40" s="202" t="s">
        <v>94</v>
      </c>
      <c r="AA40" s="203" t="s">
        <v>94</v>
      </c>
      <c r="AB40" s="200" t="s">
        <v>94</v>
      </c>
      <c r="AC40" s="200" t="s">
        <v>94</v>
      </c>
      <c r="AD40" s="200" t="s">
        <v>94</v>
      </c>
      <c r="AE40" s="200" t="s">
        <v>94</v>
      </c>
      <c r="AF40" s="197" t="s">
        <v>84</v>
      </c>
      <c r="AG40" s="137" t="s">
        <v>95</v>
      </c>
      <c r="AH40" s="137" t="s">
        <v>38</v>
      </c>
      <c r="AI40" s="138" t="s">
        <v>84</v>
      </c>
      <c r="AJ40" s="137" t="s">
        <v>81</v>
      </c>
      <c r="AK40" s="137" t="s">
        <v>88</v>
      </c>
      <c r="AL40" s="137" t="s">
        <v>96</v>
      </c>
      <c r="AM40" s="139" t="s">
        <v>97</v>
      </c>
    </row>
    <row r="41" spans="1:39" ht="18" customHeight="1">
      <c r="A41" s="1331"/>
      <c r="B41" s="44" t="s">
        <v>120</v>
      </c>
      <c r="C41" s="17" t="s">
        <v>16</v>
      </c>
      <c r="D41" s="21">
        <v>422380</v>
      </c>
      <c r="E41" s="107"/>
      <c r="F41" s="184" t="s">
        <v>158</v>
      </c>
      <c r="G41" s="29"/>
      <c r="H41" s="29"/>
      <c r="I41" s="29"/>
      <c r="J41" s="29"/>
      <c r="K41" s="29"/>
      <c r="L41" s="30"/>
      <c r="M41" s="75"/>
      <c r="N41" s="29"/>
      <c r="O41" s="29"/>
      <c r="P41" s="29"/>
      <c r="Q41" s="29"/>
      <c r="R41" s="358"/>
      <c r="S41" s="581"/>
      <c r="T41" s="568" t="s">
        <v>158</v>
      </c>
      <c r="U41" s="676"/>
      <c r="V41" s="676"/>
      <c r="W41" s="358"/>
      <c r="X41" s="358"/>
      <c r="Y41" s="29"/>
      <c r="Z41" s="30"/>
      <c r="AA41" s="75"/>
      <c r="AB41" s="29"/>
      <c r="AC41" s="29"/>
      <c r="AD41" s="29"/>
      <c r="AE41" s="29"/>
      <c r="AF41" s="30"/>
      <c r="AG41" s="89" cm="1">
        <f t="array" ref="AG41">SUMPRODUCT(($E$40:$AF$40="HR")*(E41:AF41=""))+SUMPRODUCT((E41:AF41="HR")*1)</f>
        <v>4</v>
      </c>
      <c r="AH41" s="89" cm="1">
        <f t="array" ref="AH41">SUMPRODUCT(($E$40:$AF$40="N0")*(E41:AF41=""))+SUMPRODUCT((E41:AF41="N")*1)</f>
        <v>16</v>
      </c>
      <c r="AI41" s="88" cm="1">
        <f t="array" ref="AI41">SUMPRODUCT(($E$40:$AF$40="RD")*(E41:AF41=""))+SUMPRODUCT((E41:AF41="RD")*1)</f>
        <v>6</v>
      </c>
      <c r="AJ41" s="89" cm="1">
        <f t="array" ref="AJ41">SUMPRODUCT((F41:AF41="AL")*1)</f>
        <v>0</v>
      </c>
      <c r="AK41" s="89" cm="1">
        <f t="array" ref="AK41">SUMPRODUCT((F41:AF41="SH")*1)</f>
        <v>0</v>
      </c>
      <c r="AL41" s="89" cm="1">
        <f t="array" ref="AL41">SUMPRODUCT((E41:AF41="SL")*1)</f>
        <v>0</v>
      </c>
      <c r="AM41" s="140" t="e">
        <f>#REF!-AG41-AH41-AI41-AJ41-AK41-AL41</f>
        <v>#REF!</v>
      </c>
    </row>
    <row r="42" spans="1:39" ht="18" customHeight="1">
      <c r="A42" s="1331"/>
      <c r="B42" s="45" t="s">
        <v>36</v>
      </c>
      <c r="C42" s="16" t="s">
        <v>16</v>
      </c>
      <c r="D42" s="22">
        <v>669557</v>
      </c>
      <c r="E42" s="107"/>
      <c r="F42" s="28"/>
      <c r="G42" s="29"/>
      <c r="H42" s="29"/>
      <c r="I42" s="29"/>
      <c r="J42" s="29"/>
      <c r="K42" s="29"/>
      <c r="L42" s="30"/>
      <c r="M42" s="75"/>
      <c r="N42" s="29"/>
      <c r="O42" s="29"/>
      <c r="P42" s="29"/>
      <c r="Q42" s="29"/>
      <c r="R42" s="29"/>
      <c r="S42" s="566" t="s">
        <v>88</v>
      </c>
      <c r="T42" s="568" t="s">
        <v>158</v>
      </c>
      <c r="U42" s="560" t="s">
        <v>88</v>
      </c>
      <c r="V42" s="560" t="s">
        <v>88</v>
      </c>
      <c r="W42" s="560" t="s">
        <v>81</v>
      </c>
      <c r="X42" s="560" t="s">
        <v>81</v>
      </c>
      <c r="Y42" s="29"/>
      <c r="Z42" s="30"/>
      <c r="AA42" s="75"/>
      <c r="AB42" s="29"/>
      <c r="AC42" s="29"/>
      <c r="AD42" s="29"/>
      <c r="AE42" s="183" t="s">
        <v>88</v>
      </c>
      <c r="AF42" s="30"/>
      <c r="AG42" s="89" cm="1">
        <f t="array" ref="AG42">SUMPRODUCT(($E$40:$AF$40="HR")*(E42:AF42=""))+SUMPRODUCT((E42:AF42="HR")*1)</f>
        <v>5</v>
      </c>
      <c r="AH42" s="89" cm="1">
        <f t="array" ref="AH42">SUMPRODUCT(($E$40:$AF$40="N0")*(E42:AF42=""))+SUMPRODUCT((E42:AF42="N")*1)</f>
        <v>10</v>
      </c>
      <c r="AI42" s="88" cm="1">
        <f t="array" ref="AI42">SUMPRODUCT(($E$40:$AF$40="RD")*(E42:AF42=""))+SUMPRODUCT((E42:AF42="RD")*1)</f>
        <v>6</v>
      </c>
      <c r="AJ42" s="89" cm="1">
        <f t="array" ref="AJ42">SUMPRODUCT((F42:AF42="AL")*1)</f>
        <v>2</v>
      </c>
      <c r="AK42" s="89" cm="1">
        <f t="array" ref="AK42">SUMPRODUCT((F42:AF42="SH")*1)</f>
        <v>4</v>
      </c>
      <c r="AL42" s="89" cm="1">
        <f t="array" ref="AL42">SUMPRODUCT((E42:AF42="SL")*1)</f>
        <v>0</v>
      </c>
      <c r="AM42" s="140" t="e">
        <f>#REF!-AG42-AH42-AI42-AJ42-AK42-AL42</f>
        <v>#REF!</v>
      </c>
    </row>
    <row r="43" spans="1:39" ht="18" customHeight="1">
      <c r="A43" s="1331"/>
      <c r="B43" s="45" t="s">
        <v>121</v>
      </c>
      <c r="C43" s="16" t="s">
        <v>16</v>
      </c>
      <c r="D43" s="22">
        <v>505935</v>
      </c>
      <c r="E43" s="107"/>
      <c r="F43" s="28"/>
      <c r="G43" s="29"/>
      <c r="H43" s="29"/>
      <c r="I43" s="29"/>
      <c r="J43" s="29"/>
      <c r="K43" s="29"/>
      <c r="L43" s="30"/>
      <c r="M43" s="75"/>
      <c r="N43" s="29"/>
      <c r="O43" s="29"/>
      <c r="P43" s="29"/>
      <c r="Q43" s="29"/>
      <c r="R43" s="29"/>
      <c r="S43" s="566" t="s">
        <v>81</v>
      </c>
      <c r="T43" s="568" t="s">
        <v>81</v>
      </c>
      <c r="U43" s="560" t="s">
        <v>81</v>
      </c>
      <c r="V43" s="560" t="s">
        <v>81</v>
      </c>
      <c r="W43" s="560" t="s">
        <v>81</v>
      </c>
      <c r="X43" s="560" t="s">
        <v>81</v>
      </c>
      <c r="Y43" s="29"/>
      <c r="Z43" s="30"/>
      <c r="AA43" s="75"/>
      <c r="AB43" s="29"/>
      <c r="AC43" s="29"/>
      <c r="AD43" s="29"/>
      <c r="AE43" s="29"/>
      <c r="AF43" s="30"/>
      <c r="AG43" s="89" cm="1">
        <f t="array" ref="AG43">SUMPRODUCT(($E$40:$AF$40="HR")*(E43:AF43=""))+SUMPRODUCT((E43:AF43="HR")*1)</f>
        <v>5</v>
      </c>
      <c r="AH43" s="89" cm="1">
        <f t="array" ref="AH43">SUMPRODUCT(($E$40:$AF$40="N0")*(E43:AF43=""))+SUMPRODUCT((E43:AF43="N")*1)</f>
        <v>11</v>
      </c>
      <c r="AI43" s="88" cm="1">
        <f t="array" ref="AI43">SUMPRODUCT(($E$40:$AF$40="RD")*(E43:AF43=""))+SUMPRODUCT((E43:AF43="RD")*1)</f>
        <v>6</v>
      </c>
      <c r="AJ43" s="89" cm="1">
        <f t="array" ref="AJ43">SUMPRODUCT((F43:AF43="AL")*1)</f>
        <v>6</v>
      </c>
      <c r="AK43" s="89" cm="1">
        <f t="array" ref="AK43">SUMPRODUCT((F43:AF43="SH")*1)</f>
        <v>0</v>
      </c>
      <c r="AL43" s="89" cm="1">
        <f t="array" ref="AL43">SUMPRODUCT((E43:AF43="SL")*1)</f>
        <v>0</v>
      </c>
      <c r="AM43" s="140" t="e">
        <f>#REF!-AG43-AH43-AI43-AJ43-AK43-AL43</f>
        <v>#REF!</v>
      </c>
    </row>
    <row r="44" spans="1:39" ht="18" customHeight="1">
      <c r="A44" s="1331"/>
      <c r="B44" s="45" t="s">
        <v>25</v>
      </c>
      <c r="C44" s="16" t="s">
        <v>27</v>
      </c>
      <c r="D44" s="22">
        <v>580058</v>
      </c>
      <c r="E44" s="107"/>
      <c r="F44" s="28"/>
      <c r="G44" s="29"/>
      <c r="H44" s="29"/>
      <c r="I44" s="29"/>
      <c r="J44" s="29"/>
      <c r="K44" s="29"/>
      <c r="L44" s="30"/>
      <c r="M44" s="186" t="s">
        <v>88</v>
      </c>
      <c r="N44" s="183" t="s">
        <v>88</v>
      </c>
      <c r="O44" s="183" t="s">
        <v>88</v>
      </c>
      <c r="P44" s="183" t="s">
        <v>88</v>
      </c>
      <c r="Q44" s="183" t="s">
        <v>88</v>
      </c>
      <c r="R44" s="29"/>
      <c r="S44" s="566" t="s">
        <v>88</v>
      </c>
      <c r="T44" s="568" t="s">
        <v>88</v>
      </c>
      <c r="U44" s="560" t="s">
        <v>88</v>
      </c>
      <c r="V44" s="560" t="s">
        <v>81</v>
      </c>
      <c r="W44" s="560" t="s">
        <v>81</v>
      </c>
      <c r="X44" s="560" t="s">
        <v>81</v>
      </c>
      <c r="Y44" s="183"/>
      <c r="Z44" s="235" t="s">
        <v>81</v>
      </c>
      <c r="AA44" s="312" t="s">
        <v>81</v>
      </c>
      <c r="AB44" s="183" t="s">
        <v>81</v>
      </c>
      <c r="AC44" s="183" t="s">
        <v>81</v>
      </c>
      <c r="AD44" s="183" t="s">
        <v>81</v>
      </c>
      <c r="AE44" s="183" t="s">
        <v>81</v>
      </c>
      <c r="AF44" s="30"/>
      <c r="AG44" s="89" cm="1">
        <f t="array" ref="AG44">SUMPRODUCT(($E$40:$AF$40="HR")*(E44:AF44=""))+SUMPRODUCT((E44:AF44="HR")*1)</f>
        <v>5</v>
      </c>
      <c r="AH44" s="89" cm="1">
        <f t="array" ref="AH44">SUMPRODUCT(($E$40:$AF$40="N0")*(E44:AF44=""))+SUMPRODUCT((E44:AF44="N")*1)</f>
        <v>0</v>
      </c>
      <c r="AI44" s="88" cm="1">
        <f t="array" ref="AI44">SUMPRODUCT(($E$40:$AF$40="RD")*(E44:AF44=""))+SUMPRODUCT((E44:AF44="RD")*1)</f>
        <v>6</v>
      </c>
      <c r="AJ44" s="89" cm="1">
        <f t="array" ref="AJ44">SUMPRODUCT((F44:AF44="AL")*1)</f>
        <v>9</v>
      </c>
      <c r="AK44" s="89" cm="1">
        <f t="array" ref="AK44">SUMPRODUCT((F44:AF44="SH")*1)</f>
        <v>8</v>
      </c>
      <c r="AL44" s="89" cm="1">
        <f t="array" ref="AL44">SUMPRODUCT((E44:AF44="SL")*1)</f>
        <v>0</v>
      </c>
      <c r="AM44" s="140" t="e">
        <f>#REF!-AG44-AH44-AI44-AJ44-AK44-AL44</f>
        <v>#REF!</v>
      </c>
    </row>
    <row r="45" spans="1:39" ht="18" customHeight="1">
      <c r="A45" s="1331"/>
      <c r="B45" s="45" t="s">
        <v>37</v>
      </c>
      <c r="C45" s="16" t="s">
        <v>27</v>
      </c>
      <c r="D45" s="22">
        <v>680417</v>
      </c>
      <c r="E45" s="107"/>
      <c r="F45" s="28"/>
      <c r="G45" s="29"/>
      <c r="H45" s="29"/>
      <c r="I45" s="29"/>
      <c r="J45" s="29"/>
      <c r="K45" s="29"/>
      <c r="L45" s="30"/>
      <c r="M45" s="75"/>
      <c r="N45" s="29"/>
      <c r="O45" s="29"/>
      <c r="P45" s="29"/>
      <c r="Q45" s="29"/>
      <c r="R45" s="29"/>
      <c r="S45" s="566" t="s">
        <v>164</v>
      </c>
      <c r="T45" s="568" t="s">
        <v>164</v>
      </c>
      <c r="U45" s="676"/>
      <c r="V45" s="676"/>
      <c r="W45" s="358"/>
      <c r="X45" s="358"/>
      <c r="Y45" s="29"/>
      <c r="Z45" s="30"/>
      <c r="AA45" s="75"/>
      <c r="AB45" s="29"/>
      <c r="AC45" s="29"/>
      <c r="AD45" s="29"/>
      <c r="AE45" s="29"/>
      <c r="AF45" s="30"/>
      <c r="AG45" s="89" cm="1">
        <f t="array" ref="AG45">SUMPRODUCT(($E$40:$AF$40="HR")*(E45:AF45=""))+SUMPRODUCT((E45:AF45="HR")*1)</f>
        <v>5</v>
      </c>
      <c r="AH45" s="89" cm="1">
        <f t="array" ref="AH45">SUMPRODUCT(($E$40:$AF$40="N0")*(E45:AF45=""))+SUMPRODUCT((E45:AF45="N")*1)</f>
        <v>15</v>
      </c>
      <c r="AI45" s="88" cm="1">
        <f t="array" ref="AI45">SUMPRODUCT(($E$40:$AF$40="RD")*(E45:AF45=""))+SUMPRODUCT((E45:AF45="RD")*1)</f>
        <v>6</v>
      </c>
      <c r="AJ45" s="89" cm="1">
        <f t="array" ref="AJ45">SUMPRODUCT((F45:AF45="AL")*1)</f>
        <v>0</v>
      </c>
      <c r="AK45" s="89" cm="1">
        <f t="array" ref="AK45">SUMPRODUCT((F45:AF45="SH")*1)</f>
        <v>0</v>
      </c>
      <c r="AL45" s="89" cm="1">
        <f t="array" ref="AL45">SUMPRODUCT((E45:AF45="SL")*1)</f>
        <v>0</v>
      </c>
      <c r="AM45" s="140" t="e">
        <f>#REF!-AG45-AH45-AI45-AJ45-AK45-AL45</f>
        <v>#REF!</v>
      </c>
    </row>
    <row r="46" spans="1:39" ht="18" customHeight="1">
      <c r="A46" s="1331"/>
      <c r="B46" s="120" t="s">
        <v>49</v>
      </c>
      <c r="C46" s="16" t="s">
        <v>27</v>
      </c>
      <c r="D46" s="22">
        <v>684119</v>
      </c>
      <c r="E46" s="107"/>
      <c r="F46" s="28"/>
      <c r="G46" s="29"/>
      <c r="H46" s="29"/>
      <c r="I46" s="29"/>
      <c r="J46" s="29"/>
      <c r="K46" s="29"/>
      <c r="L46" s="30"/>
      <c r="M46" s="75"/>
      <c r="N46" s="29"/>
      <c r="O46" s="29"/>
      <c r="P46" s="29"/>
      <c r="Q46" s="29"/>
      <c r="R46" s="29"/>
      <c r="S46" s="566" t="s">
        <v>88</v>
      </c>
      <c r="T46" s="568" t="s">
        <v>158</v>
      </c>
      <c r="U46" s="560" t="s">
        <v>88</v>
      </c>
      <c r="V46" s="560" t="s">
        <v>88</v>
      </c>
      <c r="W46" s="560" t="s">
        <v>88</v>
      </c>
      <c r="X46" s="560" t="s">
        <v>88</v>
      </c>
      <c r="Y46" s="29"/>
      <c r="Z46" s="30"/>
      <c r="AA46" s="75"/>
      <c r="AB46" s="29"/>
      <c r="AC46" s="29"/>
      <c r="AD46" s="29"/>
      <c r="AE46" s="29"/>
      <c r="AF46" s="30"/>
      <c r="AG46" s="89" cm="1">
        <f t="array" ref="AG46">SUMPRODUCT(($E$40:$AF$40="HR")*(E46:AF46=""))+SUMPRODUCT((E46:AF46="HR")*1)</f>
        <v>5</v>
      </c>
      <c r="AH46" s="89" cm="1">
        <f t="array" ref="AH46">SUMPRODUCT(($E$40:$AF$40="N0")*(E46:AF46=""))+SUMPRODUCT((E46:AF46="N")*1)</f>
        <v>11</v>
      </c>
      <c r="AI46" s="88" cm="1">
        <f t="array" ref="AI46">SUMPRODUCT(($E$40:$AF$40="RD")*(E46:AF46=""))+SUMPRODUCT((E46:AF46="RD")*1)</f>
        <v>6</v>
      </c>
      <c r="AJ46" s="89" cm="1">
        <f t="array" ref="AJ46">SUMPRODUCT((F46:AF46="AL")*1)</f>
        <v>0</v>
      </c>
      <c r="AK46" s="89" cm="1">
        <f t="array" ref="AK46">SUMPRODUCT((F46:AF46="SH")*1)</f>
        <v>5</v>
      </c>
      <c r="AL46" s="89" cm="1">
        <f t="array" ref="AL46">SUMPRODUCT((E46:AF46="SL")*1)</f>
        <v>0</v>
      </c>
      <c r="AM46" s="140" t="e">
        <f>#REF!-AG46-AH46-AI46-AJ46-AK46-AL46</f>
        <v>#REF!</v>
      </c>
    </row>
    <row r="47" spans="1:39" ht="18" customHeight="1">
      <c r="A47" s="1333"/>
      <c r="B47" s="117" t="s">
        <v>57</v>
      </c>
      <c r="C47" s="104" t="s">
        <v>58</v>
      </c>
      <c r="D47" s="105">
        <v>676140</v>
      </c>
      <c r="E47" s="666"/>
      <c r="F47" s="667"/>
      <c r="G47" s="317"/>
      <c r="H47" s="317"/>
      <c r="I47" s="317"/>
      <c r="J47" s="687" t="s">
        <v>96</v>
      </c>
      <c r="K47" s="317"/>
      <c r="L47" s="668"/>
      <c r="M47" s="669"/>
      <c r="N47" s="317"/>
      <c r="O47" s="317"/>
      <c r="P47" s="317"/>
      <c r="Q47" s="317"/>
      <c r="R47" s="317"/>
      <c r="S47" s="670" t="s">
        <v>88</v>
      </c>
      <c r="T47" s="671" t="s">
        <v>88</v>
      </c>
      <c r="U47" s="673" t="s">
        <v>81</v>
      </c>
      <c r="V47" s="673" t="s">
        <v>88</v>
      </c>
      <c r="W47" s="672"/>
      <c r="X47" s="672"/>
      <c r="Y47" s="317"/>
      <c r="Z47" s="668"/>
      <c r="AA47" s="669"/>
      <c r="AB47" s="317"/>
      <c r="AC47" s="317"/>
      <c r="AD47" s="317"/>
      <c r="AE47" s="317"/>
      <c r="AF47" s="668"/>
      <c r="AG47" s="89" cm="1">
        <f t="array" ref="AG47">SUMPRODUCT(($E$40:$AF$40="HR")*(E47:AF47=""))+SUMPRODUCT((E47:AF47="HR")*1)</f>
        <v>4</v>
      </c>
      <c r="AH47" s="89" cm="1">
        <f t="array" ref="AH47">SUMPRODUCT(($E$40:$AF$40="N0")*(E47:AF47=""))+SUMPRODUCT((E47:AF47="N")*1)</f>
        <v>13</v>
      </c>
      <c r="AI47" s="88" cm="1">
        <f t="array" ref="AI47">SUMPRODUCT(($E$40:$AF$40="RD")*(E47:AF47=""))+SUMPRODUCT((E47:AF47="RD")*1)</f>
        <v>6</v>
      </c>
      <c r="AJ47" s="89" cm="1">
        <f t="array" ref="AJ47">SUMPRODUCT((F47:AF47="AL")*1)</f>
        <v>1</v>
      </c>
      <c r="AK47" s="89" cm="1">
        <f t="array" ref="AK47">SUMPRODUCT((F47:AF47="SH")*1)</f>
        <v>3</v>
      </c>
      <c r="AL47" s="89" cm="1">
        <f t="array" ref="AL47">SUMPRODUCT((E47:AF47="SL")*1)</f>
        <v>1</v>
      </c>
      <c r="AM47" s="140" t="e">
        <f>#REF!-AG47-AH47-AI47-AJ47-AK47-AL47</f>
        <v>#REF!</v>
      </c>
    </row>
    <row r="48" spans="1:39" ht="18" customHeight="1">
      <c r="A48" s="1320" t="s">
        <v>125</v>
      </c>
      <c r="B48" s="1322" t="s">
        <v>93</v>
      </c>
      <c r="C48" s="1323"/>
      <c r="D48" s="1323"/>
      <c r="E48" s="362" t="s">
        <v>84</v>
      </c>
      <c r="F48" s="199" t="s">
        <v>87</v>
      </c>
      <c r="G48" s="200" t="s">
        <v>87</v>
      </c>
      <c r="H48" s="200" t="s">
        <v>87</v>
      </c>
      <c r="I48" s="200" t="s">
        <v>87</v>
      </c>
      <c r="J48" s="200" t="s">
        <v>87</v>
      </c>
      <c r="K48" s="196" t="s">
        <v>84</v>
      </c>
      <c r="L48" s="197" t="s">
        <v>84</v>
      </c>
      <c r="M48" s="203" t="s">
        <v>87</v>
      </c>
      <c r="N48" s="200" t="s">
        <v>87</v>
      </c>
      <c r="O48" s="200" t="s">
        <v>87</v>
      </c>
      <c r="P48" s="200" t="s">
        <v>87</v>
      </c>
      <c r="Q48" s="200" t="s">
        <v>87</v>
      </c>
      <c r="R48" s="196" t="s">
        <v>84</v>
      </c>
      <c r="S48" s="571" t="s">
        <v>84</v>
      </c>
      <c r="T48" s="567" t="s">
        <v>87</v>
      </c>
      <c r="U48" s="363" t="s">
        <v>87</v>
      </c>
      <c r="V48" s="363" t="s">
        <v>87</v>
      </c>
      <c r="W48" s="363" t="s">
        <v>87</v>
      </c>
      <c r="X48" s="363" t="s">
        <v>87</v>
      </c>
      <c r="Y48" s="196" t="s">
        <v>84</v>
      </c>
      <c r="Z48" s="197" t="s">
        <v>84</v>
      </c>
      <c r="AA48" s="230" t="s">
        <v>87</v>
      </c>
      <c r="AB48" s="221" t="s">
        <v>87</v>
      </c>
      <c r="AC48" s="221" t="s">
        <v>87</v>
      </c>
      <c r="AD48" s="221" t="s">
        <v>87</v>
      </c>
      <c r="AE48" s="221" t="s">
        <v>87</v>
      </c>
      <c r="AF48" s="197" t="s">
        <v>84</v>
      </c>
    </row>
    <row r="49" spans="1:38" ht="18" customHeight="1">
      <c r="A49" s="1321"/>
      <c r="B49" s="724" t="s">
        <v>43</v>
      </c>
      <c r="C49" s="725" t="s">
        <v>45</v>
      </c>
      <c r="D49" s="726">
        <v>555851</v>
      </c>
      <c r="E49" s="732"/>
      <c r="F49" s="320"/>
      <c r="G49" s="321"/>
      <c r="H49" s="321"/>
      <c r="I49" s="321"/>
      <c r="J49" s="357" t="s">
        <v>126</v>
      </c>
      <c r="K49" s="321"/>
      <c r="L49" s="322"/>
      <c r="M49" s="323"/>
      <c r="N49" s="321"/>
      <c r="O49" s="321"/>
      <c r="P49" s="321"/>
      <c r="Q49" s="357" t="s">
        <v>162</v>
      </c>
      <c r="R49" s="321"/>
      <c r="S49" s="720"/>
      <c r="T49" s="704"/>
      <c r="U49" s="705"/>
      <c r="V49" s="705"/>
      <c r="W49" s="705"/>
      <c r="X49" s="705"/>
      <c r="Y49" s="321"/>
      <c r="Z49" s="322"/>
      <c r="AA49" s="323"/>
      <c r="AB49" s="321"/>
      <c r="AC49" s="321"/>
      <c r="AD49" s="321"/>
      <c r="AE49" s="321"/>
      <c r="AF49" s="322"/>
    </row>
    <row r="50" spans="1:38" ht="18" customHeight="1">
      <c r="A50" s="14" t="s">
        <v>165</v>
      </c>
      <c r="B50" s="727" t="s">
        <v>166</v>
      </c>
      <c r="C50" s="723" t="s">
        <v>167</v>
      </c>
      <c r="D50" s="728">
        <v>674914</v>
      </c>
      <c r="E50" s="733"/>
      <c r="F50" s="707" t="s">
        <v>87</v>
      </c>
      <c r="G50" s="708" t="s">
        <v>87</v>
      </c>
      <c r="H50" s="708" t="s">
        <v>94</v>
      </c>
      <c r="I50" s="708" t="s">
        <v>94</v>
      </c>
      <c r="J50" s="709" t="s">
        <v>94</v>
      </c>
      <c r="K50" s="710" t="s">
        <v>84</v>
      </c>
      <c r="L50" s="717" t="s">
        <v>94</v>
      </c>
      <c r="M50" s="707" t="s">
        <v>94</v>
      </c>
      <c r="N50" s="708" t="s">
        <v>94</v>
      </c>
      <c r="O50" s="708" t="s">
        <v>94</v>
      </c>
      <c r="P50" s="708" t="s">
        <v>94</v>
      </c>
      <c r="Q50" s="709" t="s">
        <v>94</v>
      </c>
      <c r="R50" s="710" t="s">
        <v>84</v>
      </c>
      <c r="S50" s="715" t="s">
        <v>84</v>
      </c>
      <c r="T50" s="719"/>
      <c r="U50" s="699"/>
      <c r="V50" s="699"/>
      <c r="W50" s="699"/>
      <c r="X50" s="699"/>
      <c r="Y50" s="696"/>
      <c r="Z50" s="697"/>
      <c r="AA50" s="703"/>
      <c r="AB50" s="696"/>
      <c r="AC50" s="696"/>
      <c r="AD50" s="696"/>
      <c r="AE50" s="696"/>
      <c r="AF50" s="697"/>
    </row>
    <row r="51" spans="1:38" ht="18" customHeight="1">
      <c r="A51" s="731" t="s">
        <v>165</v>
      </c>
      <c r="B51" s="729" t="s">
        <v>168</v>
      </c>
      <c r="C51" s="730" t="s">
        <v>169</v>
      </c>
      <c r="D51" s="721">
        <v>685464</v>
      </c>
      <c r="E51" s="722"/>
      <c r="F51" s="711"/>
      <c r="G51" s="712"/>
      <c r="H51" s="712"/>
      <c r="I51" s="712"/>
      <c r="J51" s="713"/>
      <c r="K51" s="714"/>
      <c r="L51" s="718"/>
      <c r="M51" s="711"/>
      <c r="N51" s="712"/>
      <c r="O51" s="712"/>
      <c r="P51" s="712"/>
      <c r="Q51" s="713"/>
      <c r="R51" s="714"/>
      <c r="S51" s="716"/>
      <c r="T51" s="706" t="s">
        <v>87</v>
      </c>
      <c r="U51" s="700" t="s">
        <v>158</v>
      </c>
      <c r="V51" s="700" t="s">
        <v>158</v>
      </c>
      <c r="W51" s="700" t="s">
        <v>158</v>
      </c>
      <c r="X51" s="700" t="s">
        <v>81</v>
      </c>
      <c r="Y51" s="701" t="s">
        <v>84</v>
      </c>
      <c r="Z51" s="702" t="s">
        <v>94</v>
      </c>
      <c r="AA51" s="350" t="s">
        <v>94</v>
      </c>
      <c r="AB51" s="348" t="s">
        <v>94</v>
      </c>
      <c r="AC51" s="348" t="s">
        <v>94</v>
      </c>
      <c r="AD51" s="348" t="s">
        <v>94</v>
      </c>
      <c r="AE51" s="348" t="s">
        <v>94</v>
      </c>
      <c r="AF51" s="698" t="s">
        <v>84</v>
      </c>
    </row>
    <row r="53" spans="1:38" ht="18" customHeight="1">
      <c r="D53" s="124" t="s">
        <v>123</v>
      </c>
      <c r="E53" s="123"/>
      <c r="F53" s="123" t="s">
        <v>136</v>
      </c>
      <c r="G53" s="123"/>
      <c r="H53" s="123"/>
      <c r="I53" s="123"/>
      <c r="J53" s="123"/>
      <c r="K53" s="123"/>
      <c r="L53" s="123"/>
      <c r="M53" s="123"/>
      <c r="N53" s="145"/>
      <c r="O53" s="145"/>
      <c r="U53" s="124" t="s">
        <v>135</v>
      </c>
      <c r="V53" s="123"/>
      <c r="W53" s="123" t="s">
        <v>148</v>
      </c>
      <c r="X53" s="123"/>
      <c r="Y53" s="123"/>
      <c r="Z53" s="123"/>
      <c r="AA53" s="123"/>
      <c r="AB53" s="123"/>
      <c r="AC53" s="123"/>
      <c r="AD53" s="123"/>
      <c r="AE53" s="135"/>
    </row>
    <row r="54" spans="1:38" ht="18" customHeight="1"/>
    <row r="55" spans="1:38" ht="18" customHeight="1">
      <c r="D55" s="124" t="s">
        <v>137</v>
      </c>
      <c r="E55" s="123"/>
      <c r="F55" s="123" t="s">
        <v>138</v>
      </c>
      <c r="G55" s="123"/>
      <c r="H55" s="123"/>
      <c r="I55" s="123"/>
      <c r="J55" s="123"/>
      <c r="K55" s="123"/>
      <c r="L55" s="123"/>
      <c r="M55" s="123"/>
      <c r="U55" s="124" t="s">
        <v>124</v>
      </c>
      <c r="V55" s="123"/>
      <c r="W55" s="1315" t="s">
        <v>142</v>
      </c>
      <c r="X55" s="1315"/>
      <c r="Y55" s="1315"/>
      <c r="Z55" s="1315"/>
      <c r="AA55" s="1315"/>
      <c r="AB55" s="1315"/>
      <c r="AC55" s="1315"/>
      <c r="AD55" s="1315"/>
      <c r="AE55" s="1315"/>
      <c r="AF55" s="1315"/>
    </row>
    <row r="56" spans="1:38" ht="18" customHeight="1"/>
    <row r="57" spans="1:38" ht="18" customHeight="1">
      <c r="D57" s="124" t="s">
        <v>107</v>
      </c>
      <c r="F57" s="1319" t="s">
        <v>170</v>
      </c>
      <c r="G57" s="1319"/>
      <c r="H57" s="1319"/>
      <c r="I57" s="1319"/>
      <c r="J57" s="1319"/>
      <c r="K57" s="1319"/>
      <c r="L57" s="1319"/>
      <c r="M57" s="1319"/>
      <c r="N57" s="1319"/>
      <c r="O57" s="209"/>
      <c r="P57" s="209"/>
      <c r="U57" s="124" t="s">
        <v>140</v>
      </c>
      <c r="V57" s="210"/>
      <c r="W57" s="123" t="s">
        <v>171</v>
      </c>
      <c r="X57" s="123"/>
      <c r="Y57" s="123"/>
      <c r="Z57" s="123"/>
      <c r="AA57" s="123"/>
      <c r="AB57" s="123"/>
      <c r="AC57" s="123"/>
    </row>
    <row r="58" spans="1:38" ht="18" customHeight="1"/>
    <row r="59" spans="1:38" ht="18" customHeight="1">
      <c r="D59" s="124" t="s">
        <v>108</v>
      </c>
      <c r="F59" s="123" t="s">
        <v>172</v>
      </c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U59" s="124" t="s">
        <v>103</v>
      </c>
      <c r="W59" s="209"/>
      <c r="X59" s="209"/>
      <c r="Y59" s="209"/>
      <c r="Z59" s="209"/>
      <c r="AA59" s="209"/>
      <c r="AB59" s="209"/>
      <c r="AC59" s="209"/>
      <c r="AD59" s="209"/>
      <c r="AE59" s="209"/>
      <c r="AF59" s="209"/>
    </row>
    <row r="60" spans="1:38" ht="18" customHeight="1"/>
    <row r="61" spans="1:38" ht="18" customHeight="1">
      <c r="D61" s="124" t="s">
        <v>105</v>
      </c>
      <c r="F61" s="123"/>
      <c r="U61" s="124" t="s">
        <v>145</v>
      </c>
      <c r="W61" s="123"/>
    </row>
    <row r="62" spans="1:38" ht="18" customHeight="1"/>
    <row r="63" spans="1:38" ht="18" customHeight="1">
      <c r="A63" s="123"/>
      <c r="B63" s="123"/>
      <c r="C63" s="123"/>
      <c r="D63" s="124" t="s">
        <v>122</v>
      </c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4" t="s">
        <v>115</v>
      </c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</row>
    <row r="64" spans="1:38" ht="18" customHeight="1"/>
    <row r="65" spans="4:32" ht="18" customHeight="1">
      <c r="D65" s="124" t="s">
        <v>160</v>
      </c>
      <c r="F65" s="123" t="s">
        <v>173</v>
      </c>
    </row>
    <row r="68" spans="4:32">
      <c r="D68" s="141" t="s">
        <v>150</v>
      </c>
      <c r="E68" s="174" t="s">
        <v>94</v>
      </c>
      <c r="F68" s="95" t="s">
        <v>94</v>
      </c>
      <c r="G68" s="94" t="s">
        <v>94</v>
      </c>
      <c r="H68" s="94" t="s">
        <v>94</v>
      </c>
      <c r="I68" s="94" t="s">
        <v>94</v>
      </c>
      <c r="J68" s="94" t="s">
        <v>94</v>
      </c>
      <c r="K68" s="134" t="s">
        <v>84</v>
      </c>
      <c r="L68" s="136" t="s">
        <v>84</v>
      </c>
      <c r="M68" s="162" t="s">
        <v>95</v>
      </c>
      <c r="N68" s="160" t="s">
        <v>95</v>
      </c>
      <c r="O68" s="160" t="s">
        <v>95</v>
      </c>
      <c r="P68" s="160" t="s">
        <v>95</v>
      </c>
      <c r="Q68" s="160" t="s">
        <v>95</v>
      </c>
      <c r="R68" s="159" t="s">
        <v>84</v>
      </c>
      <c r="S68" s="579" t="s">
        <v>84</v>
      </c>
      <c r="T68" s="573" t="s">
        <v>94</v>
      </c>
      <c r="U68" s="572" t="s">
        <v>94</v>
      </c>
      <c r="V68" s="572" t="s">
        <v>94</v>
      </c>
      <c r="W68" s="572" t="s">
        <v>94</v>
      </c>
      <c r="X68" s="572" t="s">
        <v>94</v>
      </c>
      <c r="Y68" s="134" t="s">
        <v>84</v>
      </c>
      <c r="Z68" s="92" t="s">
        <v>94</v>
      </c>
      <c r="AA68" s="87" t="s">
        <v>94</v>
      </c>
      <c r="AB68" s="80" t="s">
        <v>94</v>
      </c>
      <c r="AC68" s="80" t="s">
        <v>94</v>
      </c>
      <c r="AD68" s="80" t="s">
        <v>94</v>
      </c>
      <c r="AE68" s="80" t="s">
        <v>94</v>
      </c>
      <c r="AF68" s="136" t="s">
        <v>84</v>
      </c>
    </row>
    <row r="69" spans="4:32">
      <c r="D69" s="142" t="s">
        <v>151</v>
      </c>
      <c r="E69" s="311">
        <f>COUNTBLANK(E19:E24)</f>
        <v>4</v>
      </c>
      <c r="F69" s="311">
        <f t="shared" ref="F69:AF69" si="0">COUNTBLANK(F19:F24)</f>
        <v>4</v>
      </c>
      <c r="G69" s="311">
        <f t="shared" si="0"/>
        <v>4</v>
      </c>
      <c r="H69" s="311">
        <f t="shared" si="0"/>
        <v>5</v>
      </c>
      <c r="I69" s="311">
        <f t="shared" si="0"/>
        <v>5</v>
      </c>
      <c r="J69" s="311">
        <f t="shared" si="0"/>
        <v>4</v>
      </c>
      <c r="K69" s="311">
        <f t="shared" si="0"/>
        <v>6</v>
      </c>
      <c r="L69" s="311">
        <f>COUNTBLANK(L19:L24)</f>
        <v>6</v>
      </c>
      <c r="M69" s="311">
        <f t="shared" si="0"/>
        <v>4</v>
      </c>
      <c r="N69" s="311">
        <f t="shared" si="0"/>
        <v>4</v>
      </c>
      <c r="O69" s="311">
        <f t="shared" si="0"/>
        <v>3</v>
      </c>
      <c r="P69" s="311">
        <f t="shared" si="0"/>
        <v>3</v>
      </c>
      <c r="Q69" s="311">
        <f t="shared" si="0"/>
        <v>4</v>
      </c>
      <c r="R69" s="311">
        <f t="shared" si="0"/>
        <v>5</v>
      </c>
      <c r="S69" s="563">
        <f t="shared" si="0"/>
        <v>6</v>
      </c>
      <c r="T69" s="563">
        <f t="shared" si="0"/>
        <v>0</v>
      </c>
      <c r="U69" s="563">
        <f t="shared" si="0"/>
        <v>5</v>
      </c>
      <c r="V69" s="563">
        <f t="shared" si="0"/>
        <v>5</v>
      </c>
      <c r="W69" s="563">
        <f t="shared" si="0"/>
        <v>5</v>
      </c>
      <c r="X69" s="563">
        <f t="shared" si="0"/>
        <v>4</v>
      </c>
      <c r="Y69" s="311">
        <f t="shared" si="0"/>
        <v>6</v>
      </c>
      <c r="Z69" s="311">
        <f t="shared" si="0"/>
        <v>6</v>
      </c>
      <c r="AA69" s="311">
        <f t="shared" si="0"/>
        <v>6</v>
      </c>
      <c r="AB69" s="311">
        <f t="shared" si="0"/>
        <v>6</v>
      </c>
      <c r="AC69" s="311">
        <f t="shared" si="0"/>
        <v>6</v>
      </c>
      <c r="AD69" s="311">
        <f t="shared" si="0"/>
        <v>5</v>
      </c>
      <c r="AE69" s="311">
        <f t="shared" si="0"/>
        <v>5</v>
      </c>
      <c r="AF69" s="311">
        <f t="shared" si="0"/>
        <v>6</v>
      </c>
    </row>
    <row r="70" spans="4:32">
      <c r="D70" s="143" t="s">
        <v>150</v>
      </c>
      <c r="E70" s="367" t="s">
        <v>94</v>
      </c>
      <c r="F70" s="199" t="s">
        <v>94</v>
      </c>
      <c r="G70" s="200" t="s">
        <v>94</v>
      </c>
      <c r="H70" s="200" t="s">
        <v>94</v>
      </c>
      <c r="I70" s="200" t="s">
        <v>94</v>
      </c>
      <c r="J70" s="200" t="s">
        <v>94</v>
      </c>
      <c r="K70" s="196" t="s">
        <v>84</v>
      </c>
      <c r="L70" s="202" t="s">
        <v>94</v>
      </c>
      <c r="M70" s="203" t="s">
        <v>94</v>
      </c>
      <c r="N70" s="200" t="s">
        <v>94</v>
      </c>
      <c r="O70" s="200" t="s">
        <v>94</v>
      </c>
      <c r="P70" s="200" t="s">
        <v>94</v>
      </c>
      <c r="Q70" s="200" t="s">
        <v>94</v>
      </c>
      <c r="R70" s="196" t="s">
        <v>84</v>
      </c>
      <c r="S70" s="571" t="s">
        <v>84</v>
      </c>
      <c r="T70" s="570" t="s">
        <v>95</v>
      </c>
      <c r="U70" s="569" t="s">
        <v>95</v>
      </c>
      <c r="V70" s="569" t="s">
        <v>95</v>
      </c>
      <c r="W70" s="569" t="s">
        <v>95</v>
      </c>
      <c r="X70" s="569" t="s">
        <v>95</v>
      </c>
      <c r="Y70" s="196" t="s">
        <v>84</v>
      </c>
      <c r="Z70" s="197" t="s">
        <v>84</v>
      </c>
      <c r="AA70" s="203" t="s">
        <v>94</v>
      </c>
      <c r="AB70" s="200" t="s">
        <v>94</v>
      </c>
      <c r="AC70" s="200" t="s">
        <v>94</v>
      </c>
      <c r="AD70" s="200" t="s">
        <v>94</v>
      </c>
      <c r="AE70" s="200" t="s">
        <v>94</v>
      </c>
      <c r="AF70" s="197" t="s">
        <v>84</v>
      </c>
    </row>
    <row r="71" spans="4:32">
      <c r="D71" s="142" t="s">
        <v>152</v>
      </c>
      <c r="E71" s="311">
        <f t="shared" ref="E71:AF71" si="1">COUNTBLANK(E26:E31)</f>
        <v>6</v>
      </c>
      <c r="F71" s="311">
        <f t="shared" si="1"/>
        <v>6</v>
      </c>
      <c r="G71" s="311">
        <f t="shared" si="1"/>
        <v>6</v>
      </c>
      <c r="H71" s="311">
        <f t="shared" si="1"/>
        <v>6</v>
      </c>
      <c r="I71" s="311">
        <f t="shared" si="1"/>
        <v>6</v>
      </c>
      <c r="J71" s="311">
        <f t="shared" si="1"/>
        <v>5</v>
      </c>
      <c r="K71" s="311">
        <f t="shared" si="1"/>
        <v>6</v>
      </c>
      <c r="L71" s="311">
        <f t="shared" si="1"/>
        <v>4</v>
      </c>
      <c r="M71" s="311">
        <f t="shared" si="1"/>
        <v>4</v>
      </c>
      <c r="N71" s="311">
        <f t="shared" si="1"/>
        <v>4</v>
      </c>
      <c r="O71" s="311">
        <f t="shared" si="1"/>
        <v>4</v>
      </c>
      <c r="P71" s="311">
        <f t="shared" si="1"/>
        <v>4</v>
      </c>
      <c r="Q71" s="311">
        <f t="shared" si="1"/>
        <v>3</v>
      </c>
      <c r="R71" s="311">
        <f t="shared" si="1"/>
        <v>6</v>
      </c>
      <c r="S71" s="563">
        <f t="shared" si="1"/>
        <v>6</v>
      </c>
      <c r="T71" s="563">
        <f t="shared" si="1"/>
        <v>3</v>
      </c>
      <c r="U71" s="563">
        <f t="shared" si="1"/>
        <v>0</v>
      </c>
      <c r="V71" s="563">
        <f t="shared" si="1"/>
        <v>0</v>
      </c>
      <c r="W71" s="563">
        <f t="shared" si="1"/>
        <v>0</v>
      </c>
      <c r="X71" s="563">
        <f t="shared" si="1"/>
        <v>0</v>
      </c>
      <c r="Y71" s="311">
        <f t="shared" si="1"/>
        <v>6</v>
      </c>
      <c r="Z71" s="311">
        <f t="shared" si="1"/>
        <v>6</v>
      </c>
      <c r="AA71" s="311">
        <f t="shared" si="1"/>
        <v>6</v>
      </c>
      <c r="AB71" s="311">
        <f t="shared" si="1"/>
        <v>6</v>
      </c>
      <c r="AC71" s="311">
        <f t="shared" si="1"/>
        <v>6</v>
      </c>
      <c r="AD71" s="311">
        <f t="shared" si="1"/>
        <v>6</v>
      </c>
      <c r="AE71" s="311">
        <f t="shared" si="1"/>
        <v>6</v>
      </c>
      <c r="AF71" s="311">
        <f t="shared" si="1"/>
        <v>6</v>
      </c>
    </row>
    <row r="72" spans="4:32">
      <c r="D72" s="143" t="s">
        <v>150</v>
      </c>
      <c r="E72" s="362" t="s">
        <v>84</v>
      </c>
      <c r="F72" s="199" t="s">
        <v>94</v>
      </c>
      <c r="G72" s="200" t="s">
        <v>94</v>
      </c>
      <c r="H72" s="200" t="s">
        <v>94</v>
      </c>
      <c r="I72" s="200" t="s">
        <v>94</v>
      </c>
      <c r="J72" s="200" t="s">
        <v>94</v>
      </c>
      <c r="K72" s="196" t="s">
        <v>84</v>
      </c>
      <c r="L72" s="202" t="s">
        <v>94</v>
      </c>
      <c r="M72" s="203" t="s">
        <v>94</v>
      </c>
      <c r="N72" s="200" t="s">
        <v>94</v>
      </c>
      <c r="O72" s="200" t="s">
        <v>94</v>
      </c>
      <c r="P72" s="200" t="s">
        <v>94</v>
      </c>
      <c r="Q72" s="200" t="s">
        <v>94</v>
      </c>
      <c r="R72" s="196" t="s">
        <v>84</v>
      </c>
      <c r="S72" s="365" t="s">
        <v>94</v>
      </c>
      <c r="T72" s="567" t="s">
        <v>94</v>
      </c>
      <c r="U72" s="363" t="s">
        <v>94</v>
      </c>
      <c r="V72" s="363" t="s">
        <v>94</v>
      </c>
      <c r="W72" s="363" t="s">
        <v>94</v>
      </c>
      <c r="X72" s="363" t="s">
        <v>94</v>
      </c>
      <c r="Y72" s="196" t="s">
        <v>84</v>
      </c>
      <c r="Z72" s="197" t="s">
        <v>84</v>
      </c>
      <c r="AA72" s="204" t="s">
        <v>95</v>
      </c>
      <c r="AB72" s="195" t="s">
        <v>95</v>
      </c>
      <c r="AC72" s="195" t="s">
        <v>95</v>
      </c>
      <c r="AD72" s="195" t="s">
        <v>95</v>
      </c>
      <c r="AE72" s="195" t="s">
        <v>95</v>
      </c>
      <c r="AF72" s="197" t="s">
        <v>84</v>
      </c>
    </row>
    <row r="73" spans="4:32">
      <c r="D73" s="142" t="s">
        <v>117</v>
      </c>
      <c r="E73" s="311">
        <f t="shared" ref="E73:AF73" si="2">COUNTBLANK(E34:E39)</f>
        <v>6</v>
      </c>
      <c r="F73" s="311">
        <f t="shared" si="2"/>
        <v>5</v>
      </c>
      <c r="G73" s="311">
        <f t="shared" si="2"/>
        <v>5</v>
      </c>
      <c r="H73" s="311">
        <f t="shared" si="2"/>
        <v>6</v>
      </c>
      <c r="I73" s="311">
        <f t="shared" si="2"/>
        <v>6</v>
      </c>
      <c r="J73" s="311">
        <f t="shared" si="2"/>
        <v>6</v>
      </c>
      <c r="K73" s="311">
        <f t="shared" si="2"/>
        <v>6</v>
      </c>
      <c r="L73" s="311">
        <f t="shared" si="2"/>
        <v>6</v>
      </c>
      <c r="M73" s="311">
        <f t="shared" si="2"/>
        <v>6</v>
      </c>
      <c r="N73" s="311">
        <f t="shared" si="2"/>
        <v>6</v>
      </c>
      <c r="O73" s="311">
        <f t="shared" si="2"/>
        <v>5</v>
      </c>
      <c r="P73" s="311">
        <f t="shared" si="2"/>
        <v>5</v>
      </c>
      <c r="Q73" s="311">
        <f t="shared" si="2"/>
        <v>4</v>
      </c>
      <c r="R73" s="311">
        <f t="shared" si="2"/>
        <v>6</v>
      </c>
      <c r="S73" s="563">
        <f t="shared" si="2"/>
        <v>2</v>
      </c>
      <c r="T73" s="563">
        <f t="shared" si="2"/>
        <v>0</v>
      </c>
      <c r="U73" s="563">
        <f t="shared" si="2"/>
        <v>3</v>
      </c>
      <c r="V73" s="563">
        <f t="shared" si="2"/>
        <v>3</v>
      </c>
      <c r="W73" s="563">
        <f t="shared" si="2"/>
        <v>3</v>
      </c>
      <c r="X73" s="563">
        <f t="shared" si="2"/>
        <v>3</v>
      </c>
      <c r="Y73" s="311">
        <f t="shared" si="2"/>
        <v>6</v>
      </c>
      <c r="Z73" s="311">
        <f t="shared" si="2"/>
        <v>6</v>
      </c>
      <c r="AA73" s="311">
        <f t="shared" si="2"/>
        <v>4</v>
      </c>
      <c r="AB73" s="311">
        <f t="shared" si="2"/>
        <v>5</v>
      </c>
      <c r="AC73" s="311">
        <f t="shared" si="2"/>
        <v>4</v>
      </c>
      <c r="AD73" s="311">
        <f t="shared" si="2"/>
        <v>4</v>
      </c>
      <c r="AE73" s="311">
        <f t="shared" si="2"/>
        <v>4</v>
      </c>
      <c r="AF73" s="311">
        <f t="shared" si="2"/>
        <v>6</v>
      </c>
    </row>
    <row r="74" spans="4:32">
      <c r="D74" s="144" t="s">
        <v>150</v>
      </c>
      <c r="E74" s="362" t="s">
        <v>84</v>
      </c>
      <c r="F74" s="194" t="s">
        <v>95</v>
      </c>
      <c r="G74" s="195" t="s">
        <v>95</v>
      </c>
      <c r="H74" s="195" t="s">
        <v>95</v>
      </c>
      <c r="I74" s="195" t="s">
        <v>95</v>
      </c>
      <c r="J74" s="195" t="s">
        <v>95</v>
      </c>
      <c r="K74" s="196" t="s">
        <v>84</v>
      </c>
      <c r="L74" s="197" t="s">
        <v>84</v>
      </c>
      <c r="M74" s="203" t="s">
        <v>94</v>
      </c>
      <c r="N74" s="200" t="s">
        <v>94</v>
      </c>
      <c r="O74" s="200" t="s">
        <v>94</v>
      </c>
      <c r="P74" s="200" t="s">
        <v>94</v>
      </c>
      <c r="Q74" s="363" t="s">
        <v>94</v>
      </c>
      <c r="R74" s="364" t="s">
        <v>84</v>
      </c>
      <c r="S74" s="365" t="s">
        <v>94</v>
      </c>
      <c r="T74" s="567" t="s">
        <v>94</v>
      </c>
      <c r="U74" s="363" t="s">
        <v>94</v>
      </c>
      <c r="V74" s="363" t="s">
        <v>94</v>
      </c>
      <c r="W74" s="363" t="s">
        <v>94</v>
      </c>
      <c r="X74" s="363" t="s">
        <v>94</v>
      </c>
      <c r="Y74" s="196" t="s">
        <v>84</v>
      </c>
      <c r="Z74" s="202" t="s">
        <v>94</v>
      </c>
      <c r="AA74" s="203" t="s">
        <v>94</v>
      </c>
      <c r="AB74" s="200" t="s">
        <v>94</v>
      </c>
      <c r="AC74" s="200" t="s">
        <v>94</v>
      </c>
      <c r="AD74" s="200" t="s">
        <v>94</v>
      </c>
      <c r="AE74" s="200" t="s">
        <v>94</v>
      </c>
      <c r="AF74" s="197" t="s">
        <v>84</v>
      </c>
    </row>
    <row r="75" spans="4:32">
      <c r="D75" s="142" t="s">
        <v>119</v>
      </c>
      <c r="E75" s="311">
        <f>COUNTBLANK(E41:E46)</f>
        <v>6</v>
      </c>
      <c r="F75" s="311">
        <f t="shared" ref="F75:AF75" si="3">COUNTBLANK(F41:F46)</f>
        <v>5</v>
      </c>
      <c r="G75" s="311">
        <f t="shared" si="3"/>
        <v>6</v>
      </c>
      <c r="H75" s="311">
        <f t="shared" si="3"/>
        <v>6</v>
      </c>
      <c r="I75" s="311">
        <f t="shared" si="3"/>
        <v>6</v>
      </c>
      <c r="J75" s="311">
        <f t="shared" si="3"/>
        <v>6</v>
      </c>
      <c r="K75" s="311">
        <f t="shared" si="3"/>
        <v>6</v>
      </c>
      <c r="L75" s="311">
        <f t="shared" si="3"/>
        <v>6</v>
      </c>
      <c r="M75" s="311">
        <f t="shared" si="3"/>
        <v>5</v>
      </c>
      <c r="N75" s="311">
        <f t="shared" si="3"/>
        <v>5</v>
      </c>
      <c r="O75" s="311">
        <f t="shared" si="3"/>
        <v>5</v>
      </c>
      <c r="P75" s="311">
        <f t="shared" si="3"/>
        <v>5</v>
      </c>
      <c r="Q75" s="311">
        <f t="shared" si="3"/>
        <v>5</v>
      </c>
      <c r="R75" s="311">
        <f t="shared" si="3"/>
        <v>6</v>
      </c>
      <c r="S75" s="311">
        <f t="shared" si="3"/>
        <v>1</v>
      </c>
      <c r="T75" s="311">
        <f t="shared" si="3"/>
        <v>0</v>
      </c>
      <c r="U75" s="311">
        <f t="shared" si="3"/>
        <v>2</v>
      </c>
      <c r="V75" s="311">
        <f t="shared" si="3"/>
        <v>2</v>
      </c>
      <c r="W75" s="311">
        <f t="shared" si="3"/>
        <v>2</v>
      </c>
      <c r="X75" s="311">
        <f t="shared" si="3"/>
        <v>2</v>
      </c>
      <c r="Y75" s="311">
        <f t="shared" si="3"/>
        <v>6</v>
      </c>
      <c r="Z75" s="311">
        <f t="shared" si="3"/>
        <v>5</v>
      </c>
      <c r="AA75" s="311">
        <f t="shared" si="3"/>
        <v>5</v>
      </c>
      <c r="AB75" s="311">
        <f t="shared" si="3"/>
        <v>5</v>
      </c>
      <c r="AC75" s="311">
        <f t="shared" si="3"/>
        <v>5</v>
      </c>
      <c r="AD75" s="311">
        <f t="shared" si="3"/>
        <v>5</v>
      </c>
      <c r="AE75" s="311">
        <f t="shared" si="3"/>
        <v>4</v>
      </c>
      <c r="AF75" s="311">
        <f t="shared" si="3"/>
        <v>6</v>
      </c>
    </row>
  </sheetData>
  <sheetProtection algorithmName="SHA-512" hashValue="xh7KXJhqHH+55tg+ZBQXhXeMUUHxpOuzwPUMM3akfWv7HuQK0cHCntnGPdWPrqYaZn0bFTwnQY/X9oxWFdP7rw==" saltValue="eRrjjdKPDhq7MHp1nXvtEQ==" spinCount="100000" sheet="1" objects="1" scenarios="1"/>
  <mergeCells count="26">
    <mergeCell ref="A25:A32"/>
    <mergeCell ref="A18:A24"/>
    <mergeCell ref="B18:D18"/>
    <mergeCell ref="E2:AF2"/>
    <mergeCell ref="E3:AF3"/>
    <mergeCell ref="A8:A9"/>
    <mergeCell ref="A10:A11"/>
    <mergeCell ref="A12:A13"/>
    <mergeCell ref="B12:D12"/>
    <mergeCell ref="AA4:AF4"/>
    <mergeCell ref="F57:N57"/>
    <mergeCell ref="W55:AF55"/>
    <mergeCell ref="A48:A49"/>
    <mergeCell ref="B48:D48"/>
    <mergeCell ref="F4:L4"/>
    <mergeCell ref="M4:S4"/>
    <mergeCell ref="T4:Z4"/>
    <mergeCell ref="B25:D25"/>
    <mergeCell ref="A33:A39"/>
    <mergeCell ref="B33:D33"/>
    <mergeCell ref="A40:A47"/>
    <mergeCell ref="B40:D40"/>
    <mergeCell ref="A14:A15"/>
    <mergeCell ref="B14:D14"/>
    <mergeCell ref="A16:A17"/>
    <mergeCell ref="B16:D16"/>
  </mergeCells>
  <phoneticPr fontId="18" type="noConversion"/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554FCE28-1FB1-4AC8-BDFE-3F3B4C02BF5F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160B6573-24CF-41B3-A8D0-B4FB4F935C15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86643AFC-6C97-41A5-B597-3CB3FA8296F8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0FE98E31-CAB4-421E-899B-6FB78C57B51C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29B49EBB-FDDE-4584-B1C0-37FC36A8B0A6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E16F4A4F-77B0-4F3B-9A7D-4BF4C4B45F81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A735EB34-E744-40AD-8EA9-78EAD028C30B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9724F6F2-0772-4DE0-9AF9-F015DA34D9C4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806679FB-1A13-4377-BC98-305BF29A0B6A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E2C535BE-E61F-4CD1-9CDA-8B0992C1FD33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BC172712-C411-4681-8AB4-DEA7E4D0CB8D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E8AC4FE8-5823-4479-97B5-587171EB1759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87CDA4BB-C3E7-49CF-AED9-4D415B586F9B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A34C80AF-9EF2-45AD-9332-06C0F1F3698C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523FE8D8-9B07-44DD-8538-83928F22D973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B789D93B-4A8D-49C8-A26F-0550C839D735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6A509E38-4C42-4A1E-88B7-9F96F1F85E82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4617EE2D-D84C-46F2-9C75-20938BDDE8B7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3EFCB8AB-02B3-4152-B794-9A1E2B69C759}">
            <xm:f>'OHLR DUAT'!$F$18&gt;2</xm:f>
            <x14:dxf/>
          </x14:cfRule>
          <x14:cfRule type="expression" priority="21" stopIfTrue="1" id="{7DE09B50-249D-4436-8EB1-E651D2D88EAA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84D62277-1DE1-4709-9158-E346808BC323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93A9333F-7576-4FEC-8464-9BADF89615B3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5002DED2-D65C-4941-A3EA-0FF7D7AE04FB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C386A9EC-C70B-4FCC-B9C2-BE2348506016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BA3BD7FD-B3BC-4E44-A022-BEB9BD28A6E5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883439AB-88D4-4422-9C15-F633BF0BF7CD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7AD77D8E-9812-4F51-9EA5-7525D5A6E842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A654BF00-8EEA-4E73-B536-BA842A0477A9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FF76FA81-9CDB-490B-8807-11DE4963FEFC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96170D7D-598F-435C-9534-B3507F3293F3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23B7C6A5-871B-4C2D-A01E-0FDEC5DBE9F8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3ADE6C1A-0FAF-4546-9F8E-4B8640F47A5F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A1EC5289-861E-475E-9956-D9D02523CDE0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F5B5231A-254F-42C5-8783-2ED20A570430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264ECD41-CF62-4F93-86AD-1DB9B87FF524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0" id="{945ECDFA-04DF-43BA-9A63-12209A9A4DE0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E3D4B476-4037-42C7-9F0A-CF3CB5DEC790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16B36202-31FA-491C-9F0E-D6C70418071E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" id="{C1D191AB-AD5E-44F2-AE49-401DD7726219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7A32F823-CF06-453A-A773-B61A2F9C1635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22F01DD8-1637-4EEF-85D0-858236F5A131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" id="{34024A72-2EFB-4E40-B57E-0E944D78D1CA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E19ED9F5-C06C-4ED2-A332-A5B9AD91E6F9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91B7E701-789F-48CA-AE69-EAED684FD378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B32</xm:sqref>
        </x14:conditionalFormatting>
        <x14:conditionalFormatting xmlns:xm="http://schemas.microsoft.com/office/excel/2006/main">
          <x14:cfRule type="expression" priority="62" stopIfTrue="1" id="{8872B70F-8106-4E84-BE90-E164B1454063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2FF34B96-EA31-41D8-9A7A-98B064CE0B98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722F88D5-8DD7-4EDA-A131-1CF8703CE431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F6C619A6-9E2C-41B0-8ECF-7A12902ACD20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0E5E14D4-C293-4A60-83AA-886709613EC0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0F72B38F-05EA-440B-9321-CCBF2E0436B4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379D1338-4D89-4951-8874-184102003F9F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015CB10F-0A98-4796-8E36-C5861A0A66F2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ED31B6B1-5E72-4EC9-A0A2-6F8D2D1CB32A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4CC2BB82-B56B-4E8B-84C9-4EC5F09D034F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4F434D81-DDFA-4282-A48C-910518220508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827A312D-C042-4A5C-94E7-A6FDA4FD80ED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7ED6450E-FC22-4D52-8311-2DCED447109E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592228A2-FB5C-4D38-9483-B59259D1622D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0F5E6471-67B4-4BAD-82AD-C8D7ECC5EA03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CEBCA59-59C4-4ECB-8E1A-43564290FE45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54D92F5E-9DEF-4899-B3E2-400299DED02B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3CA69BB6-F5C7-4CFF-97F3-C65E57F10F95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E5CF9310-172E-4196-82A7-C1A3080905FB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92AF5980-0DCA-4B6D-AE45-F71C3BE19EC5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23849A9D-6D5F-481B-903B-714AF972C0A8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2CBF9084-1B40-448C-ACCB-F6DFE7B0D9AF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8F9251C5-C7E0-48B8-AE6F-CCD447D574B1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9DDA1E02-C983-4D4E-A987-3BBC97BFE853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A579AB78-1023-41A7-8775-0D9042B255EF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A94EE5D5-4F40-40AB-AB8C-F4F16FE82643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6EE56750-FC9D-448A-9DD1-245407FB210D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4A35716E-CABC-48AC-96D3-15C4281957E6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F51C822F-7D3F-4056-9C22-D11AF1F1E096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E441ABBD-EA5C-4739-AD71-C5C7BB4732CC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EA08A77A-4026-46D8-B370-4D4D9C6F502A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18F28E4C-8CEE-4584-8997-3F130EFD431D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470F588E-2DA1-45A7-ACBE-A7CA36EC1D19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30D505B0-C5CB-4117-9779-4E1641E36844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29" id="{A9313AB4-9D67-4D8D-B5D7-8E2CE001E0D5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3" id="{FE27BDF7-0E9D-41CB-A0DB-82AE80D8737D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6" id="{5426B41F-1B4B-41C2-82A8-EA7C9C32B268}">
            <xm:f>VLOOKUP(#REF!,'OHLR DUAT'!$B$4:$E$15,4,FALSE)</xm:f>
            <x14:dxf/>
          </x14:cfRule>
          <xm:sqref>E8:AF9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9BF7-1F82-460C-AE66-7CF849638FB8}">
  <dimension ref="A1:AP81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G39" sqref="G39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35" width="6.6328125" customWidth="1"/>
  </cols>
  <sheetData>
    <row r="1" spans="1:42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42" ht="20.5" thickBot="1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1300"/>
    </row>
    <row r="3" spans="1:42" ht="18" customHeight="1">
      <c r="A3" s="19"/>
      <c r="B3" s="43"/>
      <c r="C3" s="19"/>
      <c r="D3" s="127"/>
      <c r="E3" s="1301" t="s">
        <v>174</v>
      </c>
      <c r="F3" s="1301"/>
      <c r="G3" s="1301"/>
      <c r="H3" s="1301"/>
      <c r="I3" s="1301"/>
      <c r="J3" s="1301"/>
      <c r="K3" s="1301"/>
      <c r="L3" s="1301"/>
      <c r="M3" s="1301"/>
      <c r="N3" s="1301"/>
      <c r="O3" s="1301"/>
      <c r="P3" s="1301"/>
      <c r="Q3" s="1301"/>
      <c r="R3" s="1301"/>
      <c r="S3" s="1301"/>
      <c r="T3" s="1301"/>
      <c r="U3" s="1301"/>
      <c r="V3" s="1301"/>
      <c r="W3" s="1301"/>
      <c r="X3" s="1301"/>
      <c r="Y3" s="1301"/>
      <c r="Z3" s="1301"/>
      <c r="AA3" s="1301"/>
      <c r="AB3" s="1301"/>
      <c r="AC3" s="1301"/>
      <c r="AD3" s="1301"/>
      <c r="AE3" s="1301"/>
      <c r="AF3" s="1301"/>
      <c r="AG3" s="1301"/>
      <c r="AH3" s="1301"/>
      <c r="AI3" s="1301"/>
    </row>
    <row r="4" spans="1:42" s="31" customFormat="1" ht="18" customHeight="1">
      <c r="A4" s="19"/>
      <c r="B4" s="43"/>
      <c r="C4" s="19"/>
      <c r="D4" s="19"/>
      <c r="E4" s="155" t="s">
        <v>157</v>
      </c>
      <c r="F4" s="1324" t="s">
        <v>175</v>
      </c>
      <c r="G4" s="1325"/>
      <c r="H4" s="1325"/>
      <c r="I4" s="1325"/>
      <c r="J4" s="1325"/>
      <c r="K4" s="1325"/>
      <c r="L4" s="1326"/>
      <c r="M4" s="1324" t="s">
        <v>176</v>
      </c>
      <c r="N4" s="1325"/>
      <c r="O4" s="1325"/>
      <c r="P4" s="1325"/>
      <c r="Q4" s="1325"/>
      <c r="R4" s="1325"/>
      <c r="S4" s="1326"/>
      <c r="T4" s="1324" t="s">
        <v>177</v>
      </c>
      <c r="U4" s="1325"/>
      <c r="V4" s="1325"/>
      <c r="W4" s="1325"/>
      <c r="X4" s="1325"/>
      <c r="Y4" s="1325"/>
      <c r="Z4" s="1326"/>
      <c r="AA4" s="1353" t="s">
        <v>178</v>
      </c>
      <c r="AB4" s="1354"/>
      <c r="AC4" s="1354"/>
      <c r="AD4" s="1354"/>
      <c r="AE4" s="1354"/>
      <c r="AF4" s="1354"/>
      <c r="AG4" s="1355"/>
      <c r="AH4" s="1356" t="s">
        <v>179</v>
      </c>
      <c r="AI4" s="1357"/>
    </row>
    <row r="5" spans="1:42" s="31" customFormat="1" ht="18" customHeight="1">
      <c r="A5" s="14"/>
      <c r="B5" s="42"/>
      <c r="C5" s="15"/>
      <c r="D5" s="15"/>
      <c r="E5" s="693">
        <v>1</v>
      </c>
      <c r="F5" s="34">
        <v>2</v>
      </c>
      <c r="G5" s="32">
        <v>3</v>
      </c>
      <c r="H5" s="32">
        <v>4</v>
      </c>
      <c r="I5" s="32">
        <v>5</v>
      </c>
      <c r="J5" s="32">
        <v>6</v>
      </c>
      <c r="K5" s="32">
        <v>7</v>
      </c>
      <c r="L5" s="33">
        <v>8</v>
      </c>
      <c r="M5" s="39">
        <v>9</v>
      </c>
      <c r="N5" s="32">
        <v>10</v>
      </c>
      <c r="O5" s="32">
        <v>11</v>
      </c>
      <c r="P5" s="32">
        <v>12</v>
      </c>
      <c r="Q5" s="32">
        <v>13</v>
      </c>
      <c r="R5" s="32">
        <v>14</v>
      </c>
      <c r="S5" s="40">
        <v>15</v>
      </c>
      <c r="T5" s="34">
        <v>16</v>
      </c>
      <c r="U5" s="32">
        <v>17</v>
      </c>
      <c r="V5" s="32">
        <v>18</v>
      </c>
      <c r="W5" s="32">
        <v>19</v>
      </c>
      <c r="X5" s="32">
        <v>20</v>
      </c>
      <c r="Y5" s="32">
        <v>21</v>
      </c>
      <c r="Z5" s="33">
        <v>22</v>
      </c>
      <c r="AA5" s="182">
        <v>23</v>
      </c>
      <c r="AB5" s="179">
        <v>24</v>
      </c>
      <c r="AC5" s="179">
        <v>25</v>
      </c>
      <c r="AD5" s="179">
        <v>26</v>
      </c>
      <c r="AE5" s="179">
        <v>27</v>
      </c>
      <c r="AF5" s="180">
        <v>28</v>
      </c>
      <c r="AG5" s="180">
        <v>29</v>
      </c>
      <c r="AH5" s="799">
        <v>30</v>
      </c>
      <c r="AI5" s="800">
        <v>31</v>
      </c>
    </row>
    <row r="6" spans="1:42" s="31" customFormat="1" ht="18" customHeight="1">
      <c r="A6" s="19"/>
      <c r="B6" s="43"/>
      <c r="C6" s="19"/>
      <c r="D6" s="19"/>
      <c r="E6" s="811" t="s">
        <v>70</v>
      </c>
      <c r="F6" s="781" t="s">
        <v>71</v>
      </c>
      <c r="G6" s="782" t="s">
        <v>72</v>
      </c>
      <c r="H6" s="782" t="s">
        <v>73</v>
      </c>
      <c r="I6" s="782" t="s">
        <v>67</v>
      </c>
      <c r="J6" s="782" t="s">
        <v>68</v>
      </c>
      <c r="K6" s="782" t="s">
        <v>69</v>
      </c>
      <c r="L6" s="784" t="s">
        <v>70</v>
      </c>
      <c r="M6" s="812" t="s">
        <v>71</v>
      </c>
      <c r="N6" s="782" t="s">
        <v>72</v>
      </c>
      <c r="O6" s="782" t="s">
        <v>73</v>
      </c>
      <c r="P6" s="782" t="s">
        <v>67</v>
      </c>
      <c r="Q6" s="782" t="s">
        <v>68</v>
      </c>
      <c r="R6" s="782" t="s">
        <v>69</v>
      </c>
      <c r="S6" s="785" t="s">
        <v>70</v>
      </c>
      <c r="T6" s="781" t="s">
        <v>71</v>
      </c>
      <c r="U6" s="782" t="s">
        <v>72</v>
      </c>
      <c r="V6" s="782" t="s">
        <v>73</v>
      </c>
      <c r="W6" s="782" t="s">
        <v>67</v>
      </c>
      <c r="X6" s="782" t="s">
        <v>68</v>
      </c>
      <c r="Y6" s="782" t="s">
        <v>69</v>
      </c>
      <c r="Z6" s="784" t="s">
        <v>70</v>
      </c>
      <c r="AA6" s="781" t="s">
        <v>71</v>
      </c>
      <c r="AB6" s="782" t="s">
        <v>72</v>
      </c>
      <c r="AC6" s="782" t="s">
        <v>73</v>
      </c>
      <c r="AD6" s="782" t="s">
        <v>67</v>
      </c>
      <c r="AE6" s="782" t="s">
        <v>68</v>
      </c>
      <c r="AF6" s="813" t="s">
        <v>69</v>
      </c>
      <c r="AG6" s="785" t="s">
        <v>70</v>
      </c>
      <c r="AH6" s="814" t="s">
        <v>71</v>
      </c>
      <c r="AI6" s="815" t="s">
        <v>72</v>
      </c>
    </row>
    <row r="7" spans="1:42" ht="18" customHeight="1">
      <c r="A7" s="845" t="s">
        <v>74</v>
      </c>
      <c r="B7" s="225" t="s">
        <v>75</v>
      </c>
      <c r="C7" s="25" t="s">
        <v>76</v>
      </c>
      <c r="D7" s="26" t="s">
        <v>77</v>
      </c>
      <c r="E7" s="797"/>
      <c r="F7" s="787"/>
      <c r="G7" s="788"/>
      <c r="H7" s="788"/>
      <c r="I7" s="788"/>
      <c r="J7" s="788"/>
      <c r="K7" s="788"/>
      <c r="L7" s="789"/>
      <c r="M7" s="798"/>
      <c r="N7" s="788"/>
      <c r="O7" s="788"/>
      <c r="P7" s="788"/>
      <c r="Q7" s="788"/>
      <c r="R7" s="788"/>
      <c r="S7" s="790"/>
      <c r="T7" s="787"/>
      <c r="U7" s="788"/>
      <c r="V7" s="788"/>
      <c r="W7" s="788"/>
      <c r="X7" s="788"/>
      <c r="Y7" s="788"/>
      <c r="Z7" s="789"/>
      <c r="AA7" s="798"/>
      <c r="AB7" s="788"/>
      <c r="AC7" s="788"/>
      <c r="AD7" s="788"/>
      <c r="AE7" s="788"/>
      <c r="AF7" s="790"/>
      <c r="AG7" s="790"/>
      <c r="AH7" s="801"/>
      <c r="AI7" s="802"/>
    </row>
    <row r="8" spans="1:42" ht="18" customHeight="1">
      <c r="A8" s="1358" t="s">
        <v>78</v>
      </c>
      <c r="B8" s="44" t="s">
        <v>79</v>
      </c>
      <c r="C8" s="17" t="s">
        <v>80</v>
      </c>
      <c r="D8" s="21">
        <v>300179</v>
      </c>
      <c r="E8" s="107"/>
      <c r="F8" s="28"/>
      <c r="G8" s="29"/>
      <c r="H8" s="29"/>
      <c r="I8" s="29"/>
      <c r="J8" s="29"/>
      <c r="K8" s="29"/>
      <c r="L8" s="30"/>
      <c r="M8" s="75"/>
      <c r="N8" s="29"/>
      <c r="O8" s="29"/>
      <c r="P8" s="29"/>
      <c r="Q8" s="29"/>
      <c r="R8" s="29"/>
      <c r="S8" s="65"/>
      <c r="T8" s="28"/>
      <c r="U8" s="29"/>
      <c r="V8" s="29" t="s">
        <v>180</v>
      </c>
      <c r="W8" s="29"/>
      <c r="X8" s="29"/>
      <c r="Y8" s="29"/>
      <c r="Z8" s="30"/>
      <c r="AA8" s="75"/>
      <c r="AB8" s="29"/>
      <c r="AC8" s="29"/>
      <c r="AD8" s="29"/>
      <c r="AE8" s="29"/>
      <c r="AF8" s="65"/>
      <c r="AG8" s="65"/>
      <c r="AH8" s="803"/>
      <c r="AI8" s="804"/>
    </row>
    <row r="9" spans="1:42" ht="18" customHeight="1">
      <c r="A9" s="1359"/>
      <c r="B9" s="115" t="s">
        <v>82</v>
      </c>
      <c r="C9" s="20" t="s">
        <v>80</v>
      </c>
      <c r="D9" s="156">
        <v>668695</v>
      </c>
      <c r="E9" s="628" t="s">
        <v>87</v>
      </c>
      <c r="F9" s="247"/>
      <c r="G9" s="244"/>
      <c r="H9" s="244"/>
      <c r="I9" s="244"/>
      <c r="J9" s="595" t="s">
        <v>84</v>
      </c>
      <c r="K9" s="244"/>
      <c r="L9" s="248"/>
      <c r="M9" s="249"/>
      <c r="N9" s="244"/>
      <c r="O9" s="244"/>
      <c r="P9" s="244"/>
      <c r="Q9" s="244"/>
      <c r="R9" s="244"/>
      <c r="S9" s="250"/>
      <c r="T9" s="247"/>
      <c r="U9" s="244"/>
      <c r="V9" s="244" t="s">
        <v>180</v>
      </c>
      <c r="W9" s="244"/>
      <c r="X9" s="244"/>
      <c r="Y9" s="244"/>
      <c r="Z9" s="248"/>
      <c r="AA9" s="249"/>
      <c r="AB9" s="244"/>
      <c r="AC9" s="244"/>
      <c r="AD9" s="244"/>
      <c r="AE9" s="244" t="s">
        <v>83</v>
      </c>
      <c r="AF9" s="250"/>
      <c r="AG9" s="250"/>
      <c r="AH9" s="805" t="s">
        <v>83</v>
      </c>
      <c r="AI9" s="806" t="s">
        <v>84</v>
      </c>
    </row>
    <row r="10" spans="1:42" ht="18" customHeight="1">
      <c r="A10" s="1349" t="s">
        <v>85</v>
      </c>
      <c r="B10" s="44" t="s">
        <v>86</v>
      </c>
      <c r="C10" s="17" t="s">
        <v>13</v>
      </c>
      <c r="D10" s="21">
        <v>231061</v>
      </c>
      <c r="E10" s="621" t="s">
        <v>84</v>
      </c>
      <c r="F10" s="622" t="s">
        <v>38</v>
      </c>
      <c r="G10" s="623" t="s">
        <v>38</v>
      </c>
      <c r="H10" s="623" t="s">
        <v>38</v>
      </c>
      <c r="I10" s="623" t="s">
        <v>38</v>
      </c>
      <c r="J10" s="623" t="s">
        <v>38</v>
      </c>
      <c r="K10" s="255" t="s">
        <v>84</v>
      </c>
      <c r="L10" s="259" t="s">
        <v>84</v>
      </c>
      <c r="M10" s="735" t="s">
        <v>88</v>
      </c>
      <c r="N10" s="255" t="s">
        <v>88</v>
      </c>
      <c r="O10" s="254" t="s">
        <v>87</v>
      </c>
      <c r="P10" s="254" t="s">
        <v>87</v>
      </c>
      <c r="Q10" s="200" t="s">
        <v>103</v>
      </c>
      <c r="R10" s="255" t="s">
        <v>84</v>
      </c>
      <c r="S10" s="258" t="s">
        <v>38</v>
      </c>
      <c r="T10" s="253" t="s">
        <v>38</v>
      </c>
      <c r="U10" s="254" t="s">
        <v>38</v>
      </c>
      <c r="V10" s="254" t="s">
        <v>38</v>
      </c>
      <c r="W10" s="254" t="s">
        <v>38</v>
      </c>
      <c r="X10" s="254" t="s">
        <v>38</v>
      </c>
      <c r="Y10" s="255" t="s">
        <v>84</v>
      </c>
      <c r="Z10" s="256" t="s">
        <v>38</v>
      </c>
      <c r="AA10" s="257" t="s">
        <v>38</v>
      </c>
      <c r="AB10" s="254" t="s">
        <v>38</v>
      </c>
      <c r="AC10" s="254" t="s">
        <v>38</v>
      </c>
      <c r="AD10" s="254" t="s">
        <v>38</v>
      </c>
      <c r="AE10" s="254" t="s">
        <v>38</v>
      </c>
      <c r="AF10" s="260" t="s">
        <v>84</v>
      </c>
      <c r="AG10" s="260" t="s">
        <v>84</v>
      </c>
      <c r="AH10" s="807" t="s">
        <v>38</v>
      </c>
      <c r="AI10" s="808" t="s">
        <v>38</v>
      </c>
    </row>
    <row r="11" spans="1:42" ht="18" customHeight="1">
      <c r="A11" s="1349"/>
      <c r="B11" s="846" t="s">
        <v>24</v>
      </c>
      <c r="C11" s="18" t="s">
        <v>13</v>
      </c>
      <c r="D11" s="52">
        <v>456489</v>
      </c>
      <c r="E11" s="653" t="s">
        <v>84</v>
      </c>
      <c r="F11" s="262" t="s">
        <v>87</v>
      </c>
      <c r="G11" s="267" t="s">
        <v>87</v>
      </c>
      <c r="H11" s="267" t="s">
        <v>87</v>
      </c>
      <c r="I11" s="267" t="s">
        <v>87</v>
      </c>
      <c r="J11" s="263" t="s">
        <v>87</v>
      </c>
      <c r="K11" s="795" t="s">
        <v>84</v>
      </c>
      <c r="L11" s="734" t="s">
        <v>38</v>
      </c>
      <c r="M11" s="654" t="s">
        <v>38</v>
      </c>
      <c r="N11" s="655" t="s">
        <v>38</v>
      </c>
      <c r="O11" s="655" t="s">
        <v>38</v>
      </c>
      <c r="P11" s="655" t="s">
        <v>38</v>
      </c>
      <c r="Q11" s="655" t="s">
        <v>38</v>
      </c>
      <c r="R11" s="749" t="s">
        <v>84</v>
      </c>
      <c r="S11" s="268" t="s">
        <v>84</v>
      </c>
      <c r="T11" s="262" t="s">
        <v>87</v>
      </c>
      <c r="U11" s="267" t="s">
        <v>87</v>
      </c>
      <c r="V11" s="267" t="s">
        <v>180</v>
      </c>
      <c r="W11" s="267" t="s">
        <v>87</v>
      </c>
      <c r="X11" s="655" t="s">
        <v>83</v>
      </c>
      <c r="Y11" s="264" t="s">
        <v>84</v>
      </c>
      <c r="Z11" s="265" t="s">
        <v>84</v>
      </c>
      <c r="AA11" s="266" t="s">
        <v>87</v>
      </c>
      <c r="AB11" s="267" t="s">
        <v>87</v>
      </c>
      <c r="AC11" s="267" t="s">
        <v>87</v>
      </c>
      <c r="AD11" s="267" t="s">
        <v>87</v>
      </c>
      <c r="AE11" s="267" t="s">
        <v>87</v>
      </c>
      <c r="AF11" s="268" t="s">
        <v>91</v>
      </c>
      <c r="AG11" s="268" t="s">
        <v>84</v>
      </c>
      <c r="AH11" s="809" t="s">
        <v>84</v>
      </c>
      <c r="AI11" s="939" t="s">
        <v>88</v>
      </c>
    </row>
    <row r="12" spans="1:42" ht="18" customHeight="1">
      <c r="A12" s="1348" t="s">
        <v>92</v>
      </c>
      <c r="B12" s="1332" t="s">
        <v>93</v>
      </c>
      <c r="C12" s="1332"/>
      <c r="D12" s="1332"/>
      <c r="E12" s="816" t="s">
        <v>94</v>
      </c>
      <c r="F12" s="756" t="s">
        <v>94</v>
      </c>
      <c r="G12" s="759" t="s">
        <v>94</v>
      </c>
      <c r="H12" s="759" t="s">
        <v>94</v>
      </c>
      <c r="I12" s="759" t="s">
        <v>94</v>
      </c>
      <c r="J12" s="759" t="s">
        <v>94</v>
      </c>
      <c r="K12" s="757" t="s">
        <v>84</v>
      </c>
      <c r="L12" s="758" t="s">
        <v>84</v>
      </c>
      <c r="M12" s="817" t="s">
        <v>95</v>
      </c>
      <c r="N12" s="759" t="s">
        <v>95</v>
      </c>
      <c r="O12" s="759" t="s">
        <v>95</v>
      </c>
      <c r="P12" s="759" t="s">
        <v>95</v>
      </c>
      <c r="Q12" s="759" t="s">
        <v>95</v>
      </c>
      <c r="R12" s="759" t="s">
        <v>95</v>
      </c>
      <c r="S12" s="760" t="s">
        <v>84</v>
      </c>
      <c r="T12" s="756" t="s">
        <v>95</v>
      </c>
      <c r="U12" s="759" t="s">
        <v>95</v>
      </c>
      <c r="V12" s="759" t="s">
        <v>95</v>
      </c>
      <c r="W12" s="759" t="s">
        <v>95</v>
      </c>
      <c r="X12" s="759" t="s">
        <v>95</v>
      </c>
      <c r="Y12" s="757" t="s">
        <v>84</v>
      </c>
      <c r="Z12" s="758" t="s">
        <v>84</v>
      </c>
      <c r="AA12" s="817" t="s">
        <v>94</v>
      </c>
      <c r="AB12" s="759" t="s">
        <v>94</v>
      </c>
      <c r="AC12" s="759" t="s">
        <v>94</v>
      </c>
      <c r="AD12" s="759" t="s">
        <v>94</v>
      </c>
      <c r="AE12" s="759" t="s">
        <v>94</v>
      </c>
      <c r="AF12" s="768" t="s">
        <v>84</v>
      </c>
      <c r="AG12" s="761" t="s">
        <v>94</v>
      </c>
      <c r="AH12" s="756" t="s">
        <v>94</v>
      </c>
      <c r="AI12" s="791" t="s">
        <v>94</v>
      </c>
      <c r="AJ12" s="137" t="s">
        <v>95</v>
      </c>
      <c r="AK12" s="137" t="s">
        <v>38</v>
      </c>
      <c r="AL12" s="138" t="s">
        <v>84</v>
      </c>
      <c r="AM12" s="137" t="s">
        <v>81</v>
      </c>
      <c r="AN12" s="137" t="s">
        <v>88</v>
      </c>
      <c r="AO12" s="137" t="s">
        <v>96</v>
      </c>
      <c r="AP12" s="139" t="s">
        <v>97</v>
      </c>
    </row>
    <row r="13" spans="1:42" ht="18" customHeight="1">
      <c r="A13" s="1360"/>
      <c r="B13" s="847" t="s">
        <v>22</v>
      </c>
      <c r="C13" s="53" t="s">
        <v>16</v>
      </c>
      <c r="D13" s="23">
        <v>517968</v>
      </c>
      <c r="E13" s="644"/>
      <c r="F13" s="645"/>
      <c r="G13" s="646"/>
      <c r="H13" s="646"/>
      <c r="I13" s="646"/>
      <c r="J13" s="646"/>
      <c r="K13" s="646"/>
      <c r="L13" s="647"/>
      <c r="M13" s="648" t="s">
        <v>123</v>
      </c>
      <c r="N13" s="646" t="s">
        <v>123</v>
      </c>
      <c r="O13" s="646"/>
      <c r="P13" s="646"/>
      <c r="Q13" s="646"/>
      <c r="R13" s="646"/>
      <c r="S13" s="762"/>
      <c r="T13" s="645"/>
      <c r="U13" s="646"/>
      <c r="V13" s="646" t="s">
        <v>180</v>
      </c>
      <c r="W13" s="646"/>
      <c r="X13" s="646"/>
      <c r="Y13" s="646"/>
      <c r="Z13" s="647" t="s">
        <v>94</v>
      </c>
      <c r="AA13" s="648"/>
      <c r="AB13" s="646"/>
      <c r="AC13" s="646"/>
      <c r="AD13" s="646"/>
      <c r="AE13" s="794" t="s">
        <v>84</v>
      </c>
      <c r="AF13" s="762"/>
      <c r="AG13" s="762"/>
      <c r="AH13" s="645"/>
      <c r="AI13" s="647"/>
      <c r="AJ13" s="89" cm="1">
        <f t="array" ref="AJ13">SUMPRODUCT(($E$12:$AI$12="HR")*($E$13:$AI$13=""))+SUMPRODUCT(($E$13:$AI$13="HR")*1)</f>
        <v>8</v>
      </c>
      <c r="AK13" s="89" cm="1">
        <f t="array" ref="AK13">SUMPRODUCT(($E$12:$AI$12="N0")*($E$13:$AI$13=""))+SUMPRODUCT(($E$13:$AI$13="N")*1)</f>
        <v>13</v>
      </c>
      <c r="AL13" s="89" cm="1">
        <f t="array" ref="AL13">SUMPRODUCT(($E$12:$AI$12="RD")*($E$13:$AI$13=""))+SUMPRODUCT(($E$13:$AI$13="RD")*1)</f>
        <v>6</v>
      </c>
      <c r="AM13" s="89" cm="1">
        <f t="array" ref="AM13">SUMPRODUCT(($E$13:$AI$13="AL")*1)</f>
        <v>0</v>
      </c>
      <c r="AN13" s="89" cm="1">
        <f t="array" ref="AN13">SUMPRODUCT(($E$13:$AI$13="SH")*1)</f>
        <v>0</v>
      </c>
      <c r="AO13" s="89" cm="1">
        <f t="array" ref="AO13">SUMPRODUCT(($E$13:$AI$13="SL")*1)</f>
        <v>0</v>
      </c>
      <c r="AP13" s="140">
        <f>AI5-AJ13-AK13-AL13-AM13-AN13-AO13</f>
        <v>4</v>
      </c>
    </row>
    <row r="14" spans="1:42" ht="18" customHeight="1">
      <c r="A14" s="1348" t="s">
        <v>98</v>
      </c>
      <c r="B14" s="1361" t="s">
        <v>93</v>
      </c>
      <c r="C14" s="1361"/>
      <c r="D14" s="1361"/>
      <c r="E14" s="818" t="s">
        <v>84</v>
      </c>
      <c r="F14" s="756" t="s">
        <v>95</v>
      </c>
      <c r="G14" s="759" t="s">
        <v>95</v>
      </c>
      <c r="H14" s="759" t="s">
        <v>95</v>
      </c>
      <c r="I14" s="759" t="s">
        <v>95</v>
      </c>
      <c r="J14" s="759" t="s">
        <v>95</v>
      </c>
      <c r="K14" s="757" t="s">
        <v>84</v>
      </c>
      <c r="L14" s="758" t="s">
        <v>84</v>
      </c>
      <c r="M14" s="817" t="s">
        <v>94</v>
      </c>
      <c r="N14" s="759" t="s">
        <v>94</v>
      </c>
      <c r="O14" s="759" t="s">
        <v>94</v>
      </c>
      <c r="P14" s="759" t="s">
        <v>94</v>
      </c>
      <c r="Q14" s="759" t="s">
        <v>94</v>
      </c>
      <c r="R14" s="757" t="s">
        <v>84</v>
      </c>
      <c r="S14" s="761" t="s">
        <v>94</v>
      </c>
      <c r="T14" s="756" t="s">
        <v>94</v>
      </c>
      <c r="U14" s="759" t="s">
        <v>94</v>
      </c>
      <c r="V14" s="759" t="s">
        <v>94</v>
      </c>
      <c r="W14" s="759" t="s">
        <v>94</v>
      </c>
      <c r="X14" s="759" t="s">
        <v>94</v>
      </c>
      <c r="Y14" s="757" t="s">
        <v>84</v>
      </c>
      <c r="Z14" s="758" t="s">
        <v>84</v>
      </c>
      <c r="AA14" s="817" t="s">
        <v>95</v>
      </c>
      <c r="AB14" s="759" t="s">
        <v>95</v>
      </c>
      <c r="AC14" s="759" t="s">
        <v>95</v>
      </c>
      <c r="AD14" s="759" t="s">
        <v>95</v>
      </c>
      <c r="AE14" s="759" t="s">
        <v>95</v>
      </c>
      <c r="AF14" s="761" t="s">
        <v>95</v>
      </c>
      <c r="AG14" s="760" t="s">
        <v>84</v>
      </c>
      <c r="AH14" s="756" t="s">
        <v>95</v>
      </c>
      <c r="AI14" s="791" t="s">
        <v>95</v>
      </c>
      <c r="AJ14" s="137" t="s">
        <v>95</v>
      </c>
      <c r="AK14" s="137" t="s">
        <v>38</v>
      </c>
      <c r="AL14" s="138" t="s">
        <v>84</v>
      </c>
      <c r="AM14" s="137" t="s">
        <v>81</v>
      </c>
      <c r="AN14" s="137" t="s">
        <v>88</v>
      </c>
      <c r="AO14" s="137" t="s">
        <v>96</v>
      </c>
      <c r="AP14" s="139" t="s">
        <v>97</v>
      </c>
    </row>
    <row r="15" spans="1:42" ht="18" customHeight="1">
      <c r="A15" s="1360"/>
      <c r="B15" s="820" t="s">
        <v>46</v>
      </c>
      <c r="C15" s="356" t="s">
        <v>16</v>
      </c>
      <c r="D15" s="23">
        <v>673706</v>
      </c>
      <c r="E15" s="821"/>
      <c r="F15" s="822" t="s">
        <v>81</v>
      </c>
      <c r="G15" s="823" t="s">
        <v>88</v>
      </c>
      <c r="H15" s="824" t="s">
        <v>88</v>
      </c>
      <c r="I15" s="824" t="s">
        <v>88</v>
      </c>
      <c r="J15" s="824" t="s">
        <v>88</v>
      </c>
      <c r="K15" s="764"/>
      <c r="L15" s="765"/>
      <c r="M15" s="825"/>
      <c r="N15" s="764"/>
      <c r="O15" s="764"/>
      <c r="P15" s="764"/>
      <c r="Q15" s="764"/>
      <c r="R15" s="764"/>
      <c r="S15" s="766"/>
      <c r="T15" s="763"/>
      <c r="U15" s="764"/>
      <c r="V15" s="764"/>
      <c r="W15" s="764"/>
      <c r="X15" s="764"/>
      <c r="Y15" s="764"/>
      <c r="Z15" s="765"/>
      <c r="AA15" s="825"/>
      <c r="AB15" s="764"/>
      <c r="AC15" s="764"/>
      <c r="AD15" s="942" t="s">
        <v>96</v>
      </c>
      <c r="AE15" s="764" t="s">
        <v>180</v>
      </c>
      <c r="AF15" s="943"/>
      <c r="AG15" s="766"/>
      <c r="AH15" s="763"/>
      <c r="AI15" s="826"/>
      <c r="AJ15" s="89" cm="1">
        <f t="array" ref="AJ15">SUMPRODUCT(($E$14:$AI$14="HR")*($E$15:$AI$15=""))+SUMPRODUCT(($E$15:$AI$15="HR")*1)</f>
        <v>6</v>
      </c>
      <c r="AK15" s="89" cm="1">
        <f t="array" ref="AK15">SUMPRODUCT(($E$14:$AI$14="N0")*($E$15:$AI$15=""))+SUMPRODUCT(($E$15:$AI$15="N")*1)</f>
        <v>11</v>
      </c>
      <c r="AL15" s="89" cm="1">
        <f t="array" ref="AL15">SUMPRODUCT(($E$14:$AI$14="RD")*($E$15:$AI$15=""))+SUMPRODUCT(($E$15:$AI$15="RD")*1)</f>
        <v>7</v>
      </c>
      <c r="AM15" s="89" cm="1">
        <f t="array" ref="AM15">SUMPRODUCT(($E$15:$AI$15="AL")*1)</f>
        <v>1</v>
      </c>
      <c r="AN15" s="89" cm="1">
        <f t="array" ref="AN15">SUMPRODUCT(($E$15:$AI$15="SH")*1)</f>
        <v>4</v>
      </c>
      <c r="AO15" s="89" cm="1">
        <f t="array" ref="AO15">SUMPRODUCT(($E$15:$AI$15="SL")*1)</f>
        <v>1</v>
      </c>
      <c r="AP15" s="140">
        <f>AI5-AJ15-AK15-AL15-AM15-AN15-AO15</f>
        <v>1</v>
      </c>
    </row>
    <row r="16" spans="1:42" ht="18" customHeight="1">
      <c r="A16" s="1348" t="s">
        <v>99</v>
      </c>
      <c r="B16" s="1361" t="s">
        <v>93</v>
      </c>
      <c r="C16" s="1361"/>
      <c r="D16" s="1361"/>
      <c r="E16" s="819" t="s">
        <v>84</v>
      </c>
      <c r="F16" s="756" t="s">
        <v>95</v>
      </c>
      <c r="G16" s="759" t="s">
        <v>95</v>
      </c>
      <c r="H16" s="759" t="s">
        <v>95</v>
      </c>
      <c r="I16" s="759" t="s">
        <v>95</v>
      </c>
      <c r="J16" s="759" t="s">
        <v>95</v>
      </c>
      <c r="K16" s="757" t="s">
        <v>84</v>
      </c>
      <c r="L16" s="758" t="s">
        <v>84</v>
      </c>
      <c r="M16" s="817" t="s">
        <v>95</v>
      </c>
      <c r="N16" s="759" t="s">
        <v>95</v>
      </c>
      <c r="O16" s="759" t="s">
        <v>95</v>
      </c>
      <c r="P16" s="759" t="s">
        <v>95</v>
      </c>
      <c r="Q16" s="759" t="s">
        <v>95</v>
      </c>
      <c r="R16" s="759" t="s">
        <v>95</v>
      </c>
      <c r="S16" s="768" t="s">
        <v>84</v>
      </c>
      <c r="T16" s="756" t="s">
        <v>95</v>
      </c>
      <c r="U16" s="759" t="s">
        <v>95</v>
      </c>
      <c r="V16" s="759" t="s">
        <v>95</v>
      </c>
      <c r="W16" s="759" t="s">
        <v>95</v>
      </c>
      <c r="X16" s="759" t="s">
        <v>95</v>
      </c>
      <c r="Y16" s="757" t="s">
        <v>84</v>
      </c>
      <c r="Z16" s="758" t="s">
        <v>84</v>
      </c>
      <c r="AA16" s="817" t="s">
        <v>95</v>
      </c>
      <c r="AB16" s="759" t="s">
        <v>95</v>
      </c>
      <c r="AC16" s="759" t="s">
        <v>95</v>
      </c>
      <c r="AD16" s="759" t="s">
        <v>95</v>
      </c>
      <c r="AE16" s="759" t="s">
        <v>95</v>
      </c>
      <c r="AF16" s="761" t="s">
        <v>95</v>
      </c>
      <c r="AG16" s="768" t="s">
        <v>84</v>
      </c>
      <c r="AH16" s="756" t="s">
        <v>95</v>
      </c>
      <c r="AI16" s="791" t="s">
        <v>95</v>
      </c>
      <c r="AJ16" s="137" t="s">
        <v>95</v>
      </c>
      <c r="AK16" s="137" t="s">
        <v>38</v>
      </c>
      <c r="AL16" s="138" t="s">
        <v>84</v>
      </c>
      <c r="AM16" s="137" t="s">
        <v>81</v>
      </c>
      <c r="AN16" s="137" t="s">
        <v>88</v>
      </c>
      <c r="AO16" s="137" t="s">
        <v>96</v>
      </c>
      <c r="AP16" s="139" t="s">
        <v>97</v>
      </c>
    </row>
    <row r="17" spans="1:42" ht="18" customHeight="1">
      <c r="A17" s="1360"/>
      <c r="B17" s="827" t="s">
        <v>100</v>
      </c>
      <c r="C17" s="356" t="s">
        <v>16</v>
      </c>
      <c r="D17" s="23">
        <v>469319</v>
      </c>
      <c r="E17" s="644"/>
      <c r="F17" s="780"/>
      <c r="G17" s="794"/>
      <c r="H17" s="646"/>
      <c r="I17" s="646"/>
      <c r="J17" s="646"/>
      <c r="K17" s="646"/>
      <c r="L17" s="647"/>
      <c r="M17" s="648" t="s">
        <v>123</v>
      </c>
      <c r="N17" s="646" t="s">
        <v>123</v>
      </c>
      <c r="O17" s="646"/>
      <c r="P17" s="646"/>
      <c r="Q17" s="646"/>
      <c r="R17" s="646"/>
      <c r="S17" s="762"/>
      <c r="T17" s="645"/>
      <c r="U17" s="646"/>
      <c r="V17" s="646" t="s">
        <v>180</v>
      </c>
      <c r="W17" s="746" t="s">
        <v>88</v>
      </c>
      <c r="X17" s="794" t="s">
        <v>88</v>
      </c>
      <c r="Y17" s="646"/>
      <c r="Z17" s="647"/>
      <c r="AA17" s="828" t="s">
        <v>88</v>
      </c>
      <c r="AB17" s="646"/>
      <c r="AC17" s="646"/>
      <c r="AD17" s="646"/>
      <c r="AE17" s="646"/>
      <c r="AF17" s="762"/>
      <c r="AG17" s="762"/>
      <c r="AH17" s="645"/>
      <c r="AI17" s="647"/>
      <c r="AJ17" s="89" cm="1">
        <f t="array" ref="AJ17">SUMPRODUCT(($E$16:$AI$16="HR")*($E$17:$AI$17=""))+SUMPRODUCT(($E$17:$AI$17="HR")*1)</f>
        <v>18</v>
      </c>
      <c r="AK17" s="89" cm="1">
        <f t="array" ref="AK17">SUMPRODUCT(($E$16:$AI$16="N0")*($E$17:$AI$17=""))+SUMPRODUCT(($E$17:$AI$17="N")*1)</f>
        <v>0</v>
      </c>
      <c r="AL17" s="89" cm="1">
        <f t="array" ref="AL17">SUMPRODUCT(($E$16:$AI$16="RD")*($E$17:$AI$17=""))+SUMPRODUCT(($E$17:$AI$17="RD")*1)</f>
        <v>7</v>
      </c>
      <c r="AM17" s="89" cm="1">
        <f t="array" ref="AM17">SUMPRODUCT(($E$17:$AI$17="AL")*1)</f>
        <v>0</v>
      </c>
      <c r="AN17" s="89" cm="1">
        <f t="array" ref="AN17">SUMPRODUCT(($E$17:$AI$17="SH")*1)</f>
        <v>3</v>
      </c>
      <c r="AO17" s="89" cm="1">
        <f t="array" ref="AO17">SUMPRODUCT(($E$17:$AI$17="SL")*1)</f>
        <v>0</v>
      </c>
      <c r="AP17" s="140">
        <f>AI5-AJ17-AK17-AL17-AM17-AN17-AO17</f>
        <v>3</v>
      </c>
    </row>
    <row r="18" spans="1:42" ht="18" customHeight="1">
      <c r="A18" s="1362" t="s">
        <v>101</v>
      </c>
      <c r="B18" s="1365" t="s">
        <v>93</v>
      </c>
      <c r="C18" s="1344"/>
      <c r="D18" s="1345"/>
      <c r="E18" s="816" t="s">
        <v>94</v>
      </c>
      <c r="F18" s="756" t="s">
        <v>94</v>
      </c>
      <c r="G18" s="759" t="s">
        <v>94</v>
      </c>
      <c r="H18" s="759" t="s">
        <v>94</v>
      </c>
      <c r="I18" s="759" t="s">
        <v>94</v>
      </c>
      <c r="J18" s="759" t="s">
        <v>94</v>
      </c>
      <c r="K18" s="757" t="s">
        <v>84</v>
      </c>
      <c r="L18" s="758" t="s">
        <v>84</v>
      </c>
      <c r="M18" s="830" t="s">
        <v>95</v>
      </c>
      <c r="N18" s="769" t="s">
        <v>95</v>
      </c>
      <c r="O18" s="769" t="s">
        <v>95</v>
      </c>
      <c r="P18" s="769" t="s">
        <v>95</v>
      </c>
      <c r="Q18" s="769" t="s">
        <v>95</v>
      </c>
      <c r="R18" s="770" t="s">
        <v>84</v>
      </c>
      <c r="S18" s="760" t="s">
        <v>84</v>
      </c>
      <c r="T18" s="756" t="s">
        <v>94</v>
      </c>
      <c r="U18" s="759" t="s">
        <v>94</v>
      </c>
      <c r="V18" s="759" t="s">
        <v>94</v>
      </c>
      <c r="W18" s="759" t="s">
        <v>94</v>
      </c>
      <c r="X18" s="759" t="s">
        <v>94</v>
      </c>
      <c r="Y18" s="757" t="s">
        <v>84</v>
      </c>
      <c r="Z18" s="771" t="s">
        <v>94</v>
      </c>
      <c r="AA18" s="831" t="s">
        <v>94</v>
      </c>
      <c r="AB18" s="772" t="s">
        <v>94</v>
      </c>
      <c r="AC18" s="772" t="s">
        <v>94</v>
      </c>
      <c r="AD18" s="772" t="s">
        <v>94</v>
      </c>
      <c r="AE18" s="772" t="s">
        <v>94</v>
      </c>
      <c r="AF18" s="768" t="s">
        <v>84</v>
      </c>
      <c r="AG18" s="761" t="s">
        <v>94</v>
      </c>
      <c r="AH18" s="756" t="s">
        <v>94</v>
      </c>
      <c r="AI18" s="791" t="s">
        <v>94</v>
      </c>
      <c r="AJ18" s="137" t="s">
        <v>95</v>
      </c>
      <c r="AK18" s="137" t="s">
        <v>38</v>
      </c>
      <c r="AL18" s="138" t="s">
        <v>84</v>
      </c>
      <c r="AM18" s="137" t="s">
        <v>81</v>
      </c>
      <c r="AN18" s="137" t="s">
        <v>88</v>
      </c>
      <c r="AO18" s="137" t="s">
        <v>96</v>
      </c>
      <c r="AP18" s="139" t="s">
        <v>97</v>
      </c>
    </row>
    <row r="19" spans="1:42" ht="18" customHeight="1">
      <c r="A19" s="1363"/>
      <c r="B19" s="121" t="s">
        <v>14</v>
      </c>
      <c r="C19" s="111" t="s">
        <v>16</v>
      </c>
      <c r="D19" s="112">
        <v>321508</v>
      </c>
      <c r="E19" s="832" t="s">
        <v>88</v>
      </c>
      <c r="F19" s="833" t="s">
        <v>137</v>
      </c>
      <c r="G19" s="834" t="s">
        <v>137</v>
      </c>
      <c r="H19" s="835" t="s">
        <v>96</v>
      </c>
      <c r="I19" s="835" t="s">
        <v>96</v>
      </c>
      <c r="J19" s="835" t="s">
        <v>96</v>
      </c>
      <c r="K19" s="834"/>
      <c r="L19" s="836"/>
      <c r="M19" s="837"/>
      <c r="N19" s="834"/>
      <c r="O19" s="834"/>
      <c r="P19" s="834"/>
      <c r="Q19" s="834"/>
      <c r="R19" s="834"/>
      <c r="S19" s="838"/>
      <c r="T19" s="833"/>
      <c r="U19" s="834"/>
      <c r="V19" s="834"/>
      <c r="W19" s="834"/>
      <c r="X19" s="834"/>
      <c r="Y19" s="834"/>
      <c r="Z19" s="836"/>
      <c r="AA19" s="837"/>
      <c r="AB19" s="834"/>
      <c r="AC19" s="839" t="s">
        <v>88</v>
      </c>
      <c r="AD19" s="834"/>
      <c r="AE19" s="834"/>
      <c r="AF19" s="838"/>
      <c r="AG19" s="838"/>
      <c r="AH19" s="833"/>
      <c r="AI19" s="836"/>
      <c r="AJ19" s="89" cm="1">
        <f t="array" ref="AJ19">SUMPRODUCT(($E$18:$AI$18="HR")*(E19:AI19=""))+SUMPRODUCT((E19:AI19="HR")*1)</f>
        <v>5</v>
      </c>
      <c r="AK19" s="89" cm="1">
        <f t="array" ref="AK19">SUMPRODUCT(($E$18:$AI$18="N0")*(E19:AI19=""))+SUMPRODUCT((E19:AI19="N")*1)</f>
        <v>13</v>
      </c>
      <c r="AL19" s="88" cm="1">
        <f t="array" ref="AL19">SUMPRODUCT(($E$18:$AI$18="RD")*(E19:AI19=""))+SUMPRODUCT((E19:AI19="RD")*1)</f>
        <v>6</v>
      </c>
      <c r="AM19" s="89" cm="1">
        <f t="array" ref="AM19">SUMPRODUCT((F19:AI19="AL")*1)</f>
        <v>0</v>
      </c>
      <c r="AN19" s="89" cm="1">
        <f t="array" ref="AN19">SUMPRODUCT((F19:AI19="SH")*1)</f>
        <v>1</v>
      </c>
      <c r="AO19" s="89" cm="1">
        <f t="array" ref="AO19">SUMPRODUCT((E19:AI19="SL")*1)</f>
        <v>3</v>
      </c>
      <c r="AP19" s="140">
        <f>$AI$5-AJ19-AK19-AL19-AM19-AN19-AO19</f>
        <v>3</v>
      </c>
    </row>
    <row r="20" spans="1:42" ht="18" customHeight="1">
      <c r="A20" s="1363"/>
      <c r="B20" s="121" t="s">
        <v>102</v>
      </c>
      <c r="C20" s="111" t="s">
        <v>16</v>
      </c>
      <c r="D20" s="112">
        <v>461865</v>
      </c>
      <c r="E20" s="829"/>
      <c r="F20" s="232"/>
      <c r="G20" s="221"/>
      <c r="H20" s="221"/>
      <c r="I20" s="221"/>
      <c r="J20" s="221"/>
      <c r="K20" s="221"/>
      <c r="L20" s="222"/>
      <c r="M20" s="230"/>
      <c r="N20" s="221"/>
      <c r="O20" s="221"/>
      <c r="P20" s="221"/>
      <c r="Q20" s="221"/>
      <c r="R20" s="221"/>
      <c r="S20" s="234"/>
      <c r="T20" s="232"/>
      <c r="U20" s="221"/>
      <c r="V20" s="221"/>
      <c r="W20" s="221"/>
      <c r="X20" s="221"/>
      <c r="Y20" s="221"/>
      <c r="Z20" s="222"/>
      <c r="AA20" s="230"/>
      <c r="AB20" s="221"/>
      <c r="AC20" s="221"/>
      <c r="AD20" s="221"/>
      <c r="AE20" s="207" t="s">
        <v>81</v>
      </c>
      <c r="AF20" s="234"/>
      <c r="AG20" s="234"/>
      <c r="AH20" s="232"/>
      <c r="AI20" s="222"/>
      <c r="AJ20" s="89" cm="1">
        <f t="array" ref="AJ20">SUMPRODUCT(($E$18:$AI$18="HR")*(E20:AI20=""))+SUMPRODUCT((E20:AI20="HR")*1)</f>
        <v>5</v>
      </c>
      <c r="AK20" s="89" cm="1">
        <f t="array" ref="AK20">SUMPRODUCT(($E$18:$AI$18="N0")*(E20:AI20=""))+SUMPRODUCT((E20:AI20="N")*1)</f>
        <v>19</v>
      </c>
      <c r="AL20" s="88" cm="1">
        <f t="array" ref="AL20">SUMPRODUCT(($E$18:$AI$18="RD")*(E20:AI20=""))+SUMPRODUCT((E20:AI20="RD")*1)</f>
        <v>6</v>
      </c>
      <c r="AM20" s="89" cm="1">
        <f t="array" ref="AM20">SUMPRODUCT((F20:AI20="AL")*1)</f>
        <v>1</v>
      </c>
      <c r="AN20" s="89" cm="1">
        <f t="array" ref="AN20">SUMPRODUCT((F20:AI20="SH")*1)</f>
        <v>0</v>
      </c>
      <c r="AO20" s="89" cm="1">
        <f t="array" ref="AO20">SUMPRODUCT((E20:AI20="SL")*1)</f>
        <v>0</v>
      </c>
      <c r="AP20" s="140">
        <f t="shared" ref="AP20:AP24" si="0">$AI$5-AJ20-AK20-AL20-AM20-AN20-AO20</f>
        <v>0</v>
      </c>
    </row>
    <row r="21" spans="1:42" ht="18" customHeight="1">
      <c r="A21" s="1363"/>
      <c r="B21" s="101" t="s">
        <v>41</v>
      </c>
      <c r="C21" s="99" t="s">
        <v>27</v>
      </c>
      <c r="D21" s="103">
        <v>676095</v>
      </c>
      <c r="E21" s="107"/>
      <c r="F21" s="28"/>
      <c r="G21" s="29"/>
      <c r="H21" s="29"/>
      <c r="I21" s="29"/>
      <c r="J21" s="29"/>
      <c r="K21" s="29"/>
      <c r="L21" s="30"/>
      <c r="M21" s="75"/>
      <c r="N21" s="29"/>
      <c r="O21" s="29"/>
      <c r="P21" s="29"/>
      <c r="Q21" s="29"/>
      <c r="R21" s="29"/>
      <c r="S21" s="65"/>
      <c r="T21" s="28"/>
      <c r="U21" s="29"/>
      <c r="V21" s="29"/>
      <c r="W21" s="321"/>
      <c r="X21" s="29"/>
      <c r="Y21" s="29"/>
      <c r="Z21" s="30"/>
      <c r="AA21" s="75"/>
      <c r="AB21" s="29"/>
      <c r="AC21" s="29"/>
      <c r="AD21" s="29"/>
      <c r="AE21" s="29"/>
      <c r="AF21" s="65"/>
      <c r="AG21" s="65"/>
      <c r="AH21" s="28"/>
      <c r="AI21" s="30"/>
      <c r="AJ21" s="89" cm="1">
        <f t="array" ref="AJ21">SUMPRODUCT(($E$18:$AI$18="HR")*(E21:AI21=""))+SUMPRODUCT((E21:AI21="HR")*1)</f>
        <v>5</v>
      </c>
      <c r="AK21" s="89" cm="1">
        <f t="array" ref="AK21">SUMPRODUCT(($E$18:$AI$18="N0")*(E21:AI21=""))+SUMPRODUCT((E21:AI21="N")*1)</f>
        <v>20</v>
      </c>
      <c r="AL21" s="88" cm="1">
        <f t="array" ref="AL21">SUMPRODUCT(($E$18:$AI$18="RD")*(E21:AI21=""))+SUMPRODUCT((E21:AI21="RD")*1)</f>
        <v>6</v>
      </c>
      <c r="AM21" s="89" cm="1">
        <f t="array" ref="AM21">SUMPRODUCT((F21:AI21="AL")*1)</f>
        <v>0</v>
      </c>
      <c r="AN21" s="89" cm="1">
        <f t="array" ref="AN21">SUMPRODUCT((F21:AI21="SH")*1)</f>
        <v>0</v>
      </c>
      <c r="AO21" s="89" cm="1">
        <f t="array" ref="AO21">SUMPRODUCT((E21:AI21="SL")*1)</f>
        <v>0</v>
      </c>
      <c r="AP21" s="140">
        <f t="shared" si="0"/>
        <v>0</v>
      </c>
    </row>
    <row r="22" spans="1:42" ht="18" customHeight="1">
      <c r="A22" s="1363"/>
      <c r="B22" s="118" t="s">
        <v>104</v>
      </c>
      <c r="C22" s="99" t="s">
        <v>27</v>
      </c>
      <c r="D22" s="103">
        <v>681383</v>
      </c>
      <c r="E22" s="107"/>
      <c r="F22" s="28"/>
      <c r="G22" s="29"/>
      <c r="H22" s="29"/>
      <c r="I22" s="29"/>
      <c r="J22" s="29"/>
      <c r="K22" s="29"/>
      <c r="L22" s="30"/>
      <c r="M22" s="75" t="s">
        <v>135</v>
      </c>
      <c r="N22" s="29" t="s">
        <v>135</v>
      </c>
      <c r="O22" s="29"/>
      <c r="P22" s="29"/>
      <c r="Q22" s="29"/>
      <c r="R22" s="29"/>
      <c r="S22" s="65"/>
      <c r="T22" s="28"/>
      <c r="U22" s="29"/>
      <c r="V22" s="65"/>
      <c r="W22" s="810"/>
      <c r="X22" s="75"/>
      <c r="Y22" s="29"/>
      <c r="Z22" s="30"/>
      <c r="AA22" s="75"/>
      <c r="AB22" s="29"/>
      <c r="AC22" s="29"/>
      <c r="AD22" s="29"/>
      <c r="AE22" s="29"/>
      <c r="AF22" s="65"/>
      <c r="AG22" s="65"/>
      <c r="AH22" s="28"/>
      <c r="AI22" s="30"/>
      <c r="AJ22" s="89" cm="1">
        <f t="array" ref="AJ22">SUMPRODUCT(($E$18:$AI$18="HR")*(E22:AI22=""))+SUMPRODUCT((E22:AI22="HR")*1)</f>
        <v>3</v>
      </c>
      <c r="AK22" s="89" cm="1">
        <f t="array" ref="AK22">SUMPRODUCT(($E$18:$AI$18="N0")*(E22:AI22=""))+SUMPRODUCT((E22:AI22="N")*1)</f>
        <v>20</v>
      </c>
      <c r="AL22" s="88" cm="1">
        <f t="array" ref="AL22">SUMPRODUCT(($E$18:$AI$18="RD")*(E22:AI22=""))+SUMPRODUCT((E22:AI22="RD")*1)</f>
        <v>6</v>
      </c>
      <c r="AM22" s="89" cm="1">
        <f t="array" ref="AM22">SUMPRODUCT((F22:AI22="AL")*1)</f>
        <v>0</v>
      </c>
      <c r="AN22" s="89" cm="1">
        <f t="array" ref="AN22">SUMPRODUCT((F22:AI22="SH")*1)</f>
        <v>0</v>
      </c>
      <c r="AO22" s="89" cm="1">
        <f t="array" ref="AO22">SUMPRODUCT((E22:AI22="SL")*1)</f>
        <v>0</v>
      </c>
      <c r="AP22" s="140">
        <f t="shared" si="0"/>
        <v>2</v>
      </c>
    </row>
    <row r="23" spans="1:42" ht="18" customHeight="1">
      <c r="A23" s="1363"/>
      <c r="B23" s="100" t="s">
        <v>30</v>
      </c>
      <c r="C23" s="99" t="s">
        <v>32</v>
      </c>
      <c r="D23" s="103">
        <v>679417</v>
      </c>
      <c r="E23" s="172" t="s">
        <v>96</v>
      </c>
      <c r="F23" s="206" t="s">
        <v>96</v>
      </c>
      <c r="G23" s="29"/>
      <c r="H23" s="29"/>
      <c r="I23" s="29"/>
      <c r="J23" s="29"/>
      <c r="K23" s="29"/>
      <c r="L23" s="30"/>
      <c r="M23" s="75"/>
      <c r="N23" s="29"/>
      <c r="O23" s="29"/>
      <c r="P23" s="29"/>
      <c r="Q23" s="29"/>
      <c r="R23" s="29"/>
      <c r="S23" s="65"/>
      <c r="T23" s="28"/>
      <c r="U23" s="29"/>
      <c r="V23" s="29"/>
      <c r="W23" s="221"/>
      <c r="X23" s="29"/>
      <c r="Y23" s="29"/>
      <c r="Z23" s="30"/>
      <c r="AA23" s="75"/>
      <c r="AB23" s="29"/>
      <c r="AC23" s="29"/>
      <c r="AD23" s="29"/>
      <c r="AE23" s="29"/>
      <c r="AF23" s="29"/>
      <c r="AG23" s="65"/>
      <c r="AH23" s="28"/>
      <c r="AI23" s="30"/>
      <c r="AJ23" s="89" cm="1">
        <f t="array" ref="AJ23">SUMPRODUCT(($E$18:$AI$18="HR")*(E23:AI23=""))+SUMPRODUCT((E23:AI23="HR")*1)</f>
        <v>5</v>
      </c>
      <c r="AK23" s="89" cm="1">
        <f t="array" ref="AK23">SUMPRODUCT(($E$18:$AI$18="N0")*(E23:AI23=""))+SUMPRODUCT((E23:AI23="N")*1)</f>
        <v>18</v>
      </c>
      <c r="AL23" s="88" cm="1">
        <f t="array" ref="AL23">SUMPRODUCT(($E$18:$AI$18="RD")*(E23:AI23=""))+SUMPRODUCT((E23:AI23="RD")*1)</f>
        <v>6</v>
      </c>
      <c r="AM23" s="89" cm="1">
        <f t="array" ref="AM23">SUMPRODUCT((F23:AI23="AL")*1)</f>
        <v>0</v>
      </c>
      <c r="AN23" s="89" cm="1">
        <f t="array" ref="AN23">SUMPRODUCT((F23:AI23="SH")*1)</f>
        <v>0</v>
      </c>
      <c r="AO23" s="89" cm="1">
        <f t="array" ref="AO23">SUMPRODUCT((E23:AI23="SL")*1)</f>
        <v>2</v>
      </c>
      <c r="AP23" s="140">
        <f t="shared" si="0"/>
        <v>0</v>
      </c>
    </row>
    <row r="24" spans="1:42" ht="18" customHeight="1">
      <c r="A24" s="1364"/>
      <c r="B24" s="119" t="s">
        <v>48</v>
      </c>
      <c r="C24" s="106" t="s">
        <v>27</v>
      </c>
      <c r="D24" s="157">
        <v>684061</v>
      </c>
      <c r="E24" s="628"/>
      <c r="F24" s="247"/>
      <c r="G24" s="244"/>
      <c r="H24" s="244"/>
      <c r="I24" s="244"/>
      <c r="J24" s="244"/>
      <c r="K24" s="244"/>
      <c r="L24" s="248"/>
      <c r="M24" s="249"/>
      <c r="N24" s="244"/>
      <c r="O24" s="244"/>
      <c r="P24" s="244"/>
      <c r="Q24" s="244"/>
      <c r="R24" s="244"/>
      <c r="S24" s="250"/>
      <c r="T24" s="247"/>
      <c r="U24" s="244"/>
      <c r="V24" s="244"/>
      <c r="W24" s="244"/>
      <c r="X24" s="244"/>
      <c r="Y24" s="244"/>
      <c r="Z24" s="248"/>
      <c r="AA24" s="249"/>
      <c r="AB24" s="244"/>
      <c r="AC24" s="244"/>
      <c r="AD24" s="244"/>
      <c r="AE24" s="244"/>
      <c r="AF24" s="250"/>
      <c r="AG24" s="250"/>
      <c r="AH24" s="247"/>
      <c r="AI24" s="248"/>
      <c r="AJ24" s="89" cm="1">
        <f t="array" ref="AJ24">SUMPRODUCT(($E$18:$AI$18="HR")*(E24:AI24=""))+SUMPRODUCT((E24:AI24="HR")*1)</f>
        <v>5</v>
      </c>
      <c r="AK24" s="89" cm="1">
        <f t="array" ref="AK24">SUMPRODUCT(($E$18:$AI$18="N0")*(E24:AI24=""))+SUMPRODUCT((E24:AI24="N")*1)</f>
        <v>20</v>
      </c>
      <c r="AL24" s="88" cm="1">
        <f t="array" ref="AL24">SUMPRODUCT(($E$18:$AI$18="RD")*(E24:AI24=""))+SUMPRODUCT((E24:AI24="RD")*1)</f>
        <v>6</v>
      </c>
      <c r="AM24" s="89" cm="1">
        <f t="array" ref="AM24">SUMPRODUCT((F24:AI24="AL")*1)</f>
        <v>0</v>
      </c>
      <c r="AN24" s="89" cm="1">
        <f t="array" ref="AN24">SUMPRODUCT((F24:AI24="SH")*1)</f>
        <v>0</v>
      </c>
      <c r="AO24" s="89" cm="1">
        <f t="array" ref="AO24">SUMPRODUCT((E24:AI24="SL")*1)</f>
        <v>0</v>
      </c>
      <c r="AP24" s="140">
        <f t="shared" si="0"/>
        <v>0</v>
      </c>
    </row>
    <row r="25" spans="1:42" ht="18" customHeight="1">
      <c r="A25" s="1348" t="s">
        <v>109</v>
      </c>
      <c r="B25" s="1330" t="s">
        <v>110</v>
      </c>
      <c r="C25" s="1330"/>
      <c r="D25" s="1330"/>
      <c r="E25" s="840" t="s">
        <v>94</v>
      </c>
      <c r="F25" s="773" t="s">
        <v>94</v>
      </c>
      <c r="G25" s="772" t="s">
        <v>94</v>
      </c>
      <c r="H25" s="772" t="s">
        <v>94</v>
      </c>
      <c r="I25" s="772" t="s">
        <v>94</v>
      </c>
      <c r="J25" s="772" t="s">
        <v>94</v>
      </c>
      <c r="K25" s="770" t="s">
        <v>84</v>
      </c>
      <c r="L25" s="771" t="s">
        <v>94</v>
      </c>
      <c r="M25" s="831" t="s">
        <v>94</v>
      </c>
      <c r="N25" s="772" t="s">
        <v>94</v>
      </c>
      <c r="O25" s="772" t="s">
        <v>94</v>
      </c>
      <c r="P25" s="772" t="s">
        <v>94</v>
      </c>
      <c r="Q25" s="772" t="s">
        <v>94</v>
      </c>
      <c r="R25" s="770" t="s">
        <v>84</v>
      </c>
      <c r="S25" s="760" t="s">
        <v>84</v>
      </c>
      <c r="T25" s="774" t="s">
        <v>95</v>
      </c>
      <c r="U25" s="769" t="s">
        <v>95</v>
      </c>
      <c r="V25" s="769" t="s">
        <v>95</v>
      </c>
      <c r="W25" s="769" t="s">
        <v>95</v>
      </c>
      <c r="X25" s="769" t="s">
        <v>95</v>
      </c>
      <c r="Y25" s="770" t="s">
        <v>84</v>
      </c>
      <c r="Z25" s="775" t="s">
        <v>84</v>
      </c>
      <c r="AA25" s="831" t="s">
        <v>94</v>
      </c>
      <c r="AB25" s="772" t="s">
        <v>94</v>
      </c>
      <c r="AC25" s="772" t="s">
        <v>94</v>
      </c>
      <c r="AD25" s="772" t="s">
        <v>94</v>
      </c>
      <c r="AE25" s="772" t="s">
        <v>94</v>
      </c>
      <c r="AF25" s="760" t="s">
        <v>84</v>
      </c>
      <c r="AG25" s="776" t="s">
        <v>94</v>
      </c>
      <c r="AH25" s="773" t="s">
        <v>94</v>
      </c>
      <c r="AI25" s="771" t="s">
        <v>94</v>
      </c>
      <c r="AJ25" s="137" t="s">
        <v>95</v>
      </c>
      <c r="AK25" s="137" t="s">
        <v>38</v>
      </c>
      <c r="AL25" s="138" t="s">
        <v>84</v>
      </c>
      <c r="AM25" s="137" t="s">
        <v>81</v>
      </c>
      <c r="AN25" s="137" t="s">
        <v>88</v>
      </c>
      <c r="AO25" s="137" t="s">
        <v>96</v>
      </c>
      <c r="AP25" s="139" t="s">
        <v>97</v>
      </c>
    </row>
    <row r="26" spans="1:42" ht="18" customHeight="1">
      <c r="A26" s="1349"/>
      <c r="B26" s="46" t="s">
        <v>111</v>
      </c>
      <c r="C26" s="27" t="s">
        <v>16</v>
      </c>
      <c r="D26" s="21">
        <v>265691</v>
      </c>
      <c r="E26" s="829"/>
      <c r="F26" s="232"/>
      <c r="G26" s="221"/>
      <c r="H26" s="221"/>
      <c r="I26" s="221"/>
      <c r="J26" s="221"/>
      <c r="K26" s="221"/>
      <c r="L26" s="222"/>
      <c r="M26" s="230"/>
      <c r="N26" s="221"/>
      <c r="O26" s="221"/>
      <c r="P26" s="221"/>
      <c r="Q26" s="221"/>
      <c r="R26" s="221"/>
      <c r="S26" s="234"/>
      <c r="T26" s="232"/>
      <c r="U26" s="221" t="s">
        <v>140</v>
      </c>
      <c r="V26" s="221" t="s">
        <v>180</v>
      </c>
      <c r="W26" s="221"/>
      <c r="X26" s="207" t="s">
        <v>88</v>
      </c>
      <c r="Y26" s="221"/>
      <c r="Z26" s="222"/>
      <c r="AA26" s="230"/>
      <c r="AB26" s="221"/>
      <c r="AC26" s="221"/>
      <c r="AD26" s="221"/>
      <c r="AE26" s="221"/>
      <c r="AF26" s="234"/>
      <c r="AG26" s="234"/>
      <c r="AH26" s="28"/>
      <c r="AI26" s="222"/>
      <c r="AJ26" s="89" cm="1">
        <f t="array" ref="AJ26">SUMPRODUCT(($E$25:$AI$25="HR")*(E26:AI26=""))+SUMPRODUCT((E26:AI26="HR")*1)</f>
        <v>2</v>
      </c>
      <c r="AK26" s="89" cm="1">
        <f t="array" ref="AK26">SUMPRODUCT(($E$25:$AI$25="N0")*(E26:AI26=""))+SUMPRODUCT((E26:AI26="N")*1)</f>
        <v>20</v>
      </c>
      <c r="AL26" s="88" cm="1">
        <f t="array" ref="AL26">SUMPRODUCT(($E$25:$AI$25="RD")*(E26:AI26=""))+SUMPRODUCT((E26:AI26="RD")*1)</f>
        <v>6</v>
      </c>
      <c r="AM26" s="89" cm="1">
        <f t="array" ref="AM26">SUMPRODUCT((F26:AI26="AL")*1)</f>
        <v>0</v>
      </c>
      <c r="AN26" s="89" cm="1">
        <f t="array" ref="AN26">SUMPRODUCT((F26:AI26="SH")*1)</f>
        <v>1</v>
      </c>
      <c r="AO26" s="89" cm="1">
        <f t="array" ref="AO26">SUMPRODUCT((E26:AI26="SL")*1)</f>
        <v>0</v>
      </c>
      <c r="AP26" s="140">
        <f>$AI$5-AJ26-AK26-AL26-AM26-AN26-AO26</f>
        <v>2</v>
      </c>
    </row>
    <row r="27" spans="1:42" ht="18" customHeight="1">
      <c r="A27" s="1349"/>
      <c r="B27" s="125" t="s">
        <v>113</v>
      </c>
      <c r="C27" s="16" t="s">
        <v>16</v>
      </c>
      <c r="D27" s="22">
        <v>422401</v>
      </c>
      <c r="E27" s="107"/>
      <c r="F27" s="28"/>
      <c r="G27" s="29"/>
      <c r="H27" s="29"/>
      <c r="I27" s="29"/>
      <c r="J27" s="29"/>
      <c r="K27" s="29"/>
      <c r="L27" s="30"/>
      <c r="M27" s="75"/>
      <c r="N27" s="29"/>
      <c r="O27" s="29"/>
      <c r="P27" s="29"/>
      <c r="Q27" s="29"/>
      <c r="R27" s="29"/>
      <c r="S27" s="65"/>
      <c r="T27" s="28"/>
      <c r="U27" s="29"/>
      <c r="V27" s="29" t="s">
        <v>180</v>
      </c>
      <c r="W27" s="183" t="s">
        <v>88</v>
      </c>
      <c r="X27" s="183" t="s">
        <v>88</v>
      </c>
      <c r="Y27" s="29"/>
      <c r="Z27" s="30"/>
      <c r="AA27" s="75"/>
      <c r="AB27" s="29"/>
      <c r="AC27" s="29"/>
      <c r="AD27" s="29"/>
      <c r="AE27" s="29"/>
      <c r="AF27" s="65"/>
      <c r="AG27" s="65"/>
      <c r="AH27" s="941"/>
      <c r="AI27" s="30"/>
      <c r="AJ27" s="89" cm="1">
        <f t="array" ref="AJ27">SUMPRODUCT(($E$25:$AI$25="HR")*(E27:AI27=""))+SUMPRODUCT((E27:AI27="HR")*1)</f>
        <v>2</v>
      </c>
      <c r="AK27" s="89" cm="1">
        <f t="array" ref="AK27">SUMPRODUCT(($E$25:$AI$25="N0")*(E27:AI27=""))+SUMPRODUCT((E27:AI27="N")*1)</f>
        <v>20</v>
      </c>
      <c r="AL27" s="88" cm="1">
        <f t="array" ref="AL27">SUMPRODUCT(($E$25:$AI$25="RD")*(E27:AI27=""))+SUMPRODUCT((E27:AI27="RD")*1)</f>
        <v>6</v>
      </c>
      <c r="AM27" s="89" cm="1">
        <f t="array" ref="AM27">SUMPRODUCT((F27:AI27="AL")*1)</f>
        <v>0</v>
      </c>
      <c r="AN27" s="89" cm="1">
        <f t="array" ref="AN27">SUMPRODUCT((F27:AI27="SH")*1)</f>
        <v>2</v>
      </c>
      <c r="AO27" s="89" cm="1">
        <f t="array" ref="AO27">SUMPRODUCT((E27:AI27="SL")*1)</f>
        <v>0</v>
      </c>
      <c r="AP27" s="140">
        <f t="shared" ref="AP27:AP31" si="1">$AI$5-AJ27-AK27-AL27-AM27-AN27-AO27</f>
        <v>1</v>
      </c>
    </row>
    <row r="28" spans="1:42" ht="18" customHeight="1">
      <c r="A28" s="1349"/>
      <c r="B28" s="102" t="s">
        <v>29</v>
      </c>
      <c r="C28" s="16" t="s">
        <v>27</v>
      </c>
      <c r="D28" s="22">
        <v>679365</v>
      </c>
      <c r="E28" s="107"/>
      <c r="F28" s="28"/>
      <c r="G28" s="29"/>
      <c r="H28" s="29"/>
      <c r="I28" s="29"/>
      <c r="J28" s="29"/>
      <c r="K28" s="29"/>
      <c r="L28" s="30"/>
      <c r="M28" s="75"/>
      <c r="N28" s="29"/>
      <c r="O28" s="29"/>
      <c r="P28" s="29"/>
      <c r="Q28" s="29"/>
      <c r="R28" s="29"/>
      <c r="S28" s="65"/>
      <c r="T28" s="28"/>
      <c r="U28" s="29"/>
      <c r="V28" s="29"/>
      <c r="W28" s="29"/>
      <c r="X28" s="29"/>
      <c r="Y28" s="29"/>
      <c r="Z28" s="30"/>
      <c r="AA28" s="75"/>
      <c r="AB28" s="29"/>
      <c r="AC28" s="29"/>
      <c r="AD28" s="29"/>
      <c r="AE28" s="29"/>
      <c r="AF28" s="65"/>
      <c r="AG28" s="65"/>
      <c r="AH28" s="28"/>
      <c r="AI28" s="30"/>
      <c r="AJ28" s="89" cm="1">
        <f t="array" ref="AJ28">SUMPRODUCT(($E$25:$AI$25="HR")*(E28:AI28=""))+SUMPRODUCT((E28:AI28="HR")*1)</f>
        <v>5</v>
      </c>
      <c r="AK28" s="89" cm="1">
        <f t="array" ref="AK28">SUMPRODUCT(($E$25:$AI$25="N0")*(E28:AI28=""))+SUMPRODUCT((E28:AI28="N")*1)</f>
        <v>20</v>
      </c>
      <c r="AL28" s="88" cm="1">
        <f t="array" ref="AL28">SUMPRODUCT(($E$25:$AI$25="RD")*(E28:AI28=""))+SUMPRODUCT((E28:AI28="RD")*1)</f>
        <v>6</v>
      </c>
      <c r="AM28" s="89" cm="1">
        <f t="array" ref="AM28">SUMPRODUCT((F28:AI28="AL")*1)</f>
        <v>0</v>
      </c>
      <c r="AN28" s="89" cm="1">
        <f t="array" ref="AN28">SUMPRODUCT((F28:AI28="SH")*1)</f>
        <v>0</v>
      </c>
      <c r="AO28" s="89" cm="1">
        <f t="array" ref="AO28">SUMPRODUCT((E28:AI28="SL")*1)</f>
        <v>0</v>
      </c>
      <c r="AP28" s="140">
        <f t="shared" si="1"/>
        <v>0</v>
      </c>
    </row>
    <row r="29" spans="1:42" ht="18" customHeight="1">
      <c r="A29" s="1349"/>
      <c r="B29" s="102" t="s">
        <v>114</v>
      </c>
      <c r="C29" s="16" t="s">
        <v>27</v>
      </c>
      <c r="D29" s="22">
        <v>680682</v>
      </c>
      <c r="E29" s="107"/>
      <c r="F29" s="28"/>
      <c r="G29" s="29"/>
      <c r="H29" s="29"/>
      <c r="I29" s="29"/>
      <c r="J29" s="29"/>
      <c r="K29" s="29"/>
      <c r="L29" s="30"/>
      <c r="M29" s="593" t="s">
        <v>96</v>
      </c>
      <c r="N29" s="29"/>
      <c r="O29" s="29"/>
      <c r="P29" s="29"/>
      <c r="Q29" s="29"/>
      <c r="R29" s="29"/>
      <c r="S29" s="65"/>
      <c r="T29" s="28"/>
      <c r="U29" s="29" t="s">
        <v>140</v>
      </c>
      <c r="V29" s="29"/>
      <c r="W29" s="29"/>
      <c r="X29" s="29"/>
      <c r="Y29" s="29"/>
      <c r="Z29" s="30"/>
      <c r="AA29" s="186" t="s">
        <v>88</v>
      </c>
      <c r="AB29" s="183" t="s">
        <v>88</v>
      </c>
      <c r="AC29" s="183" t="s">
        <v>88</v>
      </c>
      <c r="AD29" s="183" t="s">
        <v>81</v>
      </c>
      <c r="AE29" s="183" t="s">
        <v>81</v>
      </c>
      <c r="AF29" s="65"/>
      <c r="AG29" s="65"/>
      <c r="AH29" s="28"/>
      <c r="AI29" s="30"/>
      <c r="AJ29" s="89" cm="1">
        <f t="array" ref="AJ29">SUMPRODUCT(($E$25:$AI$25="HR")*(E29:AI29=""))+SUMPRODUCT((E29:AI29="HR")*1)</f>
        <v>4</v>
      </c>
      <c r="AK29" s="89" cm="1">
        <f t="array" ref="AK29">SUMPRODUCT(($E$25:$AI$25="N0")*(E29:AI29=""))+SUMPRODUCT((E29:AI29="N")*1)</f>
        <v>14</v>
      </c>
      <c r="AL29" s="88" cm="1">
        <f t="array" ref="AL29">SUMPRODUCT(($E$25:$AI$25="RD")*(E29:AI29=""))+SUMPRODUCT((E29:AI29="RD")*1)</f>
        <v>6</v>
      </c>
      <c r="AM29" s="89" cm="1">
        <f t="array" ref="AM29">SUMPRODUCT((F29:AI29="AL")*1)</f>
        <v>2</v>
      </c>
      <c r="AN29" s="89" cm="1">
        <f t="array" ref="AN29">SUMPRODUCT((F29:AI29="SH")*1)</f>
        <v>3</v>
      </c>
      <c r="AO29" s="89" cm="1">
        <f t="array" ref="AO29">SUMPRODUCT((E29:AI29="SL")*1)</f>
        <v>1</v>
      </c>
      <c r="AP29" s="140">
        <f t="shared" si="1"/>
        <v>1</v>
      </c>
    </row>
    <row r="30" spans="1:42" ht="18" customHeight="1">
      <c r="A30" s="1349"/>
      <c r="B30" s="848" t="s">
        <v>52</v>
      </c>
      <c r="C30" s="318" t="s">
        <v>27</v>
      </c>
      <c r="D30" s="319">
        <v>678954</v>
      </c>
      <c r="E30" s="107"/>
      <c r="F30" s="28"/>
      <c r="G30" s="29"/>
      <c r="H30" s="29"/>
      <c r="I30" s="29"/>
      <c r="J30" s="183" t="s">
        <v>88</v>
      </c>
      <c r="K30" s="29"/>
      <c r="L30" s="30"/>
      <c r="M30" s="75"/>
      <c r="N30" s="29"/>
      <c r="O30" s="29"/>
      <c r="P30" s="29"/>
      <c r="Q30" s="29"/>
      <c r="R30" s="29"/>
      <c r="S30" s="65"/>
      <c r="T30" s="28" t="s">
        <v>123</v>
      </c>
      <c r="U30" s="29"/>
      <c r="V30" s="29"/>
      <c r="W30" s="29"/>
      <c r="X30" s="29"/>
      <c r="Y30" s="29"/>
      <c r="Z30" s="30"/>
      <c r="AA30" s="75"/>
      <c r="AB30" s="29"/>
      <c r="AC30" s="29"/>
      <c r="AD30" s="29"/>
      <c r="AE30" s="29"/>
      <c r="AF30" s="65"/>
      <c r="AG30" s="235" t="s">
        <v>88</v>
      </c>
      <c r="AH30" s="28" t="s">
        <v>95</v>
      </c>
      <c r="AI30" s="30" t="s">
        <v>124</v>
      </c>
      <c r="AJ30" s="89" cm="1">
        <f t="array" ref="AJ30">SUMPRODUCT(($E$25:$AI$25="HR")*(E30:AI30=""))+SUMPRODUCT((E30:AI30="HR")*1)</f>
        <v>5</v>
      </c>
      <c r="AK30" s="89" cm="1">
        <f t="array" ref="AK30">SUMPRODUCT(($E$25:$AI$25="N0")*(E30:AI30=""))+SUMPRODUCT((E30:AI30="N")*1)</f>
        <v>16</v>
      </c>
      <c r="AL30" s="88" cm="1">
        <f t="array" ref="AL30">SUMPRODUCT(($E$25:$AI$25="RD")*(E30:AI30=""))+SUMPRODUCT((E30:AI30="RD")*1)</f>
        <v>6</v>
      </c>
      <c r="AM30" s="89" cm="1">
        <f t="array" ref="AM30">SUMPRODUCT((F30:AI30="AL")*1)</f>
        <v>0</v>
      </c>
      <c r="AN30" s="89" cm="1">
        <f t="array" ref="AN30">SUMPRODUCT((F30:AI30="SH")*1)</f>
        <v>2</v>
      </c>
      <c r="AO30" s="89" cm="1">
        <f t="array" ref="AO30">SUMPRODUCT((E30:AI30="SL")*1)</f>
        <v>0</v>
      </c>
      <c r="AP30" s="140">
        <f t="shared" si="1"/>
        <v>2</v>
      </c>
    </row>
    <row r="31" spans="1:42" ht="18" customHeight="1">
      <c r="A31" s="1349"/>
      <c r="B31" s="849" t="s">
        <v>51</v>
      </c>
      <c r="C31" s="111" t="s">
        <v>32</v>
      </c>
      <c r="D31" s="600">
        <v>685750</v>
      </c>
      <c r="E31" s="107"/>
      <c r="F31" s="28"/>
      <c r="G31" s="29"/>
      <c r="H31" s="29"/>
      <c r="I31" s="29"/>
      <c r="J31" s="29"/>
      <c r="K31" s="29"/>
      <c r="L31" s="30"/>
      <c r="M31" s="75"/>
      <c r="N31" s="29"/>
      <c r="O31" s="29"/>
      <c r="P31" s="29"/>
      <c r="Q31" s="29"/>
      <c r="R31" s="29"/>
      <c r="S31" s="65"/>
      <c r="T31" s="28"/>
      <c r="U31" s="29" t="s">
        <v>140</v>
      </c>
      <c r="V31" s="29" t="s">
        <v>108</v>
      </c>
      <c r="W31" s="29"/>
      <c r="X31" s="29"/>
      <c r="Y31" s="29"/>
      <c r="Z31" s="30"/>
      <c r="AA31" s="75"/>
      <c r="AB31" s="29"/>
      <c r="AC31" s="29"/>
      <c r="AD31" s="29"/>
      <c r="AE31" s="29"/>
      <c r="AF31" s="65"/>
      <c r="AG31" s="65"/>
      <c r="AH31" s="28"/>
      <c r="AI31" s="30"/>
      <c r="AJ31" s="89" cm="1">
        <f t="array" ref="AJ31">SUMPRODUCT(($E$33:$AI$33="HR")*(E31:AI31=""))+SUMPRODUCT((E31:AI31="HR")*1)</f>
        <v>5</v>
      </c>
      <c r="AK31" s="89" cm="1">
        <f t="array" ref="AK31">SUMPRODUCT(($E$33:$AI$33="N0")*(E31:AI31=""))+SUMPRODUCT((E31:AI31="N")*1)</f>
        <v>17</v>
      </c>
      <c r="AL31" s="88" cm="1">
        <f t="array" ref="AL31">SUMPRODUCT(($E$33:$AI$33="RD")*(E31:AI31=""))+SUMPRODUCT((E31:AI31="RD")*1)</f>
        <v>7</v>
      </c>
      <c r="AM31" s="89" cm="1">
        <f t="array" ref="AM31">SUMPRODUCT((F31:AI31="AL")*1)</f>
        <v>0</v>
      </c>
      <c r="AN31" s="89" cm="1">
        <f t="array" ref="AN31">SUMPRODUCT((F31:AI31="SH")*1)</f>
        <v>0</v>
      </c>
      <c r="AO31" s="89" cm="1">
        <f t="array" ref="AO31">SUMPRODUCT((E31:AI31="SL")*1)</f>
        <v>0</v>
      </c>
      <c r="AP31" s="140">
        <f t="shared" si="1"/>
        <v>2</v>
      </c>
    </row>
    <row r="32" spans="1:42" ht="18" customHeight="1">
      <c r="A32" s="1360"/>
      <c r="B32" s="850" t="s">
        <v>116</v>
      </c>
      <c r="C32" s="122" t="s">
        <v>55</v>
      </c>
      <c r="D32" s="755">
        <v>682089</v>
      </c>
      <c r="E32" s="628"/>
      <c r="F32" s="247"/>
      <c r="G32" s="244"/>
      <c r="H32" s="244"/>
      <c r="I32" s="244"/>
      <c r="J32" s="244"/>
      <c r="K32" s="244"/>
      <c r="L32" s="248"/>
      <c r="M32" s="249"/>
      <c r="N32" s="244"/>
      <c r="O32" s="244"/>
      <c r="P32" s="244"/>
      <c r="Q32" s="244"/>
      <c r="R32" s="244"/>
      <c r="S32" s="250"/>
      <c r="T32" s="247"/>
      <c r="U32" s="244"/>
      <c r="V32" s="244"/>
      <c r="W32" s="244"/>
      <c r="X32" s="244"/>
      <c r="Y32" s="244" t="s">
        <v>95</v>
      </c>
      <c r="Z32" s="248"/>
      <c r="AA32" s="249"/>
      <c r="AB32" s="244"/>
      <c r="AC32" s="244"/>
      <c r="AD32" s="244"/>
      <c r="AE32" s="244"/>
      <c r="AF32" s="250"/>
      <c r="AG32" s="752" t="s">
        <v>84</v>
      </c>
      <c r="AH32" s="247" t="s">
        <v>95</v>
      </c>
      <c r="AI32" s="248" t="s">
        <v>95</v>
      </c>
      <c r="AJ32" s="211"/>
      <c r="AK32" s="211"/>
      <c r="AL32" s="211"/>
      <c r="AM32" s="211"/>
      <c r="AN32" s="211"/>
      <c r="AO32" s="211"/>
      <c r="AP32" s="212"/>
    </row>
    <row r="33" spans="1:42" ht="18" customHeight="1">
      <c r="A33" s="1348" t="s">
        <v>117</v>
      </c>
      <c r="B33" s="1332" t="s">
        <v>110</v>
      </c>
      <c r="C33" s="1332"/>
      <c r="D33" s="1330"/>
      <c r="E33" s="818" t="s">
        <v>84</v>
      </c>
      <c r="F33" s="773" t="s">
        <v>94</v>
      </c>
      <c r="G33" s="772" t="s">
        <v>94</v>
      </c>
      <c r="H33" s="772" t="s">
        <v>94</v>
      </c>
      <c r="I33" s="772" t="s">
        <v>94</v>
      </c>
      <c r="J33" s="772" t="s">
        <v>94</v>
      </c>
      <c r="K33" s="770" t="s">
        <v>84</v>
      </c>
      <c r="L33" s="771" t="s">
        <v>94</v>
      </c>
      <c r="M33" s="831" t="s">
        <v>94</v>
      </c>
      <c r="N33" s="772" t="s">
        <v>94</v>
      </c>
      <c r="O33" s="772" t="s">
        <v>94</v>
      </c>
      <c r="P33" s="772" t="s">
        <v>94</v>
      </c>
      <c r="Q33" s="772" t="s">
        <v>94</v>
      </c>
      <c r="R33" s="770" t="s">
        <v>84</v>
      </c>
      <c r="S33" s="776" t="s">
        <v>94</v>
      </c>
      <c r="T33" s="773" t="s">
        <v>94</v>
      </c>
      <c r="U33" s="772" t="s">
        <v>94</v>
      </c>
      <c r="V33" s="772" t="s">
        <v>94</v>
      </c>
      <c r="W33" s="772" t="s">
        <v>94</v>
      </c>
      <c r="X33" s="772" t="s">
        <v>94</v>
      </c>
      <c r="Y33" s="770" t="s">
        <v>84</v>
      </c>
      <c r="Z33" s="775" t="s">
        <v>84</v>
      </c>
      <c r="AA33" s="830" t="s">
        <v>95</v>
      </c>
      <c r="AB33" s="769" t="s">
        <v>95</v>
      </c>
      <c r="AC33" s="769" t="s">
        <v>95</v>
      </c>
      <c r="AD33" s="769" t="s">
        <v>95</v>
      </c>
      <c r="AE33" s="769" t="s">
        <v>95</v>
      </c>
      <c r="AF33" s="760" t="s">
        <v>84</v>
      </c>
      <c r="AG33" s="760" t="s">
        <v>84</v>
      </c>
      <c r="AH33" s="773" t="s">
        <v>94</v>
      </c>
      <c r="AI33" s="771" t="s">
        <v>94</v>
      </c>
      <c r="AJ33" s="137" t="s">
        <v>95</v>
      </c>
      <c r="AK33" s="137" t="s">
        <v>38</v>
      </c>
      <c r="AL33" s="138" t="s">
        <v>84</v>
      </c>
      <c r="AM33" s="137" t="s">
        <v>81</v>
      </c>
      <c r="AN33" s="137" t="s">
        <v>88</v>
      </c>
      <c r="AO33" s="137" t="s">
        <v>96</v>
      </c>
      <c r="AP33" s="139" t="s">
        <v>97</v>
      </c>
    </row>
    <row r="34" spans="1:42" ht="18" customHeight="1">
      <c r="A34" s="1349"/>
      <c r="B34" s="46" t="s">
        <v>17</v>
      </c>
      <c r="C34" s="27" t="s">
        <v>16</v>
      </c>
      <c r="D34" s="21">
        <v>321524</v>
      </c>
      <c r="E34" s="829"/>
      <c r="F34" s="232"/>
      <c r="G34" s="221"/>
      <c r="H34" s="221"/>
      <c r="I34" s="221"/>
      <c r="J34" s="221"/>
      <c r="K34" s="221"/>
      <c r="L34" s="222"/>
      <c r="M34" s="230"/>
      <c r="N34" s="221"/>
      <c r="O34" s="221"/>
      <c r="P34" s="221"/>
      <c r="Q34" s="221"/>
      <c r="R34" s="221"/>
      <c r="S34" s="234"/>
      <c r="T34" s="232"/>
      <c r="U34" s="221"/>
      <c r="V34" s="221"/>
      <c r="W34" s="221"/>
      <c r="X34" s="221"/>
      <c r="Y34" s="221"/>
      <c r="Z34" s="222"/>
      <c r="AA34" s="841" t="s">
        <v>88</v>
      </c>
      <c r="AB34" s="221"/>
      <c r="AC34" s="221"/>
      <c r="AD34" s="221"/>
      <c r="AE34" s="221" t="s">
        <v>180</v>
      </c>
      <c r="AF34" s="234"/>
      <c r="AG34" s="234"/>
      <c r="AH34" s="232"/>
      <c r="AI34" s="222"/>
      <c r="AJ34" s="89" cm="1">
        <f t="array" ref="AJ34">SUMPRODUCT(($E$33:$AI$33="HR")*(E34:AI34=""))+SUMPRODUCT((E34:AI34="HR")*1)</f>
        <v>3</v>
      </c>
      <c r="AK34" s="89" cm="1">
        <f t="array" ref="AK34">SUMPRODUCT(($E$33:$AI$33="N0")*(E34:AI34=""))+SUMPRODUCT((E34:AI34="N")*1)</f>
        <v>19</v>
      </c>
      <c r="AL34" s="88" cm="1">
        <f t="array" ref="AL34">SUMPRODUCT(($E$33:$AI$33="RD")*(E34:AI34=""))+SUMPRODUCT((E34:AI34="RD")*1)</f>
        <v>7</v>
      </c>
      <c r="AM34" s="89" cm="1">
        <f t="array" ref="AM34">SUMPRODUCT((F34:AI34="AL")*1)</f>
        <v>0</v>
      </c>
      <c r="AN34" s="89" cm="1">
        <f t="array" ref="AN34">SUMPRODUCT((F34:AI34="SH")*1)</f>
        <v>1</v>
      </c>
      <c r="AO34" s="89" cm="1">
        <f t="array" ref="AO34">SUMPRODUCT((E34:AI34="SL")*1)</f>
        <v>0</v>
      </c>
      <c r="AP34" s="140">
        <f>$AI$5-AJ34-AK34-AL34-AM34-AN34-AO34</f>
        <v>1</v>
      </c>
    </row>
    <row r="35" spans="1:42" ht="18" customHeight="1">
      <c r="A35" s="1349"/>
      <c r="B35" s="48" t="s">
        <v>28</v>
      </c>
      <c r="C35" s="16" t="s">
        <v>16</v>
      </c>
      <c r="D35" s="22">
        <v>427616</v>
      </c>
      <c r="E35" s="107"/>
      <c r="F35" s="28"/>
      <c r="G35" s="29"/>
      <c r="H35" s="29"/>
      <c r="I35" s="29"/>
      <c r="J35" s="29"/>
      <c r="K35" s="29"/>
      <c r="L35" s="30"/>
      <c r="M35" s="75"/>
      <c r="N35" s="29"/>
      <c r="O35" s="29"/>
      <c r="P35" s="29"/>
      <c r="Q35" s="29"/>
      <c r="R35" s="29"/>
      <c r="S35" s="65"/>
      <c r="T35" s="28"/>
      <c r="U35" s="29"/>
      <c r="V35" s="29"/>
      <c r="W35" s="29"/>
      <c r="X35" s="183" t="s">
        <v>88</v>
      </c>
      <c r="Y35" s="29"/>
      <c r="Z35" s="30"/>
      <c r="AA35" s="75"/>
      <c r="AB35" s="29"/>
      <c r="AC35" s="29"/>
      <c r="AD35" s="29"/>
      <c r="AE35" s="29" t="s">
        <v>180</v>
      </c>
      <c r="AF35" s="65"/>
      <c r="AG35" s="65"/>
      <c r="AH35" s="28"/>
      <c r="AI35" s="30"/>
      <c r="AJ35" s="89" cm="1">
        <f t="array" ref="AJ35">SUMPRODUCT(($E$33:$AI$33="HR")*(E35:AI35=""))+SUMPRODUCT((E35:AI35="HR")*1)</f>
        <v>4</v>
      </c>
      <c r="AK35" s="89" cm="1">
        <f t="array" ref="AK35">SUMPRODUCT(($E$33:$AI$33="N0")*(E35:AI35=""))+SUMPRODUCT((E35:AI35="N")*1)</f>
        <v>18</v>
      </c>
      <c r="AL35" s="88" cm="1">
        <f t="array" ref="AL35">SUMPRODUCT(($E$33:$AI$33="RD")*(E35:AI35=""))+SUMPRODUCT((E35:AI35="RD")*1)</f>
        <v>7</v>
      </c>
      <c r="AM35" s="89" cm="1">
        <f t="array" ref="AM35">SUMPRODUCT((F35:AI35="AL")*1)</f>
        <v>0</v>
      </c>
      <c r="AN35" s="89" cm="1">
        <f t="array" ref="AN35">SUMPRODUCT((F35:AI35="SH")*1)</f>
        <v>1</v>
      </c>
      <c r="AO35" s="89" cm="1">
        <f t="array" ref="AO35">SUMPRODUCT((E35:AI35="SL")*1)</f>
        <v>0</v>
      </c>
      <c r="AP35" s="140">
        <f t="shared" ref="AP35:AP39" si="2">$AI$5-AJ35-AK35-AL35-AM35-AN35-AO35</f>
        <v>1</v>
      </c>
    </row>
    <row r="36" spans="1:42" ht="18" customHeight="1">
      <c r="A36" s="1349"/>
      <c r="B36" s="50" t="s">
        <v>33</v>
      </c>
      <c r="C36" s="18" t="s">
        <v>27</v>
      </c>
      <c r="D36" s="51">
        <v>672075</v>
      </c>
      <c r="E36" s="107"/>
      <c r="F36" s="28"/>
      <c r="G36" s="29"/>
      <c r="H36" s="29"/>
      <c r="I36" s="29"/>
      <c r="J36" s="29"/>
      <c r="K36" s="29"/>
      <c r="L36" s="30"/>
      <c r="M36" s="75"/>
      <c r="N36" s="29"/>
      <c r="O36" s="29"/>
      <c r="P36" s="29"/>
      <c r="Q36" s="29"/>
      <c r="R36" s="29"/>
      <c r="S36" s="65"/>
      <c r="T36" s="28"/>
      <c r="U36" s="29"/>
      <c r="V36" s="29"/>
      <c r="W36" s="29"/>
      <c r="X36" s="29"/>
      <c r="Y36" s="29"/>
      <c r="Z36" s="30"/>
      <c r="AA36" s="75"/>
      <c r="AB36" s="29"/>
      <c r="AC36" s="29"/>
      <c r="AD36" s="29"/>
      <c r="AE36" s="29" t="s">
        <v>181</v>
      </c>
      <c r="AF36" s="65"/>
      <c r="AG36" s="65"/>
      <c r="AH36" s="28"/>
      <c r="AI36" s="30"/>
      <c r="AJ36" s="89" cm="1">
        <f t="array" ref="AJ36">SUMPRODUCT(($E$33:$AI$33="HR")*(E36:AI36=""))+SUMPRODUCT((E36:AI36="HR")*1)</f>
        <v>4</v>
      </c>
      <c r="AK36" s="89" cm="1">
        <f t="array" ref="AK36">SUMPRODUCT(($E$33:$AI$33="N0")*(E36:AI36=""))+SUMPRODUCT((E36:AI36="N")*1)</f>
        <v>19</v>
      </c>
      <c r="AL36" s="88" cm="1">
        <f t="array" ref="AL36">SUMPRODUCT(($E$33:$AI$33="RD")*(E36:AI36=""))+SUMPRODUCT((E36:AI36="RD")*1)</f>
        <v>7</v>
      </c>
      <c r="AM36" s="89" cm="1">
        <f t="array" ref="AM36">SUMPRODUCT((F36:AI36="AL")*1)</f>
        <v>0</v>
      </c>
      <c r="AN36" s="89" cm="1">
        <f t="array" ref="AN36">SUMPRODUCT((F36:AI36="SH")*1)</f>
        <v>0</v>
      </c>
      <c r="AO36" s="89" cm="1">
        <f t="array" ref="AO36">SUMPRODUCT((E36:AI36="SL")*1)</f>
        <v>0</v>
      </c>
      <c r="AP36" s="140">
        <f t="shared" si="2"/>
        <v>1</v>
      </c>
    </row>
    <row r="37" spans="1:42" ht="18" customHeight="1">
      <c r="A37" s="1349"/>
      <c r="B37" s="47" t="s">
        <v>35</v>
      </c>
      <c r="C37" s="16" t="s">
        <v>27</v>
      </c>
      <c r="D37" s="22">
        <v>655180</v>
      </c>
      <c r="E37" s="107" t="s">
        <v>161</v>
      </c>
      <c r="F37" s="28"/>
      <c r="G37" s="29"/>
      <c r="H37" s="29"/>
      <c r="I37" s="29"/>
      <c r="J37" s="29"/>
      <c r="K37" s="29"/>
      <c r="L37" s="30"/>
      <c r="M37" s="75"/>
      <c r="N37" s="29"/>
      <c r="O37" s="29"/>
      <c r="P37" s="29"/>
      <c r="Q37" s="29"/>
      <c r="R37" s="29"/>
      <c r="S37" s="65"/>
      <c r="T37" s="28"/>
      <c r="U37" s="29"/>
      <c r="V37" s="29"/>
      <c r="W37" s="29"/>
      <c r="X37" s="29"/>
      <c r="Y37" s="29"/>
      <c r="Z37" s="30"/>
      <c r="AA37" s="75"/>
      <c r="AB37" s="29"/>
      <c r="AC37" s="29"/>
      <c r="AD37" s="29"/>
      <c r="AE37" s="29" t="s">
        <v>181</v>
      </c>
      <c r="AF37" s="65"/>
      <c r="AG37" s="65"/>
      <c r="AH37" s="28"/>
      <c r="AI37" s="30"/>
      <c r="AJ37" s="89" cm="1">
        <f t="array" ref="AJ37">SUMPRODUCT(($E$33:$AI$33="HR")*(E37:AI37=""))+SUMPRODUCT((E37:AI37="HR")*1)</f>
        <v>4</v>
      </c>
      <c r="AK37" s="89" cm="1">
        <f t="array" ref="AK37">SUMPRODUCT(($E$33:$AI$33="N0")*(E37:AI37=""))+SUMPRODUCT((E37:AI37="N")*1)</f>
        <v>19</v>
      </c>
      <c r="AL37" s="88" cm="1">
        <f t="array" ref="AL37">SUMPRODUCT(($E$33:$AI$33="RD")*(E37:AI37=""))+SUMPRODUCT((E37:AI37="RD")*1)</f>
        <v>6</v>
      </c>
      <c r="AM37" s="89" cm="1">
        <f t="array" ref="AM37">SUMPRODUCT((F37:AI37="AL")*1)</f>
        <v>0</v>
      </c>
      <c r="AN37" s="89" cm="1">
        <f t="array" ref="AN37">SUMPRODUCT((F37:AI37="SH")*1)</f>
        <v>0</v>
      </c>
      <c r="AO37" s="89" cm="1">
        <f t="array" ref="AO37">SUMPRODUCT((E37:AI37="SL")*1)</f>
        <v>0</v>
      </c>
      <c r="AP37" s="140">
        <f t="shared" si="2"/>
        <v>2</v>
      </c>
    </row>
    <row r="38" spans="1:42" ht="18" customHeight="1">
      <c r="A38" s="1349"/>
      <c r="B38" s="102" t="s">
        <v>34</v>
      </c>
      <c r="C38" s="16" t="s">
        <v>27</v>
      </c>
      <c r="D38" s="22">
        <v>673277</v>
      </c>
      <c r="E38" s="107"/>
      <c r="F38" s="28"/>
      <c r="G38" s="29"/>
      <c r="H38" s="29"/>
      <c r="I38" s="29"/>
      <c r="J38" s="29"/>
      <c r="K38" s="29"/>
      <c r="L38" s="30"/>
      <c r="M38" s="75"/>
      <c r="N38" s="29"/>
      <c r="O38" s="29"/>
      <c r="P38" s="29"/>
      <c r="Q38" s="29"/>
      <c r="R38" s="29"/>
      <c r="S38" s="65"/>
      <c r="T38" s="28"/>
      <c r="U38" s="29"/>
      <c r="V38" s="29"/>
      <c r="W38" s="29"/>
      <c r="X38" s="29"/>
      <c r="Y38" s="29"/>
      <c r="Z38" s="30"/>
      <c r="AA38" s="75"/>
      <c r="AB38" s="29"/>
      <c r="AC38" s="29"/>
      <c r="AD38" s="29"/>
      <c r="AE38" s="29" t="s">
        <v>181</v>
      </c>
      <c r="AF38" s="65"/>
      <c r="AG38" s="65"/>
      <c r="AH38" s="28"/>
      <c r="AI38" s="30"/>
      <c r="AJ38" s="89" cm="1">
        <f t="array" ref="AJ38">SUMPRODUCT(($E$33:$AI$33="HR")*(E38:AI38=""))+SUMPRODUCT((E38:AI38="HR")*1)</f>
        <v>4</v>
      </c>
      <c r="AK38" s="89" cm="1">
        <f t="array" ref="AK38">SUMPRODUCT(($E$33:$AI$33="N0")*(E38:AI38=""))+SUMPRODUCT((E38:AI38="N")*1)</f>
        <v>19</v>
      </c>
      <c r="AL38" s="88" cm="1">
        <f t="array" ref="AL38">SUMPRODUCT(($E$33:$AI$33="RD")*(E38:AI38=""))+SUMPRODUCT((E38:AI38="RD")*1)</f>
        <v>7</v>
      </c>
      <c r="AM38" s="89" cm="1">
        <f t="array" ref="AM38">SUMPRODUCT((F38:AI38="AL")*1)</f>
        <v>0</v>
      </c>
      <c r="AN38" s="89" cm="1">
        <f t="array" ref="AN38">SUMPRODUCT((F38:AI38="SH")*1)</f>
        <v>0</v>
      </c>
      <c r="AO38" s="89" cm="1">
        <f t="array" ref="AO38">SUMPRODUCT((E38:AI38="SL")*1)</f>
        <v>0</v>
      </c>
      <c r="AP38" s="140">
        <f t="shared" si="2"/>
        <v>1</v>
      </c>
    </row>
    <row r="39" spans="1:42" ht="18" customHeight="1">
      <c r="A39" s="1349"/>
      <c r="B39" s="150" t="s">
        <v>118</v>
      </c>
      <c r="C39" s="133" t="s">
        <v>27</v>
      </c>
      <c r="D39" s="156">
        <v>674432</v>
      </c>
      <c r="E39" s="628"/>
      <c r="F39" s="247"/>
      <c r="G39" s="244"/>
      <c r="H39" s="244"/>
      <c r="I39" s="244"/>
      <c r="J39" s="244"/>
      <c r="K39" s="244" t="s">
        <v>38</v>
      </c>
      <c r="L39" s="245" t="s">
        <v>84</v>
      </c>
      <c r="M39" s="249"/>
      <c r="N39" s="244"/>
      <c r="O39" s="244"/>
      <c r="P39" s="359"/>
      <c r="Q39" s="687" t="s">
        <v>96</v>
      </c>
      <c r="R39" s="359"/>
      <c r="S39" s="368" t="s">
        <v>81</v>
      </c>
      <c r="T39" s="667" t="s">
        <v>81</v>
      </c>
      <c r="U39" s="688" t="s">
        <v>81</v>
      </c>
      <c r="V39" s="359"/>
      <c r="W39" s="359"/>
      <c r="X39" s="359"/>
      <c r="Y39" s="359"/>
      <c r="Z39" s="360"/>
      <c r="AA39" s="361"/>
      <c r="AB39" s="359"/>
      <c r="AC39" s="359"/>
      <c r="AD39" s="359" t="s">
        <v>135</v>
      </c>
      <c r="AE39" s="359" t="s">
        <v>135</v>
      </c>
      <c r="AF39" s="681"/>
      <c r="AG39" s="681"/>
      <c r="AH39" s="680"/>
      <c r="AI39" s="360"/>
      <c r="AJ39" s="89" cm="1">
        <f t="array" ref="AJ39">SUMPRODUCT(($E$33:$AI$33="HR")*(E39:AI39=""))+SUMPRODUCT((E39:AI39="HR")*1)</f>
        <v>3</v>
      </c>
      <c r="AK39" s="89" cm="1">
        <f t="array" ref="AK39">SUMPRODUCT(($E$33:$AI$33="N0")*(E39:AI39=""))+SUMPRODUCT((E39:AI39="N")*1)</f>
        <v>15</v>
      </c>
      <c r="AL39" s="88" cm="1">
        <f t="array" ref="AL39">SUMPRODUCT(($E$33:$AI$33="RD")*(E39:AI39=""))+SUMPRODUCT((E39:AI39="RD")*1)</f>
        <v>7</v>
      </c>
      <c r="AM39" s="89" cm="1">
        <f t="array" ref="AM39">SUMPRODUCT((F39:AI39="AL")*1)</f>
        <v>3</v>
      </c>
      <c r="AN39" s="89" cm="1">
        <f t="array" ref="AN39">SUMPRODUCT((F39:AI39="SH")*1)</f>
        <v>0</v>
      </c>
      <c r="AO39" s="89" cm="1">
        <f t="array" ref="AO39">SUMPRODUCT((E39:AI39="SL")*1)</f>
        <v>1</v>
      </c>
      <c r="AP39" s="140">
        <f t="shared" si="2"/>
        <v>2</v>
      </c>
    </row>
    <row r="40" spans="1:42" ht="18" customHeight="1">
      <c r="A40" s="1348" t="s">
        <v>119</v>
      </c>
      <c r="B40" s="1332" t="s">
        <v>110</v>
      </c>
      <c r="C40" s="1332"/>
      <c r="D40" s="1330"/>
      <c r="E40" s="818" t="s">
        <v>84</v>
      </c>
      <c r="F40" s="774" t="s">
        <v>95</v>
      </c>
      <c r="G40" s="769" t="s">
        <v>95</v>
      </c>
      <c r="H40" s="769" t="s">
        <v>95</v>
      </c>
      <c r="I40" s="769" t="s">
        <v>95</v>
      </c>
      <c r="J40" s="769" t="s">
        <v>95</v>
      </c>
      <c r="K40" s="770" t="s">
        <v>84</v>
      </c>
      <c r="L40" s="775" t="s">
        <v>84</v>
      </c>
      <c r="M40" s="831" t="s">
        <v>94</v>
      </c>
      <c r="N40" s="772" t="s">
        <v>94</v>
      </c>
      <c r="O40" s="772" t="s">
        <v>94</v>
      </c>
      <c r="P40" s="772" t="s">
        <v>94</v>
      </c>
      <c r="Q40" s="772" t="s">
        <v>94</v>
      </c>
      <c r="R40" s="770" t="s">
        <v>84</v>
      </c>
      <c r="S40" s="776" t="s">
        <v>94</v>
      </c>
      <c r="T40" s="773" t="s">
        <v>94</v>
      </c>
      <c r="U40" s="772" t="s">
        <v>94</v>
      </c>
      <c r="V40" s="772" t="s">
        <v>94</v>
      </c>
      <c r="W40" s="772" t="s">
        <v>94</v>
      </c>
      <c r="X40" s="772" t="s">
        <v>94</v>
      </c>
      <c r="Y40" s="770" t="s">
        <v>84</v>
      </c>
      <c r="Z40" s="771" t="s">
        <v>94</v>
      </c>
      <c r="AA40" s="831" t="s">
        <v>94</v>
      </c>
      <c r="AB40" s="772" t="s">
        <v>94</v>
      </c>
      <c r="AC40" s="772" t="s">
        <v>94</v>
      </c>
      <c r="AD40" s="772" t="s">
        <v>94</v>
      </c>
      <c r="AE40" s="772" t="s">
        <v>94</v>
      </c>
      <c r="AF40" s="760" t="s">
        <v>84</v>
      </c>
      <c r="AG40" s="760" t="s">
        <v>84</v>
      </c>
      <c r="AH40" s="774" t="s">
        <v>95</v>
      </c>
      <c r="AI40" s="792" t="s">
        <v>95</v>
      </c>
      <c r="AJ40" s="137" t="s">
        <v>95</v>
      </c>
      <c r="AK40" s="137" t="s">
        <v>38</v>
      </c>
      <c r="AL40" s="138" t="s">
        <v>84</v>
      </c>
      <c r="AM40" s="137" t="s">
        <v>81</v>
      </c>
      <c r="AN40" s="137" t="s">
        <v>88</v>
      </c>
      <c r="AO40" s="137" t="s">
        <v>96</v>
      </c>
      <c r="AP40" s="139" t="s">
        <v>97</v>
      </c>
    </row>
    <row r="41" spans="1:42" ht="18" customHeight="1">
      <c r="A41" s="1349"/>
      <c r="B41" s="44" t="s">
        <v>120</v>
      </c>
      <c r="C41" s="17" t="s">
        <v>16</v>
      </c>
      <c r="D41" s="21">
        <v>422380</v>
      </c>
      <c r="E41" s="829" t="s">
        <v>161</v>
      </c>
      <c r="F41" s="842" t="s">
        <v>96</v>
      </c>
      <c r="G41" s="843" t="s">
        <v>96</v>
      </c>
      <c r="H41" s="207" t="s">
        <v>88</v>
      </c>
      <c r="I41" s="207" t="s">
        <v>88</v>
      </c>
      <c r="J41" s="207" t="s">
        <v>88</v>
      </c>
      <c r="K41" s="221"/>
      <c r="L41" s="222"/>
      <c r="M41" s="230"/>
      <c r="N41" s="221"/>
      <c r="O41" s="221"/>
      <c r="P41" s="221"/>
      <c r="Q41" s="221"/>
      <c r="R41" s="221"/>
      <c r="S41" s="234"/>
      <c r="T41" s="232"/>
      <c r="U41" s="221"/>
      <c r="V41" s="221"/>
      <c r="W41" s="221"/>
      <c r="X41" s="221"/>
      <c r="Y41" s="221"/>
      <c r="Z41" s="222"/>
      <c r="AA41" s="230"/>
      <c r="AB41" s="221"/>
      <c r="AC41" s="221"/>
      <c r="AD41" s="221"/>
      <c r="AE41" s="221"/>
      <c r="AF41" s="234"/>
      <c r="AG41" s="234"/>
      <c r="AH41" s="232"/>
      <c r="AI41" s="222"/>
      <c r="AJ41" s="89" cm="1">
        <f t="array" ref="AJ41">SUMPRODUCT(($E$40:$AI$40="HR")*(E41:AI41=""))+SUMPRODUCT((E41:AI41="HR")*1)</f>
        <v>2</v>
      </c>
      <c r="AK41" s="89" cm="1">
        <f t="array" ref="AK41">SUMPRODUCT(($E$40:$AI$40="N0")*(E41:AI41=""))+SUMPRODUCT((E41:AI41="N")*1)</f>
        <v>17</v>
      </c>
      <c r="AL41" s="88" cm="1">
        <f t="array" ref="AL41">SUMPRODUCT(($E$40:$AI$40="RD")*(E41:AI41=""))+SUMPRODUCT((E41:AI41="RD")*1)</f>
        <v>6</v>
      </c>
      <c r="AM41" s="89" cm="1">
        <f t="array" ref="AM41">SUMPRODUCT((F41:AI41="AL")*1)</f>
        <v>0</v>
      </c>
      <c r="AN41" s="89" cm="1">
        <f t="array" ref="AN41">SUMPRODUCT((F41:AI41="SH")*1)</f>
        <v>3</v>
      </c>
      <c r="AO41" s="89" cm="1">
        <f t="array" ref="AO41">SUMPRODUCT((E41:AI41="SL")*1)</f>
        <v>2</v>
      </c>
      <c r="AP41" s="140">
        <f>$AI$5-AJ41-AK41-AL41-AM41-AN41-AO41</f>
        <v>1</v>
      </c>
    </row>
    <row r="42" spans="1:42" ht="18" customHeight="1">
      <c r="A42" s="1349"/>
      <c r="B42" s="45" t="s">
        <v>36</v>
      </c>
      <c r="C42" s="16" t="s">
        <v>16</v>
      </c>
      <c r="D42" s="22">
        <v>669557</v>
      </c>
      <c r="E42" s="107"/>
      <c r="F42" s="312" t="s">
        <v>88</v>
      </c>
      <c r="G42" s="29"/>
      <c r="H42" s="29"/>
      <c r="I42" s="29"/>
      <c r="J42" s="29"/>
      <c r="K42" s="29"/>
      <c r="L42" s="30"/>
      <c r="M42" s="186" t="s">
        <v>88</v>
      </c>
      <c r="N42" s="183" t="s">
        <v>88</v>
      </c>
      <c r="O42" s="29"/>
      <c r="P42" s="29"/>
      <c r="Q42" s="29"/>
      <c r="R42" s="29"/>
      <c r="S42" s="65"/>
      <c r="T42" s="28"/>
      <c r="U42" s="29"/>
      <c r="V42" s="29"/>
      <c r="W42" s="29"/>
      <c r="X42" s="29"/>
      <c r="Y42" s="29"/>
      <c r="Z42" s="30"/>
      <c r="AA42" s="75"/>
      <c r="AB42" s="29"/>
      <c r="AC42" s="29"/>
      <c r="AD42" s="29"/>
      <c r="AE42" s="29"/>
      <c r="AF42" s="65"/>
      <c r="AG42" s="65"/>
      <c r="AH42" s="28"/>
      <c r="AI42" s="30"/>
      <c r="AJ42" s="89" cm="1">
        <f t="array" ref="AJ42">SUMPRODUCT(($E$40:$AI$40="HR")*(E42:AI42=""))+SUMPRODUCT((E42:AI42="HR")*1)</f>
        <v>6</v>
      </c>
      <c r="AK42" s="89" cm="1">
        <f t="array" ref="AK42">SUMPRODUCT(($E$40:$AI$40="N0")*(E42:AI42=""))+SUMPRODUCT((E42:AI42="N")*1)</f>
        <v>15</v>
      </c>
      <c r="AL42" s="88" cm="1">
        <f t="array" ref="AL42">SUMPRODUCT(($E$40:$AI$40="RD")*(E42:AI42=""))+SUMPRODUCT((E42:AI42="RD")*1)</f>
        <v>7</v>
      </c>
      <c r="AM42" s="89" cm="1">
        <f t="array" ref="AM42">SUMPRODUCT((F42:AI42="AL")*1)</f>
        <v>0</v>
      </c>
      <c r="AN42" s="89" cm="1">
        <f t="array" ref="AN42">SUMPRODUCT((F42:AI42="SH")*1)</f>
        <v>3</v>
      </c>
      <c r="AO42" s="89" cm="1">
        <f t="array" ref="AO42">SUMPRODUCT((E42:AI42="SL")*1)</f>
        <v>0</v>
      </c>
      <c r="AP42" s="140">
        <f t="shared" ref="AP42:AP47" si="3">$AI$5-AJ42-AK42-AL42-AM42-AN42-AO42</f>
        <v>0</v>
      </c>
    </row>
    <row r="43" spans="1:42" ht="18" customHeight="1">
      <c r="A43" s="1349"/>
      <c r="B43" s="45" t="s">
        <v>121</v>
      </c>
      <c r="C43" s="16" t="s">
        <v>16</v>
      </c>
      <c r="D43" s="22">
        <v>505935</v>
      </c>
      <c r="E43" s="107" t="s">
        <v>161</v>
      </c>
      <c r="F43" s="28"/>
      <c r="G43" s="29"/>
      <c r="H43" s="29"/>
      <c r="I43" s="29"/>
      <c r="J43" s="183" t="s">
        <v>88</v>
      </c>
      <c r="K43" s="29"/>
      <c r="L43" s="30"/>
      <c r="M43" s="75"/>
      <c r="N43" s="29"/>
      <c r="O43" s="29"/>
      <c r="P43" s="29"/>
      <c r="Q43" s="29"/>
      <c r="R43" s="29"/>
      <c r="S43" s="65"/>
      <c r="T43" s="28"/>
      <c r="U43" s="29"/>
      <c r="V43" s="29"/>
      <c r="W43" s="29"/>
      <c r="X43" s="29"/>
      <c r="Y43" s="29"/>
      <c r="Z43" s="30"/>
      <c r="AA43" s="75"/>
      <c r="AB43" s="29"/>
      <c r="AC43" s="29"/>
      <c r="AD43" s="29"/>
      <c r="AE43" s="29"/>
      <c r="AF43" s="65"/>
      <c r="AG43" s="65"/>
      <c r="AH43" s="28"/>
      <c r="AI43" s="30"/>
      <c r="AJ43" s="89" cm="1">
        <f t="array" ref="AJ43">SUMPRODUCT(($E$40:$AI$40="HR")*(E43:AI43=""))+SUMPRODUCT((E43:AI43="HR")*1)</f>
        <v>6</v>
      </c>
      <c r="AK43" s="89" cm="1">
        <f t="array" ref="AK43">SUMPRODUCT(($E$40:$AI$40="N0")*(E43:AI43=""))+SUMPRODUCT((E43:AI43="N")*1)</f>
        <v>17</v>
      </c>
      <c r="AL43" s="88" cm="1">
        <f t="array" ref="AL43">SUMPRODUCT(($E$40:$AI$40="RD")*(E43:AI43=""))+SUMPRODUCT((E43:AI43="RD")*1)</f>
        <v>6</v>
      </c>
      <c r="AM43" s="89" cm="1">
        <f t="array" ref="AM43">SUMPRODUCT((F43:AI43="AL")*1)</f>
        <v>0</v>
      </c>
      <c r="AN43" s="89" cm="1">
        <f t="array" ref="AN43">SUMPRODUCT((F43:AI43="SH")*1)</f>
        <v>1</v>
      </c>
      <c r="AO43" s="89" cm="1">
        <f t="array" ref="AO43">SUMPRODUCT((E43:AI43="SL")*1)</f>
        <v>0</v>
      </c>
      <c r="AP43" s="140">
        <f t="shared" si="3"/>
        <v>1</v>
      </c>
    </row>
    <row r="44" spans="1:42" ht="18" customHeight="1">
      <c r="A44" s="1349"/>
      <c r="B44" s="45" t="s">
        <v>25</v>
      </c>
      <c r="C44" s="16" t="s">
        <v>27</v>
      </c>
      <c r="D44" s="22">
        <v>580058</v>
      </c>
      <c r="E44" s="107"/>
      <c r="F44" s="28"/>
      <c r="G44" s="29"/>
      <c r="H44" s="29"/>
      <c r="I44" s="29"/>
      <c r="J44" s="208" t="s">
        <v>96</v>
      </c>
      <c r="K44" s="29"/>
      <c r="L44" s="30"/>
      <c r="M44" s="75"/>
      <c r="N44" s="29"/>
      <c r="O44" s="29"/>
      <c r="P44" s="29"/>
      <c r="Q44" s="29"/>
      <c r="R44" s="29"/>
      <c r="S44" s="65"/>
      <c r="T44" s="28"/>
      <c r="U44" s="29"/>
      <c r="V44" s="29"/>
      <c r="W44" s="29"/>
      <c r="X44" s="29"/>
      <c r="Y44" s="29"/>
      <c r="Z44" s="30"/>
      <c r="AA44" s="75"/>
      <c r="AB44" s="29"/>
      <c r="AC44" s="29"/>
      <c r="AD44" s="29"/>
      <c r="AE44" s="29"/>
      <c r="AF44" s="65"/>
      <c r="AG44" s="65"/>
      <c r="AH44" s="28"/>
      <c r="AI44" s="30"/>
      <c r="AJ44" s="89" cm="1">
        <f t="array" ref="AJ44">SUMPRODUCT(($E$40:$AI$40="HR")*(E44:AI44=""))+SUMPRODUCT((E44:AI44="HR")*1)</f>
        <v>6</v>
      </c>
      <c r="AK44" s="89" cm="1">
        <f t="array" ref="AK44">SUMPRODUCT(($E$40:$AI$40="N0")*(E44:AI44=""))+SUMPRODUCT((E44:AI44="N")*1)</f>
        <v>17</v>
      </c>
      <c r="AL44" s="88" cm="1">
        <f t="array" ref="AL44">SUMPRODUCT(($E$40:$AI$40="RD")*(E44:AI44=""))+SUMPRODUCT((E44:AI44="RD")*1)</f>
        <v>7</v>
      </c>
      <c r="AM44" s="89" cm="1">
        <f t="array" ref="AM44">SUMPRODUCT((F44:AI44="AL")*1)</f>
        <v>0</v>
      </c>
      <c r="AN44" s="89" cm="1">
        <f t="array" ref="AN44">SUMPRODUCT((F44:AI44="SH")*1)</f>
        <v>0</v>
      </c>
      <c r="AO44" s="89" cm="1">
        <f t="array" ref="AO44">SUMPRODUCT((E44:AI44="SL")*1)</f>
        <v>1</v>
      </c>
      <c r="AP44" s="140">
        <f t="shared" si="3"/>
        <v>0</v>
      </c>
    </row>
    <row r="45" spans="1:42" ht="18" customHeight="1">
      <c r="A45" s="1349"/>
      <c r="B45" s="45" t="s">
        <v>37</v>
      </c>
      <c r="C45" s="16" t="s">
        <v>27</v>
      </c>
      <c r="D45" s="22">
        <v>680417</v>
      </c>
      <c r="E45" s="107" t="s">
        <v>161</v>
      </c>
      <c r="F45" s="28"/>
      <c r="G45" s="29"/>
      <c r="H45" s="29"/>
      <c r="I45" s="29"/>
      <c r="J45" s="29"/>
      <c r="K45" s="29"/>
      <c r="L45" s="30"/>
      <c r="M45" s="75"/>
      <c r="N45" s="29"/>
      <c r="O45" s="29"/>
      <c r="P45" s="29"/>
      <c r="Q45" s="208" t="s">
        <v>96</v>
      </c>
      <c r="R45" s="29"/>
      <c r="S45" s="65"/>
      <c r="T45" s="28"/>
      <c r="U45" s="29"/>
      <c r="V45" s="29"/>
      <c r="W45" s="29"/>
      <c r="X45" s="29"/>
      <c r="Y45" s="29"/>
      <c r="Z45" s="30"/>
      <c r="AA45" s="75"/>
      <c r="AB45" s="29"/>
      <c r="AC45" s="29"/>
      <c r="AD45" s="29"/>
      <c r="AE45" s="29"/>
      <c r="AF45" s="65"/>
      <c r="AG45" s="65"/>
      <c r="AH45" s="28"/>
      <c r="AI45" s="30"/>
      <c r="AJ45" s="89" cm="1">
        <f t="array" ref="AJ45">SUMPRODUCT(($E$40:$AI$40="HR")*(E45:AI45=""))+SUMPRODUCT((E45:AI45="HR")*1)</f>
        <v>7</v>
      </c>
      <c r="AK45" s="89" cm="1">
        <f t="array" ref="AK45">SUMPRODUCT(($E$40:$AI$40="N0")*(E45:AI45=""))+SUMPRODUCT((E45:AI45="N")*1)</f>
        <v>16</v>
      </c>
      <c r="AL45" s="88" cm="1">
        <f t="array" ref="AL45">SUMPRODUCT(($E$40:$AI$40="RD")*(E45:AI45=""))+SUMPRODUCT((E45:AI45="RD")*1)</f>
        <v>6</v>
      </c>
      <c r="AM45" s="89" cm="1">
        <f t="array" ref="AM45">SUMPRODUCT((F45:AI45="AL")*1)</f>
        <v>0</v>
      </c>
      <c r="AN45" s="89" cm="1">
        <f t="array" ref="AN45">SUMPRODUCT((F45:AI45="SH")*1)</f>
        <v>0</v>
      </c>
      <c r="AO45" s="89" cm="1">
        <f t="array" ref="AO45">SUMPRODUCT((E45:AI45="SL")*1)</f>
        <v>1</v>
      </c>
      <c r="AP45" s="140">
        <f t="shared" si="3"/>
        <v>1</v>
      </c>
    </row>
    <row r="46" spans="1:42" ht="18" customHeight="1">
      <c r="A46" s="1349"/>
      <c r="B46" s="120" t="s">
        <v>49</v>
      </c>
      <c r="C46" s="16" t="s">
        <v>27</v>
      </c>
      <c r="D46" s="22">
        <v>684119</v>
      </c>
      <c r="E46" s="107" t="s">
        <v>161</v>
      </c>
      <c r="F46" s="28"/>
      <c r="G46" s="29"/>
      <c r="H46" s="29"/>
      <c r="I46" s="29"/>
      <c r="J46" s="29"/>
      <c r="K46" s="29"/>
      <c r="L46" s="30"/>
      <c r="M46" s="75"/>
      <c r="N46" s="29"/>
      <c r="O46" s="29"/>
      <c r="P46" s="29"/>
      <c r="Q46" s="29"/>
      <c r="R46" s="29"/>
      <c r="S46" s="65"/>
      <c r="T46" s="28"/>
      <c r="U46" s="29"/>
      <c r="V46" s="29"/>
      <c r="W46" s="29"/>
      <c r="X46" s="29"/>
      <c r="Y46" s="29"/>
      <c r="Z46" s="30"/>
      <c r="AA46" s="75"/>
      <c r="AB46" s="29"/>
      <c r="AC46" s="29"/>
      <c r="AD46" s="29"/>
      <c r="AE46" s="29"/>
      <c r="AF46" s="65"/>
      <c r="AG46" s="65"/>
      <c r="AH46" s="28"/>
      <c r="AI46" s="30"/>
      <c r="AJ46" s="89" cm="1">
        <f t="array" ref="AJ46">SUMPRODUCT(($E$40:$AI$40="HR")*(E46:AI46=""))+SUMPRODUCT((E46:AI46="HR")*1)</f>
        <v>7</v>
      </c>
      <c r="AK46" s="89" cm="1">
        <f t="array" ref="AK46">SUMPRODUCT(($E$40:$AI$40="N0")*(E46:AI46=""))+SUMPRODUCT((E46:AI46="N")*1)</f>
        <v>17</v>
      </c>
      <c r="AL46" s="88" cm="1">
        <f t="array" ref="AL46">SUMPRODUCT(($E$40:$AI$40="RD")*(E46:AI46=""))+SUMPRODUCT((E46:AI46="RD")*1)</f>
        <v>6</v>
      </c>
      <c r="AM46" s="89" cm="1">
        <f t="array" ref="AM46">SUMPRODUCT((F46:AI46="AL")*1)</f>
        <v>0</v>
      </c>
      <c r="AN46" s="89" cm="1">
        <f t="array" ref="AN46">SUMPRODUCT((F46:AI46="SH")*1)</f>
        <v>0</v>
      </c>
      <c r="AO46" s="89" cm="1">
        <f t="array" ref="AO46">SUMPRODUCT((E46:AI46="SL")*1)</f>
        <v>0</v>
      </c>
      <c r="AP46" s="140">
        <f t="shared" si="3"/>
        <v>1</v>
      </c>
    </row>
    <row r="47" spans="1:42" ht="18" customHeight="1">
      <c r="A47" s="1360"/>
      <c r="B47" s="117" t="s">
        <v>57</v>
      </c>
      <c r="C47" s="104" t="s">
        <v>58</v>
      </c>
      <c r="D47" s="105">
        <v>676140</v>
      </c>
      <c r="E47" s="796"/>
      <c r="F47" s="243" t="s">
        <v>88</v>
      </c>
      <c r="G47" s="240"/>
      <c r="H47" s="240"/>
      <c r="I47" s="240"/>
      <c r="J47" s="240"/>
      <c r="K47" s="240"/>
      <c r="L47" s="238"/>
      <c r="M47" s="239"/>
      <c r="N47" s="240"/>
      <c r="O47" s="240"/>
      <c r="P47" s="240"/>
      <c r="Q47" s="240"/>
      <c r="R47" s="240"/>
      <c r="S47" s="242"/>
      <c r="T47" s="246"/>
      <c r="U47" s="240"/>
      <c r="V47" s="240"/>
      <c r="W47" s="240"/>
      <c r="X47" s="240"/>
      <c r="Y47" s="240"/>
      <c r="Z47" s="238"/>
      <c r="AA47" s="239"/>
      <c r="AB47" s="240"/>
      <c r="AC47" s="240"/>
      <c r="AD47" s="240"/>
      <c r="AE47" s="240"/>
      <c r="AF47" s="242"/>
      <c r="AG47" s="242"/>
      <c r="AH47" s="243" t="s">
        <v>88</v>
      </c>
      <c r="AI47" s="238"/>
      <c r="AJ47" s="89" cm="1">
        <f t="array" ref="AJ47">SUMPRODUCT(($E$40:$AI$40="HR")*(E47:AI47=""))+SUMPRODUCT((E47:AI47="HR")*1)</f>
        <v>5</v>
      </c>
      <c r="AK47" s="89" cm="1">
        <f t="array" ref="AK47">SUMPRODUCT(($E$40:$AI$40="N0")*(E47:AI47=""))+SUMPRODUCT((E47:AI47="N")*1)</f>
        <v>17</v>
      </c>
      <c r="AL47" s="88" cm="1">
        <f t="array" ref="AL47">SUMPRODUCT(($E$40:$AI$40="RD")*(E47:AI47=""))+SUMPRODUCT((E47:AI47="RD")*1)</f>
        <v>7</v>
      </c>
      <c r="AM47" s="89" cm="1">
        <f t="array" ref="AM47">SUMPRODUCT((F47:AI47="AL")*1)</f>
        <v>0</v>
      </c>
      <c r="AN47" s="89" cm="1">
        <f t="array" ref="AN47">SUMPRODUCT((F47:AI47="SH")*1)</f>
        <v>2</v>
      </c>
      <c r="AO47" s="89" cm="1">
        <f t="array" ref="AO47">SUMPRODUCT((E47:AI47="SL")*1)</f>
        <v>0</v>
      </c>
      <c r="AP47" s="140">
        <f t="shared" si="3"/>
        <v>0</v>
      </c>
    </row>
    <row r="48" spans="1:42" ht="18" customHeight="1">
      <c r="A48" s="1348" t="s">
        <v>125</v>
      </c>
      <c r="B48" s="1332" t="s">
        <v>93</v>
      </c>
      <c r="C48" s="1332"/>
      <c r="D48" s="1330"/>
      <c r="E48" s="985" t="s">
        <v>84</v>
      </c>
      <c r="F48" s="773" t="s">
        <v>87</v>
      </c>
      <c r="G48" s="772" t="s">
        <v>87</v>
      </c>
      <c r="H48" s="772" t="s">
        <v>87</v>
      </c>
      <c r="I48" s="772" t="s">
        <v>87</v>
      </c>
      <c r="J48" s="772" t="s">
        <v>87</v>
      </c>
      <c r="K48" s="770" t="s">
        <v>84</v>
      </c>
      <c r="L48" s="775" t="s">
        <v>84</v>
      </c>
      <c r="M48" s="997" t="s">
        <v>87</v>
      </c>
      <c r="N48" s="998" t="s">
        <v>87</v>
      </c>
      <c r="O48" s="998" t="s">
        <v>87</v>
      </c>
      <c r="P48" s="998" t="s">
        <v>87</v>
      </c>
      <c r="Q48" s="998" t="s">
        <v>87</v>
      </c>
      <c r="R48" s="999" t="s">
        <v>84</v>
      </c>
      <c r="S48" s="1000" t="s">
        <v>84</v>
      </c>
      <c r="T48" s="1003" t="s">
        <v>87</v>
      </c>
      <c r="U48" s="998" t="s">
        <v>87</v>
      </c>
      <c r="V48" s="998" t="s">
        <v>87</v>
      </c>
      <c r="W48" s="998" t="s">
        <v>87</v>
      </c>
      <c r="X48" s="998" t="s">
        <v>87</v>
      </c>
      <c r="Y48" s="999" t="s">
        <v>84</v>
      </c>
      <c r="Z48" s="1004" t="s">
        <v>84</v>
      </c>
      <c r="AA48" s="1009" t="s">
        <v>87</v>
      </c>
      <c r="AB48" s="935" t="s">
        <v>87</v>
      </c>
      <c r="AC48" s="935" t="s">
        <v>87</v>
      </c>
      <c r="AD48" s="935" t="s">
        <v>87</v>
      </c>
      <c r="AE48" s="935" t="s">
        <v>87</v>
      </c>
      <c r="AF48" s="1000" t="s">
        <v>84</v>
      </c>
      <c r="AG48" s="1000" t="s">
        <v>84</v>
      </c>
      <c r="AH48" s="773" t="s">
        <v>87</v>
      </c>
      <c r="AI48" s="771" t="s">
        <v>87</v>
      </c>
    </row>
    <row r="49" spans="1:35" ht="18" customHeight="1">
      <c r="A49" s="1349"/>
      <c r="B49" s="753" t="s">
        <v>43</v>
      </c>
      <c r="C49" s="754" t="s">
        <v>45</v>
      </c>
      <c r="D49" s="755">
        <v>555851</v>
      </c>
      <c r="E49" s="984"/>
      <c r="F49" s="648"/>
      <c r="G49" s="646"/>
      <c r="H49" s="646"/>
      <c r="I49" s="646"/>
      <c r="J49" s="646"/>
      <c r="K49" s="646"/>
      <c r="L49" s="927"/>
      <c r="M49" s="986"/>
      <c r="N49" s="987"/>
      <c r="O49" s="987"/>
      <c r="P49" s="987"/>
      <c r="Q49" s="987"/>
      <c r="R49" s="987"/>
      <c r="S49" s="1001"/>
      <c r="T49" s="986"/>
      <c r="U49" s="987"/>
      <c r="V49" s="987"/>
      <c r="W49" s="987"/>
      <c r="X49" s="987"/>
      <c r="Y49" s="987"/>
      <c r="Z49" s="1001"/>
      <c r="AA49" s="1005" t="s">
        <v>96</v>
      </c>
      <c r="AB49" s="987"/>
      <c r="AC49" s="987"/>
      <c r="AD49" s="987"/>
      <c r="AE49" s="987" t="s">
        <v>181</v>
      </c>
      <c r="AF49" s="1006"/>
      <c r="AG49" s="988"/>
      <c r="AH49" s="1002" t="s">
        <v>81</v>
      </c>
      <c r="AI49" s="928" t="s">
        <v>81</v>
      </c>
    </row>
    <row r="50" spans="1:35" ht="18" customHeight="1">
      <c r="A50" s="1350" t="s">
        <v>165</v>
      </c>
      <c r="B50" s="896" t="s">
        <v>182</v>
      </c>
      <c r="C50" s="723" t="s">
        <v>183</v>
      </c>
      <c r="D50" s="15">
        <v>685446</v>
      </c>
      <c r="E50" s="923"/>
      <c r="F50" s="924" t="s">
        <v>87</v>
      </c>
      <c r="G50" s="902" t="s">
        <v>94</v>
      </c>
      <c r="H50" s="902" t="s">
        <v>94</v>
      </c>
      <c r="I50" s="902" t="s">
        <v>94</v>
      </c>
      <c r="J50" s="902" t="s">
        <v>94</v>
      </c>
      <c r="K50" s="904" t="s">
        <v>84</v>
      </c>
      <c r="L50" s="995" t="s">
        <v>94</v>
      </c>
      <c r="M50" s="989" t="s">
        <v>94</v>
      </c>
      <c r="N50" s="902" t="s">
        <v>94</v>
      </c>
      <c r="O50" s="902" t="s">
        <v>94</v>
      </c>
      <c r="P50" s="902" t="s">
        <v>94</v>
      </c>
      <c r="Q50" s="902" t="s">
        <v>94</v>
      </c>
      <c r="R50" s="970" t="s">
        <v>84</v>
      </c>
      <c r="S50" s="904" t="s">
        <v>84</v>
      </c>
      <c r="T50" s="989" t="s">
        <v>87</v>
      </c>
      <c r="U50" s="902" t="s">
        <v>87</v>
      </c>
      <c r="V50" s="902" t="s">
        <v>87</v>
      </c>
      <c r="W50" s="902" t="s">
        <v>87</v>
      </c>
      <c r="X50" s="902" t="s">
        <v>87</v>
      </c>
      <c r="Y50" s="970" t="s">
        <v>84</v>
      </c>
      <c r="Z50" s="904" t="s">
        <v>84</v>
      </c>
      <c r="AA50" s="971"/>
      <c r="AB50" s="972"/>
      <c r="AC50" s="972"/>
      <c r="AD50" s="972"/>
      <c r="AE50" s="972"/>
      <c r="AF50" s="973"/>
      <c r="AG50" s="974"/>
      <c r="AH50" s="949"/>
      <c r="AI50" s="974"/>
    </row>
    <row r="51" spans="1:35" ht="18" customHeight="1">
      <c r="A51" s="1349"/>
      <c r="B51" s="946" t="s">
        <v>168</v>
      </c>
      <c r="C51" s="900" t="s">
        <v>169</v>
      </c>
      <c r="D51" s="900">
        <v>685464</v>
      </c>
      <c r="E51" s="925" t="s">
        <v>84</v>
      </c>
      <c r="F51" s="922"/>
      <c r="G51" s="898"/>
      <c r="H51" s="898"/>
      <c r="I51" s="898"/>
      <c r="J51" s="898"/>
      <c r="K51" s="905"/>
      <c r="L51" s="905"/>
      <c r="M51" s="916"/>
      <c r="N51" s="898"/>
      <c r="O51" s="898"/>
      <c r="P51" s="898"/>
      <c r="Q51" s="898"/>
      <c r="R51" s="898"/>
      <c r="S51" s="905"/>
      <c r="T51" s="916"/>
      <c r="U51" s="898"/>
      <c r="V51" s="898"/>
      <c r="W51" s="898"/>
      <c r="X51" s="898"/>
      <c r="Y51" s="898"/>
      <c r="Z51" s="905"/>
      <c r="AA51" s="916"/>
      <c r="AB51" s="898"/>
      <c r="AC51" s="898"/>
      <c r="AD51" s="898"/>
      <c r="AE51" s="898"/>
      <c r="AF51" s="907"/>
      <c r="AG51" s="920"/>
      <c r="AH51" s="922"/>
      <c r="AI51" s="898"/>
    </row>
    <row r="52" spans="1:35">
      <c r="A52" s="1349"/>
      <c r="B52" s="947" t="s">
        <v>184</v>
      </c>
      <c r="C52" s="895" t="s">
        <v>130</v>
      </c>
      <c r="D52" s="969">
        <v>682127</v>
      </c>
      <c r="E52" s="975"/>
      <c r="F52" s="976"/>
      <c r="G52" s="964"/>
      <c r="H52" s="964"/>
      <c r="I52" s="964"/>
      <c r="J52" s="964"/>
      <c r="K52" s="965"/>
      <c r="L52" s="965"/>
      <c r="M52" s="990" t="s">
        <v>87</v>
      </c>
      <c r="N52" s="963" t="s">
        <v>87</v>
      </c>
      <c r="O52" s="963" t="s">
        <v>87</v>
      </c>
      <c r="P52" s="963" t="s">
        <v>87</v>
      </c>
      <c r="Q52" s="977" t="s">
        <v>185</v>
      </c>
      <c r="R52" s="978" t="s">
        <v>84</v>
      </c>
      <c r="S52" s="969" t="s">
        <v>94</v>
      </c>
      <c r="T52" s="990" t="s">
        <v>94</v>
      </c>
      <c r="U52" s="978" t="s">
        <v>84</v>
      </c>
      <c r="V52" s="979" t="s">
        <v>87</v>
      </c>
      <c r="W52" s="979" t="s">
        <v>87</v>
      </c>
      <c r="X52" s="977" t="s">
        <v>185</v>
      </c>
      <c r="Y52" s="963" t="s">
        <v>87</v>
      </c>
      <c r="Z52" s="980" t="s">
        <v>84</v>
      </c>
      <c r="AA52" s="929"/>
      <c r="AB52" s="930"/>
      <c r="AC52" s="930"/>
      <c r="AD52" s="930"/>
      <c r="AE52" s="930"/>
      <c r="AF52" s="931"/>
      <c r="AG52" s="932"/>
      <c r="AH52" s="976"/>
      <c r="AI52" s="932"/>
    </row>
    <row r="53" spans="1:35">
      <c r="A53" s="1349"/>
      <c r="B53" s="947" t="s">
        <v>186</v>
      </c>
      <c r="C53" s="895" t="s">
        <v>187</v>
      </c>
      <c r="D53" s="901">
        <v>685490</v>
      </c>
      <c r="E53" s="926"/>
      <c r="F53" s="922"/>
      <c r="G53" s="899"/>
      <c r="H53" s="899"/>
      <c r="I53" s="899"/>
      <c r="J53" s="899"/>
      <c r="K53" s="906"/>
      <c r="L53" s="906"/>
      <c r="M53" s="991" t="s">
        <v>87</v>
      </c>
      <c r="N53" s="895" t="s">
        <v>87</v>
      </c>
      <c r="O53" s="908" t="s">
        <v>185</v>
      </c>
      <c r="P53" s="895" t="s">
        <v>87</v>
      </c>
      <c r="Q53" s="895" t="s">
        <v>87</v>
      </c>
      <c r="R53" s="895" t="s">
        <v>87</v>
      </c>
      <c r="S53" s="918" t="s">
        <v>84</v>
      </c>
      <c r="T53" s="991" t="s">
        <v>87</v>
      </c>
      <c r="U53" s="895" t="s">
        <v>87</v>
      </c>
      <c r="V53" s="908" t="s">
        <v>185</v>
      </c>
      <c r="W53" s="910" t="s">
        <v>94</v>
      </c>
      <c r="X53" s="910" t="s">
        <v>94</v>
      </c>
      <c r="Y53" s="909" t="s">
        <v>84</v>
      </c>
      <c r="Z53" s="918" t="s">
        <v>84</v>
      </c>
      <c r="AA53" s="916"/>
      <c r="AB53" s="898"/>
      <c r="AC53" s="898"/>
      <c r="AD53" s="898"/>
      <c r="AE53" s="898"/>
      <c r="AF53" s="907"/>
      <c r="AG53" s="920"/>
      <c r="AH53" s="922"/>
      <c r="AI53" s="920"/>
    </row>
    <row r="54" spans="1:35">
      <c r="A54" s="1349"/>
      <c r="B54" s="947" t="s">
        <v>188</v>
      </c>
      <c r="C54" s="895" t="s">
        <v>189</v>
      </c>
      <c r="D54" s="901">
        <v>685472</v>
      </c>
      <c r="E54" s="926"/>
      <c r="F54" s="922"/>
      <c r="G54" s="899"/>
      <c r="H54" s="899"/>
      <c r="I54" s="899"/>
      <c r="J54" s="899"/>
      <c r="K54" s="906"/>
      <c r="L54" s="906"/>
      <c r="M54" s="992"/>
      <c r="N54" s="911"/>
      <c r="O54" s="912"/>
      <c r="P54" s="911"/>
      <c r="Q54" s="911"/>
      <c r="R54" s="911"/>
      <c r="S54" s="919"/>
      <c r="T54" s="992"/>
      <c r="U54" s="911"/>
      <c r="V54" s="912"/>
      <c r="W54" s="914"/>
      <c r="X54" s="914"/>
      <c r="Y54" s="913"/>
      <c r="Z54" s="919"/>
      <c r="AA54" s="917" t="s">
        <v>87</v>
      </c>
      <c r="AB54" s="810" t="s">
        <v>87</v>
      </c>
      <c r="AC54" s="908" t="s">
        <v>185</v>
      </c>
      <c r="AD54" s="810" t="s">
        <v>94</v>
      </c>
      <c r="AE54" s="810" t="s">
        <v>94</v>
      </c>
      <c r="AF54" s="915" t="s">
        <v>84</v>
      </c>
      <c r="AG54" s="1007" t="s">
        <v>84</v>
      </c>
      <c r="AH54" s="922"/>
      <c r="AI54" s="920"/>
    </row>
    <row r="55" spans="1:35">
      <c r="A55" s="1349"/>
      <c r="B55" s="896" t="s">
        <v>190</v>
      </c>
      <c r="C55" s="945" t="s">
        <v>191</v>
      </c>
      <c r="D55" s="945">
        <v>682113</v>
      </c>
      <c r="E55" s="948"/>
      <c r="F55" s="949"/>
      <c r="G55" s="950"/>
      <c r="H55" s="950"/>
      <c r="I55" s="950"/>
      <c r="J55" s="950"/>
      <c r="K55" s="950"/>
      <c r="L55" s="996"/>
      <c r="M55" s="993"/>
      <c r="N55" s="951"/>
      <c r="O55" s="952"/>
      <c r="P55" s="951"/>
      <c r="Q55" s="951"/>
      <c r="R55" s="951"/>
      <c r="S55" s="953"/>
      <c r="T55" s="954"/>
      <c r="U55" s="951"/>
      <c r="V55" s="952"/>
      <c r="W55" s="955"/>
      <c r="X55" s="955"/>
      <c r="Y55" s="956"/>
      <c r="Z55" s="957"/>
      <c r="AA55" s="958" t="s">
        <v>185</v>
      </c>
      <c r="AB55" s="959" t="s">
        <v>87</v>
      </c>
      <c r="AC55" s="959" t="s">
        <v>87</v>
      </c>
      <c r="AD55" s="959" t="s">
        <v>87</v>
      </c>
      <c r="AE55" s="959" t="s">
        <v>87</v>
      </c>
      <c r="AF55" s="960" t="s">
        <v>88</v>
      </c>
      <c r="AG55" s="1008" t="s">
        <v>84</v>
      </c>
      <c r="AH55" s="1024" t="s">
        <v>185</v>
      </c>
      <c r="AI55" s="961" t="s">
        <v>94</v>
      </c>
    </row>
    <row r="56" spans="1:35">
      <c r="A56" s="1351"/>
      <c r="B56" s="897" t="s">
        <v>192</v>
      </c>
      <c r="C56" s="895" t="s">
        <v>183</v>
      </c>
      <c r="D56" s="901">
        <v>685476</v>
      </c>
      <c r="E56" s="926"/>
      <c r="F56" s="981"/>
      <c r="G56" s="899"/>
      <c r="H56" s="899"/>
      <c r="I56" s="899"/>
      <c r="J56" s="899"/>
      <c r="K56" s="899"/>
      <c r="L56" s="906"/>
      <c r="M56" s="966"/>
      <c r="N56" s="899"/>
      <c r="O56" s="899"/>
      <c r="P56" s="899"/>
      <c r="Q56" s="899"/>
      <c r="R56" s="899"/>
      <c r="S56" s="906"/>
      <c r="T56" s="966"/>
      <c r="U56" s="899"/>
      <c r="V56" s="899"/>
      <c r="W56" s="899"/>
      <c r="X56" s="899"/>
      <c r="Y56" s="899"/>
      <c r="Z56" s="906"/>
      <c r="AA56" s="966"/>
      <c r="AB56" s="899"/>
      <c r="AC56" s="899"/>
      <c r="AD56" s="899"/>
      <c r="AE56" s="899"/>
      <c r="AF56" s="899"/>
      <c r="AG56" s="921"/>
      <c r="AH56" s="1010" t="s">
        <v>87</v>
      </c>
      <c r="AI56" s="1011" t="s">
        <v>87</v>
      </c>
    </row>
    <row r="57" spans="1:35">
      <c r="A57" s="1352"/>
      <c r="B57" s="962" t="s">
        <v>193</v>
      </c>
      <c r="C57" s="963" t="s">
        <v>194</v>
      </c>
      <c r="D57" s="969">
        <v>685553</v>
      </c>
      <c r="E57" s="982"/>
      <c r="F57" s="983"/>
      <c r="G57" s="903"/>
      <c r="H57" s="903"/>
      <c r="I57" s="903"/>
      <c r="J57" s="903"/>
      <c r="K57" s="903"/>
      <c r="L57" s="968"/>
      <c r="M57" s="967"/>
      <c r="N57" s="903"/>
      <c r="O57" s="903"/>
      <c r="P57" s="903"/>
      <c r="Q57" s="903"/>
      <c r="R57" s="903"/>
      <c r="S57" s="968"/>
      <c r="T57" s="967"/>
      <c r="U57" s="903"/>
      <c r="V57" s="903"/>
      <c r="W57" s="903"/>
      <c r="X57" s="903"/>
      <c r="Y57" s="903"/>
      <c r="Z57" s="968"/>
      <c r="AA57" s="967"/>
      <c r="AB57" s="903"/>
      <c r="AC57" s="903"/>
      <c r="AD57" s="903"/>
      <c r="AE57" s="903"/>
      <c r="AF57" s="903"/>
      <c r="AG57" s="994"/>
      <c r="AH57" s="1012" t="s">
        <v>87</v>
      </c>
      <c r="AI57" s="1013" t="s">
        <v>94</v>
      </c>
    </row>
    <row r="58" spans="1:35" ht="15.75" customHeight="1"/>
    <row r="59" spans="1:35" ht="18" customHeight="1">
      <c r="D59" s="124" t="s">
        <v>123</v>
      </c>
      <c r="E59" s="123"/>
      <c r="F59" s="123" t="s">
        <v>195</v>
      </c>
      <c r="G59" s="123"/>
      <c r="H59" s="123"/>
      <c r="I59" s="123"/>
      <c r="J59" s="123"/>
      <c r="K59" s="123"/>
      <c r="L59" s="123"/>
      <c r="M59" s="123"/>
      <c r="N59" s="145"/>
      <c r="O59" s="145"/>
      <c r="U59" s="124" t="s">
        <v>135</v>
      </c>
      <c r="V59" s="123"/>
      <c r="W59" s="123" t="s">
        <v>138</v>
      </c>
      <c r="X59" s="123"/>
      <c r="Y59" s="123"/>
      <c r="Z59" s="123"/>
      <c r="AA59" s="123"/>
      <c r="AB59" s="123"/>
      <c r="AC59" s="123"/>
      <c r="AD59" s="123"/>
      <c r="AE59" s="135"/>
      <c r="AF59" s="135"/>
      <c r="AG59" s="135"/>
      <c r="AH59" s="135"/>
    </row>
    <row r="60" spans="1:35" ht="18" customHeight="1"/>
    <row r="61" spans="1:35" ht="18" customHeight="1">
      <c r="D61" s="124" t="s">
        <v>137</v>
      </c>
      <c r="E61" s="123"/>
      <c r="F61" s="123" t="s">
        <v>196</v>
      </c>
      <c r="G61" s="123"/>
      <c r="H61" s="123"/>
      <c r="I61" s="123"/>
      <c r="J61" s="123"/>
      <c r="K61" s="123"/>
      <c r="L61" s="123"/>
      <c r="M61" s="123"/>
      <c r="U61" s="124" t="s">
        <v>124</v>
      </c>
      <c r="V61" s="123"/>
      <c r="W61" s="1315" t="s">
        <v>197</v>
      </c>
      <c r="X61" s="1315"/>
      <c r="Y61" s="1315"/>
      <c r="Z61" s="1315"/>
      <c r="AA61" s="1315"/>
      <c r="AB61" s="1315"/>
      <c r="AC61" s="1315"/>
      <c r="AD61" s="1315"/>
      <c r="AE61" s="1315"/>
      <c r="AF61" s="1315"/>
    </row>
    <row r="62" spans="1:35" ht="18" customHeight="1"/>
    <row r="63" spans="1:35" ht="18" customHeight="1">
      <c r="D63" s="124" t="s">
        <v>107</v>
      </c>
      <c r="F63" s="123" t="s">
        <v>198</v>
      </c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U63" s="124" t="s">
        <v>140</v>
      </c>
      <c r="W63" s="123" t="s">
        <v>199</v>
      </c>
      <c r="X63" s="123"/>
      <c r="Y63" s="123"/>
      <c r="Z63" s="123"/>
      <c r="AA63" s="123"/>
      <c r="AB63" s="123"/>
      <c r="AC63" s="123"/>
    </row>
    <row r="64" spans="1:35" ht="18" customHeight="1"/>
    <row r="65" spans="1:41" ht="18" customHeight="1">
      <c r="D65" s="124" t="s">
        <v>108</v>
      </c>
      <c r="F65" s="123" t="s">
        <v>200</v>
      </c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U65" s="124" t="s">
        <v>103</v>
      </c>
      <c r="W65" s="1319" t="s">
        <v>201</v>
      </c>
      <c r="X65" s="1319"/>
      <c r="Y65" s="1319"/>
      <c r="Z65" s="1319"/>
      <c r="AA65" s="1319"/>
      <c r="AB65" s="1319"/>
      <c r="AC65" s="1319"/>
      <c r="AD65" s="1319"/>
      <c r="AE65" s="1319"/>
      <c r="AF65" s="1319"/>
      <c r="AG65" s="1319"/>
      <c r="AH65" s="1319"/>
      <c r="AI65" s="209"/>
    </row>
    <row r="66" spans="1:41" ht="18" customHeight="1"/>
    <row r="67" spans="1:41" ht="18" customHeight="1" thickBot="1">
      <c r="D67" s="124" t="s">
        <v>105</v>
      </c>
      <c r="F67" s="123"/>
      <c r="U67" s="124" t="s">
        <v>145</v>
      </c>
      <c r="W67" s="123"/>
    </row>
    <row r="68" spans="1:41" ht="18" customHeight="1" thickBot="1"/>
    <row r="69" spans="1:41" ht="18" customHeight="1" thickBot="1">
      <c r="A69" s="123"/>
      <c r="B69" s="123"/>
      <c r="C69" s="123"/>
      <c r="D69" s="124" t="s">
        <v>122</v>
      </c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4" t="s">
        <v>115</v>
      </c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3"/>
      <c r="AO69" s="123"/>
    </row>
    <row r="70" spans="1:41" ht="18" customHeight="1" thickBot="1"/>
    <row r="71" spans="1:41" ht="18" customHeight="1" thickBot="1">
      <c r="D71" s="124" t="s">
        <v>149</v>
      </c>
      <c r="F71" s="123"/>
    </row>
    <row r="74" spans="1:41">
      <c r="D74" s="141" t="s">
        <v>150</v>
      </c>
      <c r="E74" s="174" t="s">
        <v>94</v>
      </c>
      <c r="F74" s="95" t="s">
        <v>94</v>
      </c>
      <c r="G74" s="94" t="s">
        <v>94</v>
      </c>
      <c r="H74" s="94" t="s">
        <v>94</v>
      </c>
      <c r="I74" s="94" t="s">
        <v>94</v>
      </c>
      <c r="J74" s="94" t="s">
        <v>94</v>
      </c>
      <c r="K74" s="134" t="s">
        <v>84</v>
      </c>
      <c r="L74" s="136" t="s">
        <v>84</v>
      </c>
      <c r="M74" s="204" t="s">
        <v>95</v>
      </c>
      <c r="N74" s="195" t="s">
        <v>95</v>
      </c>
      <c r="O74" s="195" t="s">
        <v>95</v>
      </c>
      <c r="P74" s="195" t="s">
        <v>95</v>
      </c>
      <c r="Q74" s="195" t="s">
        <v>95</v>
      </c>
      <c r="R74" s="196" t="s">
        <v>84</v>
      </c>
      <c r="S74" s="205" t="s">
        <v>84</v>
      </c>
      <c r="T74" s="189" t="s">
        <v>94</v>
      </c>
      <c r="U74" s="190" t="s">
        <v>94</v>
      </c>
      <c r="V74" s="190" t="s">
        <v>94</v>
      </c>
      <c r="W74" s="190" t="s">
        <v>94</v>
      </c>
      <c r="X74" s="190" t="s">
        <v>94</v>
      </c>
      <c r="Y74" s="191" t="s">
        <v>84</v>
      </c>
      <c r="Z74" s="202" t="s">
        <v>94</v>
      </c>
      <c r="AA74" s="203" t="s">
        <v>94</v>
      </c>
      <c r="AB74" s="200" t="s">
        <v>94</v>
      </c>
      <c r="AC74" s="200" t="s">
        <v>94</v>
      </c>
      <c r="AD74" s="200" t="s">
        <v>94</v>
      </c>
      <c r="AE74" s="200" t="s">
        <v>94</v>
      </c>
      <c r="AF74" s="188" t="s">
        <v>84</v>
      </c>
      <c r="AG74" s="658" t="s">
        <v>94</v>
      </c>
      <c r="AH74" s="189" t="s">
        <v>94</v>
      </c>
      <c r="AI74" s="192" t="s">
        <v>94</v>
      </c>
    </row>
    <row r="75" spans="1:41">
      <c r="D75" s="142" t="s">
        <v>151</v>
      </c>
      <c r="E75" s="311">
        <f>COUNTBLANK(E19:E24)</f>
        <v>4</v>
      </c>
      <c r="F75" s="311">
        <f t="shared" ref="F75:AI75" si="4">COUNTBLANK(F19:F24)</f>
        <v>4</v>
      </c>
      <c r="G75" s="311">
        <f t="shared" si="4"/>
        <v>5</v>
      </c>
      <c r="H75" s="311">
        <f t="shared" si="4"/>
        <v>5</v>
      </c>
      <c r="I75" s="311">
        <f t="shared" si="4"/>
        <v>5</v>
      </c>
      <c r="J75" s="311">
        <f t="shared" si="4"/>
        <v>5</v>
      </c>
      <c r="K75" s="311">
        <f t="shared" si="4"/>
        <v>6</v>
      </c>
      <c r="L75" s="311">
        <f t="shared" si="4"/>
        <v>6</v>
      </c>
      <c r="M75" s="311">
        <f t="shared" si="4"/>
        <v>5</v>
      </c>
      <c r="N75" s="311">
        <f t="shared" si="4"/>
        <v>5</v>
      </c>
      <c r="O75" s="311">
        <f t="shared" si="4"/>
        <v>6</v>
      </c>
      <c r="P75" s="311">
        <f t="shared" si="4"/>
        <v>6</v>
      </c>
      <c r="Q75" s="311">
        <f t="shared" si="4"/>
        <v>6</v>
      </c>
      <c r="R75" s="311">
        <f t="shared" si="4"/>
        <v>6</v>
      </c>
      <c r="S75" s="311">
        <f t="shared" si="4"/>
        <v>6</v>
      </c>
      <c r="T75" s="311">
        <f t="shared" si="4"/>
        <v>6</v>
      </c>
      <c r="U75" s="311">
        <f t="shared" si="4"/>
        <v>6</v>
      </c>
      <c r="V75" s="311">
        <f t="shared" si="4"/>
        <v>6</v>
      </c>
      <c r="W75" s="311">
        <f t="shared" si="4"/>
        <v>6</v>
      </c>
      <c r="X75" s="311">
        <f t="shared" si="4"/>
        <v>6</v>
      </c>
      <c r="Y75" s="311">
        <f t="shared" si="4"/>
        <v>6</v>
      </c>
      <c r="Z75" s="311">
        <f t="shared" si="4"/>
        <v>6</v>
      </c>
      <c r="AA75" s="311">
        <f t="shared" si="4"/>
        <v>6</v>
      </c>
      <c r="AB75" s="311">
        <f t="shared" si="4"/>
        <v>6</v>
      </c>
      <c r="AC75" s="311">
        <f t="shared" si="4"/>
        <v>5</v>
      </c>
      <c r="AD75" s="311">
        <f t="shared" si="4"/>
        <v>6</v>
      </c>
      <c r="AE75" s="311">
        <f t="shared" si="4"/>
        <v>5</v>
      </c>
      <c r="AF75" s="311">
        <f t="shared" si="4"/>
        <v>6</v>
      </c>
      <c r="AG75" s="311">
        <f t="shared" si="4"/>
        <v>6</v>
      </c>
      <c r="AH75" s="311">
        <f t="shared" si="4"/>
        <v>6</v>
      </c>
      <c r="AI75" s="311">
        <f t="shared" si="4"/>
        <v>6</v>
      </c>
    </row>
    <row r="76" spans="1:41">
      <c r="D76" s="143" t="s">
        <v>150</v>
      </c>
      <c r="E76" s="176" t="s">
        <v>94</v>
      </c>
      <c r="F76" s="163" t="s">
        <v>94</v>
      </c>
      <c r="G76" s="80" t="s">
        <v>94</v>
      </c>
      <c r="H76" s="80" t="s">
        <v>94</v>
      </c>
      <c r="I76" s="80" t="s">
        <v>94</v>
      </c>
      <c r="J76" s="80" t="s">
        <v>94</v>
      </c>
      <c r="K76" s="159" t="s">
        <v>84</v>
      </c>
      <c r="L76" s="92" t="s">
        <v>94</v>
      </c>
      <c r="M76" s="203" t="s">
        <v>94</v>
      </c>
      <c r="N76" s="200" t="s">
        <v>94</v>
      </c>
      <c r="O76" s="200" t="s">
        <v>94</v>
      </c>
      <c r="P76" s="200" t="s">
        <v>94</v>
      </c>
      <c r="Q76" s="200" t="s">
        <v>94</v>
      </c>
      <c r="R76" s="196" t="s">
        <v>84</v>
      </c>
      <c r="S76" s="205" t="s">
        <v>84</v>
      </c>
      <c r="T76" s="194" t="s">
        <v>95</v>
      </c>
      <c r="U76" s="195" t="s">
        <v>95</v>
      </c>
      <c r="V76" s="195" t="s">
        <v>95</v>
      </c>
      <c r="W76" s="195" t="s">
        <v>95</v>
      </c>
      <c r="X76" s="195" t="s">
        <v>95</v>
      </c>
      <c r="Y76" s="196" t="s">
        <v>84</v>
      </c>
      <c r="Z76" s="197" t="s">
        <v>84</v>
      </c>
      <c r="AA76" s="203" t="s">
        <v>94</v>
      </c>
      <c r="AB76" s="200" t="s">
        <v>94</v>
      </c>
      <c r="AC76" s="200" t="s">
        <v>94</v>
      </c>
      <c r="AD76" s="200" t="s">
        <v>94</v>
      </c>
      <c r="AE76" s="200" t="s">
        <v>94</v>
      </c>
      <c r="AF76" s="205" t="s">
        <v>84</v>
      </c>
      <c r="AG76" s="198" t="s">
        <v>94</v>
      </c>
      <c r="AH76" s="199" t="s">
        <v>94</v>
      </c>
      <c r="AI76" s="202" t="s">
        <v>94</v>
      </c>
    </row>
    <row r="77" spans="1:41">
      <c r="D77" s="142" t="s">
        <v>152</v>
      </c>
      <c r="E77" s="311">
        <f>COUNTBLANK(E26:E31)</f>
        <v>6</v>
      </c>
      <c r="F77" s="311">
        <f t="shared" ref="F77:AI77" si="5">COUNTBLANK(F26:F31)</f>
        <v>6</v>
      </c>
      <c r="G77" s="311">
        <f t="shared" si="5"/>
        <v>6</v>
      </c>
      <c r="H77" s="311">
        <f t="shared" si="5"/>
        <v>6</v>
      </c>
      <c r="I77" s="311">
        <f t="shared" si="5"/>
        <v>6</v>
      </c>
      <c r="J77" s="311">
        <f t="shared" si="5"/>
        <v>5</v>
      </c>
      <c r="K77" s="311">
        <f t="shared" si="5"/>
        <v>6</v>
      </c>
      <c r="L77" s="311">
        <f t="shared" si="5"/>
        <v>6</v>
      </c>
      <c r="M77" s="311">
        <f t="shared" si="5"/>
        <v>5</v>
      </c>
      <c r="N77" s="311">
        <f t="shared" si="5"/>
        <v>6</v>
      </c>
      <c r="O77" s="311">
        <f t="shared" si="5"/>
        <v>6</v>
      </c>
      <c r="P77" s="311">
        <f t="shared" si="5"/>
        <v>6</v>
      </c>
      <c r="Q77" s="311">
        <f t="shared" si="5"/>
        <v>6</v>
      </c>
      <c r="R77" s="311">
        <f t="shared" si="5"/>
        <v>6</v>
      </c>
      <c r="S77" s="311">
        <f t="shared" si="5"/>
        <v>6</v>
      </c>
      <c r="T77" s="311">
        <f t="shared" si="5"/>
        <v>5</v>
      </c>
      <c r="U77" s="311">
        <f t="shared" si="5"/>
        <v>3</v>
      </c>
      <c r="V77" s="311">
        <f t="shared" si="5"/>
        <v>3</v>
      </c>
      <c r="W77" s="311">
        <f t="shared" si="5"/>
        <v>5</v>
      </c>
      <c r="X77" s="311">
        <f t="shared" si="5"/>
        <v>4</v>
      </c>
      <c r="Y77" s="311">
        <f t="shared" si="5"/>
        <v>6</v>
      </c>
      <c r="Z77" s="311">
        <f t="shared" si="5"/>
        <v>6</v>
      </c>
      <c r="AA77" s="311">
        <f t="shared" si="5"/>
        <v>5</v>
      </c>
      <c r="AB77" s="311">
        <f t="shared" si="5"/>
        <v>5</v>
      </c>
      <c r="AC77" s="311">
        <f t="shared" si="5"/>
        <v>5</v>
      </c>
      <c r="AD77" s="311">
        <f t="shared" si="5"/>
        <v>5</v>
      </c>
      <c r="AE77" s="311">
        <f t="shared" si="5"/>
        <v>5</v>
      </c>
      <c r="AF77" s="311">
        <f t="shared" si="5"/>
        <v>6</v>
      </c>
      <c r="AG77" s="311">
        <f t="shared" si="5"/>
        <v>5</v>
      </c>
      <c r="AH77" s="311">
        <f>COUNTBLANK(AH26:AH31)</f>
        <v>5</v>
      </c>
      <c r="AI77" s="311">
        <f t="shared" si="5"/>
        <v>5</v>
      </c>
    </row>
    <row r="78" spans="1:41">
      <c r="D78" s="143" t="s">
        <v>150</v>
      </c>
      <c r="E78" s="175" t="s">
        <v>84</v>
      </c>
      <c r="F78" s="163" t="s">
        <v>94</v>
      </c>
      <c r="G78" s="80" t="s">
        <v>94</v>
      </c>
      <c r="H78" s="80" t="s">
        <v>94</v>
      </c>
      <c r="I78" s="80" t="s">
        <v>94</v>
      </c>
      <c r="J78" s="80" t="s">
        <v>94</v>
      </c>
      <c r="K78" s="159" t="s">
        <v>84</v>
      </c>
      <c r="L78" s="92" t="s">
        <v>94</v>
      </c>
      <c r="M78" s="87" t="s">
        <v>94</v>
      </c>
      <c r="N78" s="80" t="s">
        <v>94</v>
      </c>
      <c r="O78" s="80" t="s">
        <v>94</v>
      </c>
      <c r="P78" s="80" t="s">
        <v>94</v>
      </c>
      <c r="Q78" s="80" t="s">
        <v>94</v>
      </c>
      <c r="R78" s="159" t="s">
        <v>84</v>
      </c>
      <c r="S78" s="96" t="s">
        <v>94</v>
      </c>
      <c r="T78" s="163" t="s">
        <v>94</v>
      </c>
      <c r="U78" s="80" t="s">
        <v>94</v>
      </c>
      <c r="V78" s="80" t="s">
        <v>94</v>
      </c>
      <c r="W78" s="80" t="s">
        <v>94</v>
      </c>
      <c r="X78" s="80" t="s">
        <v>94</v>
      </c>
      <c r="Y78" s="159" t="s">
        <v>84</v>
      </c>
      <c r="Z78" s="91" t="s">
        <v>84</v>
      </c>
      <c r="AA78" s="162" t="s">
        <v>95</v>
      </c>
      <c r="AB78" s="160" t="s">
        <v>95</v>
      </c>
      <c r="AC78" s="160" t="s">
        <v>95</v>
      </c>
      <c r="AD78" s="160" t="s">
        <v>95</v>
      </c>
      <c r="AE78" s="160" t="s">
        <v>95</v>
      </c>
      <c r="AF78" s="161" t="s">
        <v>84</v>
      </c>
      <c r="AG78" s="161" t="s">
        <v>84</v>
      </c>
      <c r="AH78" s="163" t="s">
        <v>94</v>
      </c>
      <c r="AI78" s="92" t="s">
        <v>94</v>
      </c>
    </row>
    <row r="79" spans="1:41">
      <c r="D79" s="142" t="s">
        <v>117</v>
      </c>
      <c r="E79" s="311">
        <f>COUNTBLANK(E34:E39)</f>
        <v>5</v>
      </c>
      <c r="F79" s="311">
        <f t="shared" ref="F79:AI79" si="6">COUNTBLANK(F34:F39)</f>
        <v>6</v>
      </c>
      <c r="G79" s="311">
        <f t="shared" si="6"/>
        <v>6</v>
      </c>
      <c r="H79" s="311">
        <f t="shared" si="6"/>
        <v>6</v>
      </c>
      <c r="I79" s="311">
        <f t="shared" si="6"/>
        <v>6</v>
      </c>
      <c r="J79" s="311">
        <f t="shared" si="6"/>
        <v>6</v>
      </c>
      <c r="K79" s="311">
        <f t="shared" si="6"/>
        <v>5</v>
      </c>
      <c r="L79" s="311">
        <f t="shared" si="6"/>
        <v>5</v>
      </c>
      <c r="M79" s="311">
        <f t="shared" si="6"/>
        <v>6</v>
      </c>
      <c r="N79" s="311">
        <f t="shared" si="6"/>
        <v>6</v>
      </c>
      <c r="O79" s="311">
        <f t="shared" si="6"/>
        <v>6</v>
      </c>
      <c r="P79" s="311">
        <f t="shared" si="6"/>
        <v>6</v>
      </c>
      <c r="Q79" s="311">
        <f t="shared" si="6"/>
        <v>5</v>
      </c>
      <c r="R79" s="311">
        <f t="shared" si="6"/>
        <v>6</v>
      </c>
      <c r="S79" s="311">
        <f t="shared" si="6"/>
        <v>5</v>
      </c>
      <c r="T79" s="311">
        <f t="shared" si="6"/>
        <v>5</v>
      </c>
      <c r="U79" s="311">
        <f t="shared" si="6"/>
        <v>5</v>
      </c>
      <c r="V79" s="311">
        <f t="shared" si="6"/>
        <v>6</v>
      </c>
      <c r="W79" s="311">
        <f t="shared" si="6"/>
        <v>6</v>
      </c>
      <c r="X79" s="311">
        <f t="shared" si="6"/>
        <v>5</v>
      </c>
      <c r="Y79" s="311">
        <f t="shared" si="6"/>
        <v>6</v>
      </c>
      <c r="Z79" s="311">
        <f t="shared" si="6"/>
        <v>6</v>
      </c>
      <c r="AA79" s="311">
        <f t="shared" si="6"/>
        <v>5</v>
      </c>
      <c r="AB79" s="311">
        <f t="shared" si="6"/>
        <v>6</v>
      </c>
      <c r="AC79" s="311">
        <f t="shared" si="6"/>
        <v>6</v>
      </c>
      <c r="AD79" s="311">
        <f t="shared" si="6"/>
        <v>5</v>
      </c>
      <c r="AE79" s="311">
        <f t="shared" si="6"/>
        <v>0</v>
      </c>
      <c r="AF79" s="311">
        <f t="shared" si="6"/>
        <v>6</v>
      </c>
      <c r="AG79" s="311">
        <f t="shared" si="6"/>
        <v>6</v>
      </c>
      <c r="AH79" s="311">
        <f t="shared" si="6"/>
        <v>6</v>
      </c>
      <c r="AI79" s="311">
        <f t="shared" si="6"/>
        <v>6</v>
      </c>
    </row>
    <row r="80" spans="1:41">
      <c r="D80" s="144" t="s">
        <v>150</v>
      </c>
      <c r="E80" s="175" t="s">
        <v>84</v>
      </c>
      <c r="F80" s="164" t="s">
        <v>95</v>
      </c>
      <c r="G80" s="160" t="s">
        <v>95</v>
      </c>
      <c r="H80" s="160" t="s">
        <v>95</v>
      </c>
      <c r="I80" s="160" t="s">
        <v>95</v>
      </c>
      <c r="J80" s="160" t="s">
        <v>95</v>
      </c>
      <c r="K80" s="159" t="s">
        <v>84</v>
      </c>
      <c r="L80" s="91" t="s">
        <v>84</v>
      </c>
      <c r="M80" s="87" t="s">
        <v>94</v>
      </c>
      <c r="N80" s="80" t="s">
        <v>94</v>
      </c>
      <c r="O80" s="80" t="s">
        <v>94</v>
      </c>
      <c r="P80" s="80" t="s">
        <v>94</v>
      </c>
      <c r="Q80" s="80" t="s">
        <v>94</v>
      </c>
      <c r="R80" s="159" t="s">
        <v>84</v>
      </c>
      <c r="S80" s="96" t="s">
        <v>94</v>
      </c>
      <c r="T80" s="163" t="s">
        <v>94</v>
      </c>
      <c r="U80" s="80" t="s">
        <v>94</v>
      </c>
      <c r="V80" s="80" t="s">
        <v>94</v>
      </c>
      <c r="W80" s="80" t="s">
        <v>94</v>
      </c>
      <c r="X80" s="80" t="s">
        <v>94</v>
      </c>
      <c r="Y80" s="159" t="s">
        <v>84</v>
      </c>
      <c r="Z80" s="92" t="s">
        <v>94</v>
      </c>
      <c r="AA80" s="87" t="s">
        <v>94</v>
      </c>
      <c r="AB80" s="80" t="s">
        <v>94</v>
      </c>
      <c r="AC80" s="80" t="s">
        <v>94</v>
      </c>
      <c r="AD80" s="80" t="s">
        <v>94</v>
      </c>
      <c r="AE80" s="80" t="s">
        <v>94</v>
      </c>
      <c r="AF80" s="161" t="s">
        <v>84</v>
      </c>
      <c r="AG80" s="161" t="s">
        <v>84</v>
      </c>
      <c r="AH80" s="164" t="s">
        <v>95</v>
      </c>
      <c r="AI80" s="166" t="s">
        <v>95</v>
      </c>
    </row>
    <row r="81" spans="4:35">
      <c r="D81" s="142" t="s">
        <v>119</v>
      </c>
      <c r="E81" s="311">
        <f>COUNTBLANK(E41:E46)</f>
        <v>2</v>
      </c>
      <c r="F81" s="311">
        <f t="shared" ref="F81:AI81" si="7">COUNTBLANK(F41:F46)</f>
        <v>4</v>
      </c>
      <c r="G81" s="311">
        <f t="shared" si="7"/>
        <v>5</v>
      </c>
      <c r="H81" s="311">
        <f t="shared" si="7"/>
        <v>5</v>
      </c>
      <c r="I81" s="311">
        <f t="shared" si="7"/>
        <v>5</v>
      </c>
      <c r="J81" s="311">
        <f t="shared" si="7"/>
        <v>3</v>
      </c>
      <c r="K81" s="311">
        <f t="shared" si="7"/>
        <v>6</v>
      </c>
      <c r="L81" s="311">
        <f t="shared" si="7"/>
        <v>6</v>
      </c>
      <c r="M81" s="311">
        <f t="shared" si="7"/>
        <v>5</v>
      </c>
      <c r="N81" s="311">
        <f t="shared" si="7"/>
        <v>5</v>
      </c>
      <c r="O81" s="311">
        <f t="shared" si="7"/>
        <v>6</v>
      </c>
      <c r="P81" s="311">
        <f t="shared" si="7"/>
        <v>6</v>
      </c>
      <c r="Q81" s="311">
        <f t="shared" si="7"/>
        <v>5</v>
      </c>
      <c r="R81" s="311">
        <f t="shared" si="7"/>
        <v>6</v>
      </c>
      <c r="S81" s="311">
        <f t="shared" si="7"/>
        <v>6</v>
      </c>
      <c r="T81" s="311">
        <f t="shared" si="7"/>
        <v>6</v>
      </c>
      <c r="U81" s="311">
        <f t="shared" si="7"/>
        <v>6</v>
      </c>
      <c r="V81" s="311">
        <f t="shared" si="7"/>
        <v>6</v>
      </c>
      <c r="W81" s="311">
        <f t="shared" si="7"/>
        <v>6</v>
      </c>
      <c r="X81" s="311">
        <f t="shared" si="7"/>
        <v>6</v>
      </c>
      <c r="Y81" s="311">
        <f t="shared" si="7"/>
        <v>6</v>
      </c>
      <c r="Z81" s="311">
        <f t="shared" si="7"/>
        <v>6</v>
      </c>
      <c r="AA81" s="311">
        <f t="shared" si="7"/>
        <v>6</v>
      </c>
      <c r="AB81" s="311">
        <f t="shared" si="7"/>
        <v>6</v>
      </c>
      <c r="AC81" s="311">
        <f t="shared" si="7"/>
        <v>6</v>
      </c>
      <c r="AD81" s="311">
        <f t="shared" si="7"/>
        <v>6</v>
      </c>
      <c r="AE81" s="311">
        <f t="shared" si="7"/>
        <v>6</v>
      </c>
      <c r="AF81" s="311">
        <f t="shared" si="7"/>
        <v>6</v>
      </c>
      <c r="AG81" s="311">
        <f t="shared" si="7"/>
        <v>6</v>
      </c>
      <c r="AH81" s="311">
        <f t="shared" si="7"/>
        <v>6</v>
      </c>
      <c r="AI81" s="311">
        <f t="shared" si="7"/>
        <v>6</v>
      </c>
    </row>
  </sheetData>
  <sheetProtection algorithmName="SHA-512" hashValue="NroGlMmCMLWMFlkNc+5DkUlIajRUTR0vxXPL3ABWXphFUhafpBKA/r475oA6dda9IiKx0Z9D+p7QT6magesp2g==" saltValue="8ZRHhSWohxPe9idKsQB39g==" spinCount="100000" sheet="1" objects="1" scenarios="1"/>
  <mergeCells count="28">
    <mergeCell ref="A33:A39"/>
    <mergeCell ref="B33:D33"/>
    <mergeCell ref="A40:A47"/>
    <mergeCell ref="A16:A17"/>
    <mergeCell ref="B16:D16"/>
    <mergeCell ref="A18:A24"/>
    <mergeCell ref="B18:D18"/>
    <mergeCell ref="B25:D25"/>
    <mergeCell ref="A25:A32"/>
    <mergeCell ref="B40:D40"/>
    <mergeCell ref="A8:A9"/>
    <mergeCell ref="A10:A11"/>
    <mergeCell ref="A12:A13"/>
    <mergeCell ref="B12:D12"/>
    <mergeCell ref="A14:A15"/>
    <mergeCell ref="B14:D14"/>
    <mergeCell ref="E2:AI2"/>
    <mergeCell ref="E3:AI3"/>
    <mergeCell ref="F4:L4"/>
    <mergeCell ref="M4:S4"/>
    <mergeCell ref="T4:Z4"/>
    <mergeCell ref="AA4:AG4"/>
    <mergeCell ref="AH4:AI4"/>
    <mergeCell ref="A48:A49"/>
    <mergeCell ref="B48:D48"/>
    <mergeCell ref="W65:AH65"/>
    <mergeCell ref="W61:AF61"/>
    <mergeCell ref="A50:A57"/>
  </mergeCells>
  <phoneticPr fontId="18" type="noConversion"/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08193831-7367-4141-8D48-3C4C6D276AC8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7B8DF56E-3825-49DF-BF40-7916D5042900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47E96527-9E73-4ADC-9F99-B3ECCCEC5169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1CFAEB6E-33E8-48F4-B19F-706CAE936A21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D62FD954-E6DC-4FB2-A00E-7392366C4DE5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921A99A8-8E22-42CE-A436-8A8EB00F6ACA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FA41122C-B90B-4561-9CF0-47671753E047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7EFFC91F-6F49-4DD7-A45E-26F3A8921F08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F6E651CD-53F5-4C7F-AADE-1AB5884722D3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9679D1DC-AAE6-41FB-9372-8CAF0967230D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241F5B88-4E8A-4928-AB1A-A7778D9072D1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D5143B9B-5801-4F51-81BC-5DB12DA6D9C9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6563B2C7-28FD-4C7D-B4D1-F16B55C38168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C7019A3E-FE47-43C3-A39F-75B662B28D9F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BC538CF2-3828-41C8-9AD0-5EB3AE9E080D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167EB1BB-4294-4045-AA2E-6A4D7389D9E0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67E478C5-6D7A-4D81-AC50-378C4F5632A2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2F6DA43F-CEEE-456C-BFD1-DB7B22F34166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93F3DCDC-6889-4C8D-9B59-118B85B8E663}">
            <xm:f>'OHLR DUAT'!$F$18&gt;2</xm:f>
            <x14:dxf/>
          </x14:cfRule>
          <x14:cfRule type="expression" priority="21" stopIfTrue="1" id="{E1FE19D5-EA27-47D7-B21D-F59A9984AFE0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9C26DBF8-8CAC-4F28-A751-A0F19E6CF814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E7A84802-627E-48F2-BF74-C4AA87B84EB7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1453F051-B277-46A4-8941-A34939633B11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795F8D1F-B9C0-43C6-A609-C0819FA936BE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D1E57B18-124B-40DC-AB55-CC294C4FE82C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57BD3355-5711-49FD-A1DA-7DB2220BCACC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852C9071-28D5-42FE-B705-33C27CEC2EE1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F0CAFB9E-9FEC-4220-B7CF-7C4F064371BB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4EAEC5A7-01B3-4C7D-85D0-F72E725A9037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EB982825-C7E0-4B56-8425-5924CD4C8162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55CF9ABF-4412-4D29-8FCD-1CA8CD737CED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4F1ECF33-8347-407A-B06A-F991A2B94C8A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75C48DD0-D332-41CE-AA96-5625F327CF49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A5243F7A-F085-4819-B0FF-EC71DB044232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EEAC86AE-CB12-4BCE-8F61-5E7665B43052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0" id="{1F59C732-518A-49D2-AA7B-5E38A6894794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D7ECC5D3-4696-4110-80C2-016A72BA6673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86764ED6-0F09-4595-AEBB-0351D8430621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" id="{399CBAA3-ECCD-475C-9A9A-3DD19FC82B77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A6D4322C-BDA6-4308-B634-0F5EF929285D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5AA67BB6-4DF4-4D07-8B30-EAB8D2694C8E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" id="{CA3C3076-F766-4CE0-BFC1-FB946D484936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DAD13819-43C1-45B3-BFA4-B8E537055420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54F4C61C-8590-49EC-9C85-3F59539BC983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B32</xm:sqref>
        </x14:conditionalFormatting>
        <x14:conditionalFormatting xmlns:xm="http://schemas.microsoft.com/office/excel/2006/main">
          <x14:cfRule type="expression" priority="62" stopIfTrue="1" id="{4325DFFB-5560-4784-844B-AF926F480AD5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C10D0A2D-7AA6-4ABE-A3C0-8F1B8FAD50EB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2BABB3AA-8A76-4E43-B682-9D902860226F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2EB83397-72AF-4E5C-8424-9E4ED397B3A6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A7082D8D-C5F0-4D45-AE15-939AE8252FB6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14F150A3-EBB8-42A1-8F33-8B80ED3422D7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8CA2C05C-56AF-4548-B525-61DF4563DED5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10753867-393E-4B81-B375-ACD4EDC92B5C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CCDDB13B-3F29-4B38-9779-8012B5C81B50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AD21E80B-C272-4586-8E63-7E5D4923C11D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94D4A287-9614-4061-A9C6-A0BBFBE2AE8B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8C943A01-9648-42AF-B74A-8D63E2F74CB2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26700E04-C5E2-454E-AD27-5FECC53BFC4F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0B7636F6-C311-43F9-B095-D64DEAE488FF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4B1643EC-E0D1-4A85-9152-0ACF91DCD9A3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3EA364A6-8D3A-4F0C-919B-67385C4457A8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6C090156-E1E5-4500-8752-56120BAE70B9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DC21D1EF-AA85-4148-AEE1-02E90B6E9E93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1A4C258B-700B-41BA-B9FE-C3F8C19F3917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F88E505E-035A-4D41-82B3-CDC96851D83A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E028B424-6CBB-412C-887F-69B8203B333E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9AB657DB-2BF8-497B-A329-040B193F5A61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F7D82099-03CD-495A-A7D9-4AF10BB81EF7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2C4F01B2-BE1A-4072-8F98-6ECB973CCE17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DDF2A0F6-B29A-47FA-8325-F81FBD0B4387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EE6EB8EB-2A40-464E-9B93-7BFAEFC8591A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FF52D4D0-8B0E-4C04-A172-D2B54304CDDE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A105CD17-B5C2-4127-923A-C886EB949D33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CAD32905-2E45-4372-870B-707BE7102877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CDFEDFBC-A8DE-47C7-B9A6-0F79E88CE47F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AB5D123B-9848-455C-BBED-491B360959E2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22DCB85A-AAFB-4C71-90FE-F356A26AB6C0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6D8452A0-D313-45EC-A85B-89C2087FF576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DA27BC49-815F-44F5-BEB4-01BF0EC45975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33" id="{F9AA385B-94FF-49D8-8E46-3A04BBB2AB1C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3" id="{30B52CF4-111D-4A34-8699-9C3E8F1FB4A2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6" id="{9157EF41-773F-45EC-A7F5-0232B7595838}">
            <xm:f>VLOOKUP(#REF!,'OHLR DUAT'!$B$4:$E$15,4,FALSE)</xm:f>
            <x14:dxf/>
          </x14:cfRule>
          <xm:sqref>E8:AI9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E686-E4C4-4FE6-A552-20337F8B1931}">
  <dimension ref="A1:AO83"/>
  <sheetViews>
    <sheetView workbookViewId="0">
      <pane xSplit="4" ySplit="7" topLeftCell="E13" activePane="bottomRight" state="frozen"/>
      <selection pane="topRight"/>
      <selection pane="bottomLeft"/>
      <selection pane="bottomRight" activeCell="F74" sqref="F74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25" width="6.6328125" customWidth="1"/>
    <col min="26" max="26" width="11.26953125" customWidth="1"/>
    <col min="27" max="34" width="6.6328125" customWidth="1"/>
  </cols>
  <sheetData>
    <row r="1" spans="1:41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41" ht="20.5" thickBot="1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</row>
    <row r="3" spans="1:41" ht="18" customHeight="1" thickBot="1">
      <c r="A3" s="19"/>
      <c r="B3" s="43"/>
      <c r="C3" s="19"/>
      <c r="D3" s="127"/>
      <c r="E3" s="1301" t="s">
        <v>202</v>
      </c>
      <c r="F3" s="1301"/>
      <c r="G3" s="1301"/>
      <c r="H3" s="1301"/>
      <c r="I3" s="1301"/>
      <c r="J3" s="1301"/>
      <c r="K3" s="1301"/>
      <c r="L3" s="1301"/>
      <c r="M3" s="1301"/>
      <c r="N3" s="1301"/>
      <c r="O3" s="1301"/>
      <c r="P3" s="1301"/>
      <c r="Q3" s="1301"/>
      <c r="R3" s="1301"/>
      <c r="S3" s="1301"/>
      <c r="T3" s="1301"/>
      <c r="U3" s="1301"/>
      <c r="V3" s="1301"/>
      <c r="W3" s="1301"/>
      <c r="X3" s="1301"/>
      <c r="Y3" s="1301"/>
      <c r="Z3" s="1301"/>
      <c r="AA3" s="1301"/>
      <c r="AB3" s="1301"/>
      <c r="AC3" s="1301"/>
      <c r="AD3" s="1301"/>
      <c r="AE3" s="1301"/>
      <c r="AF3" s="1301"/>
      <c r="AG3" s="1301"/>
      <c r="AH3" s="1301"/>
    </row>
    <row r="4" spans="1:41" s="31" customFormat="1" ht="18" customHeight="1" thickBot="1">
      <c r="A4" s="19"/>
      <c r="B4" s="43"/>
      <c r="C4" s="19"/>
      <c r="D4" s="19"/>
      <c r="E4" s="1312" t="s">
        <v>179</v>
      </c>
      <c r="F4" s="1311"/>
      <c r="G4" s="1311"/>
      <c r="H4" s="1311"/>
      <c r="I4" s="1313"/>
      <c r="J4" s="1328" t="s">
        <v>203</v>
      </c>
      <c r="K4" s="1311"/>
      <c r="L4" s="1311"/>
      <c r="M4" s="1311"/>
      <c r="N4" s="1311"/>
      <c r="O4" s="1311"/>
      <c r="P4" s="1311"/>
      <c r="Q4" s="1312" t="s">
        <v>204</v>
      </c>
      <c r="R4" s="1311"/>
      <c r="S4" s="1311"/>
      <c r="T4" s="1311"/>
      <c r="U4" s="1311"/>
      <c r="V4" s="1311"/>
      <c r="W4" s="1313"/>
      <c r="X4" s="1328" t="s">
        <v>205</v>
      </c>
      <c r="Y4" s="1311"/>
      <c r="Z4" s="1311"/>
      <c r="AA4" s="1311"/>
      <c r="AB4" s="1311"/>
      <c r="AC4" s="1311"/>
      <c r="AD4" s="1311"/>
      <c r="AE4" s="1370" t="s">
        <v>206</v>
      </c>
      <c r="AF4" s="1371"/>
      <c r="AG4" s="1371"/>
      <c r="AH4" s="1372"/>
    </row>
    <row r="5" spans="1:41" s="31" customFormat="1" ht="18" customHeight="1">
      <c r="A5" s="14"/>
      <c r="B5" s="42"/>
      <c r="C5" s="15"/>
      <c r="D5" s="15"/>
      <c r="E5" s="72">
        <v>1</v>
      </c>
      <c r="F5" s="34">
        <v>2</v>
      </c>
      <c r="G5" s="183">
        <v>3</v>
      </c>
      <c r="H5" s="183">
        <v>4</v>
      </c>
      <c r="I5" s="185">
        <v>5</v>
      </c>
      <c r="J5" s="183">
        <v>6</v>
      </c>
      <c r="K5" s="183">
        <v>7</v>
      </c>
      <c r="L5" s="33">
        <v>8</v>
      </c>
      <c r="M5" s="39">
        <v>9</v>
      </c>
      <c r="N5" s="32">
        <v>10</v>
      </c>
      <c r="O5" s="32">
        <v>11</v>
      </c>
      <c r="P5" s="40">
        <v>12</v>
      </c>
      <c r="Q5" s="34">
        <v>13</v>
      </c>
      <c r="R5" s="32">
        <v>14</v>
      </c>
      <c r="S5" s="40">
        <v>15</v>
      </c>
      <c r="T5" s="34">
        <v>16</v>
      </c>
      <c r="U5" s="32">
        <v>17</v>
      </c>
      <c r="V5" s="32">
        <v>18</v>
      </c>
      <c r="W5" s="33">
        <v>19</v>
      </c>
      <c r="X5" s="32">
        <v>20</v>
      </c>
      <c r="Y5" s="32">
        <v>21</v>
      </c>
      <c r="Z5" s="33">
        <v>22</v>
      </c>
      <c r="AA5" s="39">
        <v>23</v>
      </c>
      <c r="AB5" s="32">
        <v>24</v>
      </c>
      <c r="AC5" s="32">
        <v>25</v>
      </c>
      <c r="AD5" s="40">
        <v>26</v>
      </c>
      <c r="AE5" s="34">
        <v>27</v>
      </c>
      <c r="AF5" s="40">
        <v>28</v>
      </c>
      <c r="AG5" s="177">
        <v>29</v>
      </c>
      <c r="AH5" s="58">
        <v>30</v>
      </c>
    </row>
    <row r="6" spans="1:41" s="31" customFormat="1" ht="18" customHeight="1">
      <c r="A6" s="19"/>
      <c r="B6" s="43"/>
      <c r="C6" s="19"/>
      <c r="D6" s="19"/>
      <c r="E6" s="781" t="s">
        <v>73</v>
      </c>
      <c r="F6" s="782" t="s">
        <v>67</v>
      </c>
      <c r="G6" s="783" t="s">
        <v>68</v>
      </c>
      <c r="H6" s="783" t="s">
        <v>69</v>
      </c>
      <c r="I6" s="784" t="s">
        <v>70</v>
      </c>
      <c r="J6" s="783" t="s">
        <v>71</v>
      </c>
      <c r="K6" s="783" t="s">
        <v>72</v>
      </c>
      <c r="L6" s="782" t="s">
        <v>73</v>
      </c>
      <c r="M6" s="782" t="s">
        <v>67</v>
      </c>
      <c r="N6" s="782" t="s">
        <v>68</v>
      </c>
      <c r="O6" s="782" t="s">
        <v>69</v>
      </c>
      <c r="P6" s="785" t="s">
        <v>70</v>
      </c>
      <c r="Q6" s="781" t="s">
        <v>71</v>
      </c>
      <c r="R6" s="782" t="s">
        <v>72</v>
      </c>
      <c r="S6" s="782" t="s">
        <v>73</v>
      </c>
      <c r="T6" s="782" t="s">
        <v>67</v>
      </c>
      <c r="U6" s="782" t="s">
        <v>68</v>
      </c>
      <c r="V6" s="782" t="s">
        <v>69</v>
      </c>
      <c r="W6" s="784" t="s">
        <v>70</v>
      </c>
      <c r="X6" s="782" t="s">
        <v>71</v>
      </c>
      <c r="Y6" s="782" t="s">
        <v>72</v>
      </c>
      <c r="Z6" s="782" t="s">
        <v>73</v>
      </c>
      <c r="AA6" s="782" t="s">
        <v>67</v>
      </c>
      <c r="AB6" s="782" t="s">
        <v>68</v>
      </c>
      <c r="AC6" s="782" t="s">
        <v>69</v>
      </c>
      <c r="AD6" s="785" t="s">
        <v>70</v>
      </c>
      <c r="AE6" s="781" t="s">
        <v>71</v>
      </c>
      <c r="AF6" s="782" t="s">
        <v>72</v>
      </c>
      <c r="AG6" s="782" t="s">
        <v>73</v>
      </c>
      <c r="AH6" s="786" t="s">
        <v>67</v>
      </c>
    </row>
    <row r="7" spans="1:41" ht="18" customHeight="1">
      <c r="A7" s="24" t="s">
        <v>74</v>
      </c>
      <c r="B7" s="113" t="s">
        <v>75</v>
      </c>
      <c r="C7" s="25" t="s">
        <v>76</v>
      </c>
      <c r="D7" s="26" t="s">
        <v>77</v>
      </c>
      <c r="E7" s="787"/>
      <c r="F7" s="788"/>
      <c r="G7" s="788"/>
      <c r="H7" s="788"/>
      <c r="I7" s="789"/>
      <c r="J7" s="788"/>
      <c r="K7" s="788"/>
      <c r="L7" s="788"/>
      <c r="M7" s="788"/>
      <c r="N7" s="788"/>
      <c r="O7" s="788"/>
      <c r="P7" s="790"/>
      <c r="Q7" s="787"/>
      <c r="R7" s="788"/>
      <c r="S7" s="788"/>
      <c r="T7" s="788"/>
      <c r="U7" s="788"/>
      <c r="V7" s="788"/>
      <c r="W7" s="789"/>
      <c r="X7" s="788"/>
      <c r="Y7" s="788"/>
      <c r="Z7" s="788"/>
      <c r="AA7" s="788"/>
      <c r="AB7" s="788"/>
      <c r="AC7" s="788"/>
      <c r="AD7" s="790"/>
      <c r="AE7" s="787"/>
      <c r="AF7" s="788"/>
      <c r="AG7" s="788"/>
      <c r="AH7" s="789"/>
    </row>
    <row r="8" spans="1:41" ht="18" customHeight="1">
      <c r="A8" s="1346" t="s">
        <v>78</v>
      </c>
      <c r="B8" s="44" t="s">
        <v>79</v>
      </c>
      <c r="C8" s="17" t="s">
        <v>80</v>
      </c>
      <c r="D8" s="21">
        <v>300179</v>
      </c>
      <c r="E8" s="28"/>
      <c r="F8" s="29" t="s">
        <v>81</v>
      </c>
      <c r="G8" s="29"/>
      <c r="H8" s="29"/>
      <c r="I8" s="30"/>
      <c r="J8" s="29"/>
      <c r="K8" s="29"/>
      <c r="L8" s="29"/>
      <c r="M8" s="29"/>
      <c r="N8" s="29"/>
      <c r="O8" s="29"/>
      <c r="P8" s="65"/>
      <c r="Q8" s="28"/>
      <c r="R8" s="29"/>
      <c r="S8" s="29"/>
      <c r="T8" s="29"/>
      <c r="U8" s="29"/>
      <c r="V8" s="29"/>
      <c r="W8" s="30"/>
      <c r="X8" s="29"/>
      <c r="Y8" s="29"/>
      <c r="Z8" s="29"/>
      <c r="AA8" s="29"/>
      <c r="AB8" s="29"/>
      <c r="AC8" s="29"/>
      <c r="AD8" s="65"/>
      <c r="AE8" s="28"/>
      <c r="AF8" s="29"/>
      <c r="AG8" s="29"/>
      <c r="AH8" s="30"/>
    </row>
    <row r="9" spans="1:41" ht="18" customHeight="1">
      <c r="A9" s="1347"/>
      <c r="B9" s="115" t="s">
        <v>82</v>
      </c>
      <c r="C9" s="20" t="s">
        <v>80</v>
      </c>
      <c r="D9" s="156">
        <v>668695</v>
      </c>
      <c r="E9" s="643" t="s">
        <v>81</v>
      </c>
      <c r="F9" s="244" t="s">
        <v>84</v>
      </c>
      <c r="G9" s="244"/>
      <c r="H9" s="244"/>
      <c r="I9" s="248"/>
      <c r="J9" s="244"/>
      <c r="K9" s="244"/>
      <c r="L9" s="244"/>
      <c r="M9" s="244"/>
      <c r="N9" s="244"/>
      <c r="O9" s="244"/>
      <c r="P9" s="250"/>
      <c r="Q9" s="247"/>
      <c r="R9" s="244"/>
      <c r="S9" s="244"/>
      <c r="T9" s="244"/>
      <c r="U9" s="244"/>
      <c r="V9" s="244"/>
      <c r="W9" s="248"/>
      <c r="X9" s="244"/>
      <c r="Y9" s="244"/>
      <c r="Z9" s="244"/>
      <c r="AA9" s="244"/>
      <c r="AB9" s="244"/>
      <c r="AC9" s="244"/>
      <c r="AD9" s="250"/>
      <c r="AE9" s="247"/>
      <c r="AF9" s="244"/>
      <c r="AG9" s="244"/>
      <c r="AH9" s="248"/>
    </row>
    <row r="10" spans="1:41" ht="18" customHeight="1">
      <c r="A10" s="1331" t="s">
        <v>85</v>
      </c>
      <c r="B10" s="90" t="s">
        <v>86</v>
      </c>
      <c r="C10" s="17" t="s">
        <v>13</v>
      </c>
      <c r="D10" s="21">
        <v>231061</v>
      </c>
      <c r="E10" s="622" t="s">
        <v>38</v>
      </c>
      <c r="F10" s="623" t="s">
        <v>38</v>
      </c>
      <c r="G10" s="623" t="s">
        <v>38</v>
      </c>
      <c r="H10" s="255" t="s">
        <v>84</v>
      </c>
      <c r="I10" s="259" t="s">
        <v>84</v>
      </c>
      <c r="J10" s="255" t="s">
        <v>88</v>
      </c>
      <c r="K10" s="255" t="s">
        <v>88</v>
      </c>
      <c r="L10" s="887" t="s">
        <v>87</v>
      </c>
      <c r="M10" s="254" t="s">
        <v>87</v>
      </c>
      <c r="N10" s="254" t="s">
        <v>87</v>
      </c>
      <c r="O10" s="255" t="s">
        <v>84</v>
      </c>
      <c r="P10" s="258" t="s">
        <v>38</v>
      </c>
      <c r="Q10" s="253" t="s">
        <v>38</v>
      </c>
      <c r="R10" s="254" t="s">
        <v>38</v>
      </c>
      <c r="S10" s="254" t="s">
        <v>38</v>
      </c>
      <c r="T10" s="254" t="s">
        <v>38</v>
      </c>
      <c r="U10" s="254" t="s">
        <v>38</v>
      </c>
      <c r="V10" s="255" t="s">
        <v>84</v>
      </c>
      <c r="W10" s="256" t="s">
        <v>38</v>
      </c>
      <c r="X10" s="254" t="s">
        <v>38</v>
      </c>
      <c r="Y10" s="254" t="s">
        <v>38</v>
      </c>
      <c r="Z10" s="254" t="s">
        <v>38</v>
      </c>
      <c r="AA10" s="254" t="s">
        <v>38</v>
      </c>
      <c r="AB10" s="254" t="s">
        <v>38</v>
      </c>
      <c r="AC10" s="255" t="s">
        <v>84</v>
      </c>
      <c r="AD10" s="260" t="s">
        <v>84</v>
      </c>
      <c r="AE10" s="592" t="s">
        <v>81</v>
      </c>
      <c r="AF10" s="255" t="s">
        <v>81</v>
      </c>
      <c r="AG10" s="255" t="s">
        <v>81</v>
      </c>
      <c r="AH10" s="255" t="s">
        <v>81</v>
      </c>
    </row>
    <row r="11" spans="1:41" ht="18" customHeight="1">
      <c r="A11" s="1331"/>
      <c r="B11" s="86" t="s">
        <v>24</v>
      </c>
      <c r="C11" s="18" t="s">
        <v>13</v>
      </c>
      <c r="D11" s="52" t="s">
        <v>89</v>
      </c>
      <c r="E11" s="353" t="s">
        <v>88</v>
      </c>
      <c r="F11" s="267" t="s">
        <v>87</v>
      </c>
      <c r="G11" s="940" t="s">
        <v>88</v>
      </c>
      <c r="H11" s="795" t="s">
        <v>84</v>
      </c>
      <c r="I11" s="893" t="s">
        <v>38</v>
      </c>
      <c r="J11" s="654" t="s">
        <v>38</v>
      </c>
      <c r="K11" s="655" t="s">
        <v>38</v>
      </c>
      <c r="L11" s="655" t="s">
        <v>38</v>
      </c>
      <c r="M11" s="655" t="s">
        <v>38</v>
      </c>
      <c r="N11" s="655" t="s">
        <v>38</v>
      </c>
      <c r="O11" s="264" t="s">
        <v>84</v>
      </c>
      <c r="P11" s="268" t="s">
        <v>84</v>
      </c>
      <c r="Q11" s="262" t="s">
        <v>87</v>
      </c>
      <c r="R11" s="267" t="s">
        <v>87</v>
      </c>
      <c r="S11" s="267" t="s">
        <v>87</v>
      </c>
      <c r="T11" s="267" t="s">
        <v>87</v>
      </c>
      <c r="U11" s="263" t="s">
        <v>87</v>
      </c>
      <c r="V11" s="795" t="s">
        <v>84</v>
      </c>
      <c r="W11" s="265" t="s">
        <v>84</v>
      </c>
      <c r="X11" s="264" t="s">
        <v>88</v>
      </c>
      <c r="Y11" s="267" t="s">
        <v>87</v>
      </c>
      <c r="Z11" s="267" t="s">
        <v>87</v>
      </c>
      <c r="AA11" s="267" t="s">
        <v>87</v>
      </c>
      <c r="AB11" s="267" t="s">
        <v>87</v>
      </c>
      <c r="AC11" s="264" t="s">
        <v>84</v>
      </c>
      <c r="AD11" s="268" t="s">
        <v>84</v>
      </c>
      <c r="AE11" s="262" t="s">
        <v>87</v>
      </c>
      <c r="AF11" s="267" t="s">
        <v>87</v>
      </c>
      <c r="AG11" s="267" t="s">
        <v>87</v>
      </c>
      <c r="AH11" s="657" t="s">
        <v>87</v>
      </c>
    </row>
    <row r="12" spans="1:41" ht="18" customHeight="1">
      <c r="A12" s="1316" t="s">
        <v>92</v>
      </c>
      <c r="B12" s="1334" t="s">
        <v>93</v>
      </c>
      <c r="C12" s="1332"/>
      <c r="D12" s="1332"/>
      <c r="E12" s="756" t="s">
        <v>94</v>
      </c>
      <c r="F12" s="759" t="s">
        <v>94</v>
      </c>
      <c r="G12" s="759" t="s">
        <v>94</v>
      </c>
      <c r="H12" s="757" t="s">
        <v>84</v>
      </c>
      <c r="I12" s="758" t="s">
        <v>84</v>
      </c>
      <c r="J12" s="759" t="s">
        <v>95</v>
      </c>
      <c r="K12" s="759" t="s">
        <v>95</v>
      </c>
      <c r="L12" s="759" t="s">
        <v>95</v>
      </c>
      <c r="M12" s="759" t="s">
        <v>95</v>
      </c>
      <c r="N12" s="759" t="s">
        <v>95</v>
      </c>
      <c r="O12" s="759" t="s">
        <v>95</v>
      </c>
      <c r="P12" s="760" t="s">
        <v>84</v>
      </c>
      <c r="Q12" s="756" t="s">
        <v>95</v>
      </c>
      <c r="R12" s="759" t="s">
        <v>95</v>
      </c>
      <c r="S12" s="759" t="s">
        <v>95</v>
      </c>
      <c r="T12" s="759" t="s">
        <v>95</v>
      </c>
      <c r="U12" s="759" t="s">
        <v>95</v>
      </c>
      <c r="V12" s="757" t="s">
        <v>84</v>
      </c>
      <c r="W12" s="758" t="s">
        <v>84</v>
      </c>
      <c r="X12" s="759" t="s">
        <v>94</v>
      </c>
      <c r="Y12" s="759" t="s">
        <v>94</v>
      </c>
      <c r="Z12" s="759" t="s">
        <v>94</v>
      </c>
      <c r="AA12" s="759" t="s">
        <v>94</v>
      </c>
      <c r="AB12" s="759" t="s">
        <v>94</v>
      </c>
      <c r="AC12" s="757" t="s">
        <v>84</v>
      </c>
      <c r="AD12" s="761" t="s">
        <v>94</v>
      </c>
      <c r="AE12" s="756" t="s">
        <v>94</v>
      </c>
      <c r="AF12" s="759" t="s">
        <v>94</v>
      </c>
      <c r="AG12" s="759" t="s">
        <v>94</v>
      </c>
      <c r="AH12" s="791" t="s">
        <v>94</v>
      </c>
      <c r="AI12" s="137" t="s">
        <v>95</v>
      </c>
      <c r="AJ12" s="137" t="s">
        <v>38</v>
      </c>
      <c r="AK12" s="138" t="s">
        <v>84</v>
      </c>
      <c r="AL12" s="137" t="s">
        <v>81</v>
      </c>
      <c r="AM12" s="137" t="s">
        <v>88</v>
      </c>
      <c r="AN12" s="137" t="s">
        <v>96</v>
      </c>
      <c r="AO12" s="139" t="s">
        <v>97</v>
      </c>
    </row>
    <row r="13" spans="1:41" ht="18" customHeight="1">
      <c r="A13" s="1333"/>
      <c r="B13" s="116" t="s">
        <v>22</v>
      </c>
      <c r="C13" s="53" t="s">
        <v>16</v>
      </c>
      <c r="D13" s="23">
        <v>517968</v>
      </c>
      <c r="E13" s="645"/>
      <c r="F13" s="646"/>
      <c r="G13" s="646"/>
      <c r="H13" s="646" t="s">
        <v>94</v>
      </c>
      <c r="I13" s="647"/>
      <c r="J13" s="646"/>
      <c r="K13" s="646"/>
      <c r="L13" s="646"/>
      <c r="M13" s="646"/>
      <c r="N13" s="646"/>
      <c r="O13" s="646"/>
      <c r="P13" s="762"/>
      <c r="Q13" s="645" t="s">
        <v>94</v>
      </c>
      <c r="R13" s="794" t="s">
        <v>84</v>
      </c>
      <c r="S13" s="646"/>
      <c r="T13" s="646"/>
      <c r="U13" s="794" t="s">
        <v>84</v>
      </c>
      <c r="V13" s="646" t="s">
        <v>161</v>
      </c>
      <c r="W13" s="647" t="s">
        <v>38</v>
      </c>
      <c r="X13" s="794" t="s">
        <v>88</v>
      </c>
      <c r="Y13" s="794" t="s">
        <v>88</v>
      </c>
      <c r="Z13" s="794" t="s">
        <v>88</v>
      </c>
      <c r="AA13" s="794" t="s">
        <v>88</v>
      </c>
      <c r="AB13" s="794" t="s">
        <v>88</v>
      </c>
      <c r="AC13" s="646"/>
      <c r="AD13" s="762"/>
      <c r="AE13" s="645"/>
      <c r="AF13" s="646"/>
      <c r="AG13" s="646"/>
      <c r="AH13" s="647"/>
      <c r="AI13" s="89" cm="1">
        <f t="array" ref="AI13">SUMPRODUCT(($E$12:$AH$12="HR")*($E$13:$AH$13=""))+SUMPRODUCT(($E$13:$AH$13="HR")*1)</f>
        <v>8</v>
      </c>
      <c r="AJ13" s="89" cm="1">
        <f t="array" ref="AJ13">SUMPRODUCT(($E$12:$AH$12="N0")*($E$13:$AH$13=""))+SUMPRODUCT(($E$13:$AH$13="N")*1)</f>
        <v>9</v>
      </c>
      <c r="AK13" s="89" cm="1">
        <f t="array" ref="AK13">SUMPRODUCT(($E$12:$AH$12="RD")*($E$13:$AH$13=""))+SUMPRODUCT(($E$13:$AH$13="RD")*1)</f>
        <v>5</v>
      </c>
      <c r="AL13" s="89" cm="1">
        <f t="array" ref="AL13">SUMPRODUCT(($E$13:$AH$13="AL")*1)</f>
        <v>0</v>
      </c>
      <c r="AM13" s="89" cm="1">
        <f t="array" ref="AM13">SUMPRODUCT(($E$13:$AH$13="SH")*1)</f>
        <v>5</v>
      </c>
      <c r="AN13" s="89" cm="1">
        <f t="array" ref="AN13">SUMPRODUCT(($E$13:$AH$13="SL")*1)</f>
        <v>0</v>
      </c>
      <c r="AO13" s="140" t="e">
        <f>#REF!-AI13-AJ13-AK13-AL13-AM13-AN13</f>
        <v>#REF!</v>
      </c>
    </row>
    <row r="14" spans="1:41" ht="18" customHeight="1">
      <c r="A14" s="1316" t="s">
        <v>98</v>
      </c>
      <c r="B14" s="1330" t="s">
        <v>93</v>
      </c>
      <c r="C14" s="1330"/>
      <c r="D14" s="1330"/>
      <c r="E14" s="756" t="s">
        <v>95</v>
      </c>
      <c r="F14" s="759" t="s">
        <v>95</v>
      </c>
      <c r="G14" s="759" t="s">
        <v>95</v>
      </c>
      <c r="H14" s="757" t="s">
        <v>84</v>
      </c>
      <c r="I14" s="758" t="s">
        <v>84</v>
      </c>
      <c r="J14" s="759" t="s">
        <v>94</v>
      </c>
      <c r="K14" s="759" t="s">
        <v>94</v>
      </c>
      <c r="L14" s="759" t="s">
        <v>94</v>
      </c>
      <c r="M14" s="759" t="s">
        <v>94</v>
      </c>
      <c r="N14" s="759" t="s">
        <v>94</v>
      </c>
      <c r="O14" s="757" t="s">
        <v>84</v>
      </c>
      <c r="P14" s="761" t="s">
        <v>94</v>
      </c>
      <c r="Q14" s="756" t="s">
        <v>94</v>
      </c>
      <c r="R14" s="759" t="s">
        <v>94</v>
      </c>
      <c r="S14" s="759" t="s">
        <v>94</v>
      </c>
      <c r="T14" s="759" t="s">
        <v>94</v>
      </c>
      <c r="U14" s="759" t="s">
        <v>94</v>
      </c>
      <c r="V14" s="757" t="s">
        <v>84</v>
      </c>
      <c r="W14" s="758" t="s">
        <v>84</v>
      </c>
      <c r="X14" s="759" t="s">
        <v>95</v>
      </c>
      <c r="Y14" s="759" t="s">
        <v>95</v>
      </c>
      <c r="Z14" s="759" t="s">
        <v>95</v>
      </c>
      <c r="AA14" s="759" t="s">
        <v>95</v>
      </c>
      <c r="AB14" s="759" t="s">
        <v>95</v>
      </c>
      <c r="AC14" s="759" t="s">
        <v>95</v>
      </c>
      <c r="AD14" s="760" t="s">
        <v>84</v>
      </c>
      <c r="AE14" s="756" t="s">
        <v>95</v>
      </c>
      <c r="AF14" s="759" t="s">
        <v>95</v>
      </c>
      <c r="AG14" s="759" t="s">
        <v>95</v>
      </c>
      <c r="AH14" s="791" t="s">
        <v>95</v>
      </c>
      <c r="AI14" s="137" t="s">
        <v>95</v>
      </c>
      <c r="AJ14" s="137" t="s">
        <v>38</v>
      </c>
      <c r="AK14" s="138" t="s">
        <v>84</v>
      </c>
      <c r="AL14" s="137" t="s">
        <v>81</v>
      </c>
      <c r="AM14" s="137" t="s">
        <v>88</v>
      </c>
      <c r="AN14" s="137" t="s">
        <v>96</v>
      </c>
      <c r="AO14" s="139" t="s">
        <v>97</v>
      </c>
    </row>
    <row r="15" spans="1:41" ht="18" customHeight="1">
      <c r="A15" s="1333"/>
      <c r="B15" s="55" t="s">
        <v>46</v>
      </c>
      <c r="C15" s="53" t="s">
        <v>16</v>
      </c>
      <c r="D15" s="54">
        <v>673706</v>
      </c>
      <c r="E15" s="763"/>
      <c r="F15" s="764"/>
      <c r="G15" s="764"/>
      <c r="H15" s="764"/>
      <c r="I15" s="765"/>
      <c r="J15" s="764"/>
      <c r="K15" s="764"/>
      <c r="L15" s="764"/>
      <c r="M15" s="764"/>
      <c r="N15" s="764"/>
      <c r="O15" s="764"/>
      <c r="P15" s="766"/>
      <c r="Q15" s="763"/>
      <c r="R15" s="764"/>
      <c r="S15" s="764"/>
      <c r="T15" s="764"/>
      <c r="U15" s="764"/>
      <c r="V15" s="764"/>
      <c r="W15" s="765"/>
      <c r="X15" s="764"/>
      <c r="Y15" s="764"/>
      <c r="Z15" s="764"/>
      <c r="AA15" s="764"/>
      <c r="AB15" s="764"/>
      <c r="AC15" s="824" t="s">
        <v>88</v>
      </c>
      <c r="AD15" s="766"/>
      <c r="AE15" s="763"/>
      <c r="AF15" s="767"/>
      <c r="AG15" s="764"/>
      <c r="AH15" s="765"/>
      <c r="AI15" s="89" cm="1">
        <f t="array" ref="AI15">SUMPRODUCT(($E$14:$AH$14="HR")*($E$15:$AH$15=""))+SUMPRODUCT(($E$15:$AH$15="HR")*1)</f>
        <v>12</v>
      </c>
      <c r="AJ15" s="89" cm="1">
        <f t="array" ref="AJ15">SUMPRODUCT(($E$14:$AH$14="N0")*($E$15:$AH$15=""))+SUMPRODUCT(($E$15:$AH$15="N")*1)</f>
        <v>11</v>
      </c>
      <c r="AK15" s="89" cm="1">
        <f t="array" ref="AK15">SUMPRODUCT(($E$14:$AH$14="RD")*($E$15:$AH$15=""))+SUMPRODUCT(($E$15:$AH$15="RD")*1)</f>
        <v>6</v>
      </c>
      <c r="AL15" s="89" cm="1">
        <f t="array" ref="AL15">SUMPRODUCT(($E$15:$AH$15="AL")*1)</f>
        <v>0</v>
      </c>
      <c r="AM15" s="89" cm="1">
        <f t="array" ref="AM15">SUMPRODUCT(($E$15:$AH$15="SH")*1)</f>
        <v>1</v>
      </c>
      <c r="AN15" s="89" cm="1">
        <f t="array" ref="AN15">SUMPRODUCT(($E$15:$AH$15="SL")*1)</f>
        <v>0</v>
      </c>
      <c r="AO15" s="140" t="e">
        <f>#REF!-AI15-AJ15-AK15-AL15-AM15-AN15</f>
        <v>#REF!</v>
      </c>
    </row>
    <row r="16" spans="1:41" ht="18" customHeight="1">
      <c r="A16" s="1320" t="s">
        <v>99</v>
      </c>
      <c r="B16" s="1330" t="s">
        <v>93</v>
      </c>
      <c r="C16" s="1330"/>
      <c r="D16" s="1330"/>
      <c r="E16" s="756" t="s">
        <v>95</v>
      </c>
      <c r="F16" s="759" t="s">
        <v>95</v>
      </c>
      <c r="G16" s="759" t="s">
        <v>95</v>
      </c>
      <c r="H16" s="757" t="s">
        <v>84</v>
      </c>
      <c r="I16" s="758" t="s">
        <v>84</v>
      </c>
      <c r="J16" s="759" t="s">
        <v>95</v>
      </c>
      <c r="K16" s="759" t="s">
        <v>95</v>
      </c>
      <c r="L16" s="759" t="s">
        <v>95</v>
      </c>
      <c r="M16" s="759" t="s">
        <v>95</v>
      </c>
      <c r="N16" s="759" t="s">
        <v>95</v>
      </c>
      <c r="O16" s="759" t="s">
        <v>95</v>
      </c>
      <c r="P16" s="768" t="s">
        <v>84</v>
      </c>
      <c r="Q16" s="756" t="s">
        <v>95</v>
      </c>
      <c r="R16" s="759" t="s">
        <v>95</v>
      </c>
      <c r="S16" s="759" t="s">
        <v>95</v>
      </c>
      <c r="T16" s="759" t="s">
        <v>95</v>
      </c>
      <c r="U16" s="759" t="s">
        <v>95</v>
      </c>
      <c r="V16" s="757" t="s">
        <v>84</v>
      </c>
      <c r="W16" s="758" t="s">
        <v>84</v>
      </c>
      <c r="X16" s="759" t="s">
        <v>95</v>
      </c>
      <c r="Y16" s="759" t="s">
        <v>95</v>
      </c>
      <c r="Z16" s="759" t="s">
        <v>95</v>
      </c>
      <c r="AA16" s="759" t="s">
        <v>95</v>
      </c>
      <c r="AB16" s="759" t="s">
        <v>95</v>
      </c>
      <c r="AC16" s="759" t="s">
        <v>95</v>
      </c>
      <c r="AD16" s="768" t="s">
        <v>84</v>
      </c>
      <c r="AE16" s="756" t="s">
        <v>95</v>
      </c>
      <c r="AF16" s="759" t="s">
        <v>95</v>
      </c>
      <c r="AG16" s="759" t="s">
        <v>95</v>
      </c>
      <c r="AH16" s="791" t="s">
        <v>95</v>
      </c>
      <c r="AI16" s="137" t="s">
        <v>95</v>
      </c>
      <c r="AJ16" s="137" t="s">
        <v>38</v>
      </c>
      <c r="AK16" s="138" t="s">
        <v>84</v>
      </c>
      <c r="AL16" s="137" t="s">
        <v>81</v>
      </c>
      <c r="AM16" s="137" t="s">
        <v>88</v>
      </c>
      <c r="AN16" s="137" t="s">
        <v>96</v>
      </c>
      <c r="AO16" s="139" t="s">
        <v>97</v>
      </c>
    </row>
    <row r="17" spans="1:41" ht="18" customHeight="1">
      <c r="A17" s="1373"/>
      <c r="B17" s="56" t="s">
        <v>100</v>
      </c>
      <c r="C17" s="53" t="s">
        <v>16</v>
      </c>
      <c r="D17" s="54">
        <v>469319</v>
      </c>
      <c r="E17" s="645"/>
      <c r="F17" s="646"/>
      <c r="G17" s="646"/>
      <c r="H17" s="646"/>
      <c r="I17" s="647"/>
      <c r="J17" s="646"/>
      <c r="K17" s="646"/>
      <c r="L17" s="646"/>
      <c r="M17" s="646"/>
      <c r="N17" s="646"/>
      <c r="O17" s="646"/>
      <c r="P17" s="762"/>
      <c r="Q17" s="780" t="s">
        <v>88</v>
      </c>
      <c r="R17" s="794" t="s">
        <v>88</v>
      </c>
      <c r="S17" s="794" t="s">
        <v>88</v>
      </c>
      <c r="T17" s="794" t="s">
        <v>81</v>
      </c>
      <c r="U17" s="794" t="s">
        <v>81</v>
      </c>
      <c r="V17" s="646"/>
      <c r="W17" s="647"/>
      <c r="X17" s="646"/>
      <c r="Y17" s="794" t="s">
        <v>207</v>
      </c>
      <c r="Z17" s="646"/>
      <c r="AA17" s="646"/>
      <c r="AB17" s="646"/>
      <c r="AC17" s="646"/>
      <c r="AD17" s="762"/>
      <c r="AE17" s="645" t="s">
        <v>122</v>
      </c>
      <c r="AF17" s="646" t="s">
        <v>122</v>
      </c>
      <c r="AG17" s="646"/>
      <c r="AH17" s="647"/>
      <c r="AI17" s="89" cm="1">
        <f t="array" ref="AI17">SUMPRODUCT(($E$16:$AH$16="HR")*($E$17:$AH$17=""))+SUMPRODUCT(($E$17:$AH$17="HR")*1)</f>
        <v>16</v>
      </c>
      <c r="AJ17" s="89" cm="1">
        <f t="array" ref="AJ17">SUMPRODUCT(($E$16:$AH$16="N0")*($E$17:$AH$17=""))+SUMPRODUCT(($E$17:$AH$17="N")*1)</f>
        <v>0</v>
      </c>
      <c r="AK17" s="89" cm="1">
        <f t="array" ref="AK17">SUMPRODUCT(($E$16:$AH$16="RD")*($E$17:$AH$17=""))+SUMPRODUCT(($E$17:$AH$17="RD")*1)</f>
        <v>6</v>
      </c>
      <c r="AL17" s="89" cm="1">
        <f t="array" ref="AL17">SUMPRODUCT(($E$17:$AH$17="AL")*1)</f>
        <v>2</v>
      </c>
      <c r="AM17" s="89" cm="1">
        <f t="array" ref="AM17">SUMPRODUCT(($E$17:$AH$17="SH")*1)</f>
        <v>3</v>
      </c>
      <c r="AN17" s="89" cm="1">
        <f t="array" ref="AN17">SUMPRODUCT(($E$17:$AH$17="SL")*1)</f>
        <v>0</v>
      </c>
      <c r="AO17" s="140" t="e">
        <f>#REF!-AI17-AJ17-AK17-AL17-AM17-AN17</f>
        <v>#REF!</v>
      </c>
    </row>
    <row r="18" spans="1:41" ht="18" customHeight="1">
      <c r="A18" s="1340" t="s">
        <v>101</v>
      </c>
      <c r="B18" s="1343" t="s">
        <v>93</v>
      </c>
      <c r="C18" s="1344"/>
      <c r="D18" s="1345"/>
      <c r="E18" s="756" t="s">
        <v>94</v>
      </c>
      <c r="F18" s="759" t="s">
        <v>94</v>
      </c>
      <c r="G18" s="759" t="s">
        <v>94</v>
      </c>
      <c r="H18" s="757" t="s">
        <v>84</v>
      </c>
      <c r="I18" s="758" t="s">
        <v>84</v>
      </c>
      <c r="J18" s="769" t="s">
        <v>95</v>
      </c>
      <c r="K18" s="769" t="s">
        <v>95</v>
      </c>
      <c r="L18" s="769" t="s">
        <v>95</v>
      </c>
      <c r="M18" s="769" t="s">
        <v>95</v>
      </c>
      <c r="N18" s="769" t="s">
        <v>95</v>
      </c>
      <c r="O18" s="770" t="s">
        <v>84</v>
      </c>
      <c r="P18" s="760" t="s">
        <v>84</v>
      </c>
      <c r="Q18" s="756" t="s">
        <v>94</v>
      </c>
      <c r="R18" s="759" t="s">
        <v>94</v>
      </c>
      <c r="S18" s="759" t="s">
        <v>94</v>
      </c>
      <c r="T18" s="759" t="s">
        <v>94</v>
      </c>
      <c r="U18" s="759" t="s">
        <v>94</v>
      </c>
      <c r="V18" s="757" t="s">
        <v>84</v>
      </c>
      <c r="W18" s="771" t="s">
        <v>94</v>
      </c>
      <c r="X18" s="772" t="s">
        <v>94</v>
      </c>
      <c r="Y18" s="772" t="s">
        <v>94</v>
      </c>
      <c r="Z18" s="772" t="s">
        <v>94</v>
      </c>
      <c r="AA18" s="772" t="s">
        <v>94</v>
      </c>
      <c r="AB18" s="772" t="s">
        <v>94</v>
      </c>
      <c r="AC18" s="757" t="s">
        <v>84</v>
      </c>
      <c r="AD18" s="761" t="s">
        <v>94</v>
      </c>
      <c r="AE18" s="756" t="s">
        <v>94</v>
      </c>
      <c r="AF18" s="759" t="s">
        <v>94</v>
      </c>
      <c r="AG18" s="759" t="s">
        <v>94</v>
      </c>
      <c r="AH18" s="791" t="s">
        <v>94</v>
      </c>
      <c r="AI18" s="137" t="s">
        <v>95</v>
      </c>
      <c r="AJ18" s="137" t="s">
        <v>38</v>
      </c>
      <c r="AK18" s="138" t="s">
        <v>84</v>
      </c>
      <c r="AL18" s="137" t="s">
        <v>81</v>
      </c>
      <c r="AM18" s="137" t="s">
        <v>88</v>
      </c>
      <c r="AN18" s="137" t="s">
        <v>96</v>
      </c>
      <c r="AO18" s="139" t="s">
        <v>97</v>
      </c>
    </row>
    <row r="19" spans="1:41" ht="18" customHeight="1">
      <c r="A19" s="1341"/>
      <c r="B19" s="121" t="s">
        <v>14</v>
      </c>
      <c r="C19" s="111" t="s">
        <v>16</v>
      </c>
      <c r="D19" s="112">
        <v>321508</v>
      </c>
      <c r="E19" s="232"/>
      <c r="F19" s="221"/>
      <c r="G19" s="221"/>
      <c r="H19" s="221"/>
      <c r="I19" s="222"/>
      <c r="J19" s="221"/>
      <c r="K19" s="221"/>
      <c r="L19" s="221"/>
      <c r="N19" s="221"/>
      <c r="O19" s="221"/>
      <c r="P19" s="234"/>
      <c r="Q19" s="207" t="s">
        <v>88</v>
      </c>
      <c r="R19" s="221"/>
      <c r="S19" s="221"/>
      <c r="T19" s="221"/>
      <c r="U19" s="221"/>
      <c r="V19" s="221"/>
      <c r="W19" s="222"/>
      <c r="X19" s="221"/>
      <c r="Y19" s="221"/>
      <c r="Z19" s="221"/>
      <c r="AA19" s="221"/>
      <c r="AB19" s="221"/>
      <c r="AC19" s="221"/>
      <c r="AD19" s="234"/>
      <c r="AE19" s="232"/>
      <c r="AF19" s="221"/>
      <c r="AG19" s="221"/>
      <c r="AH19" s="222"/>
      <c r="AI19" s="89" cm="1">
        <f t="array" ref="AI19">SUMPRODUCT(($E$18:$AH$18="HR")*(E19:AH19=""))+SUMPRODUCT((E19:AH19="HR")*1)</f>
        <v>5</v>
      </c>
      <c r="AJ19" s="89" cm="1">
        <f t="array" ref="AJ19">SUMPRODUCT(($E$18:$AH$18="N0")*(E19:AH19=""))+SUMPRODUCT((E19:AH19="N")*1)</f>
        <v>18</v>
      </c>
      <c r="AK19" s="88" cm="1">
        <f t="array" ref="AK19">SUMPRODUCT(($E$18:$AH$18="RD")*(E19:AH19=""))+SUMPRODUCT((E19:AH19="RD")*1)</f>
        <v>6</v>
      </c>
      <c r="AL19" s="89" cm="1">
        <f t="array" ref="AL19">SUMPRODUCT((F19:AH19="AL")*1)</f>
        <v>0</v>
      </c>
      <c r="AM19" s="89" cm="1">
        <f t="array" ref="AM19">SUMPRODUCT((F19:AH19="SH")*1)</f>
        <v>1</v>
      </c>
      <c r="AN19" s="89" cm="1">
        <f t="array" ref="AN19">SUMPRODUCT((E19:AH19="SL")*1)</f>
        <v>0</v>
      </c>
      <c r="AO19" s="140" t="e">
        <f>#REF!-AI19-AJ19-AK19-AL19-AM19-AN19</f>
        <v>#REF!</v>
      </c>
    </row>
    <row r="20" spans="1:41" ht="16.5" customHeight="1">
      <c r="A20" s="1341"/>
      <c r="B20" s="118" t="s">
        <v>102</v>
      </c>
      <c r="C20" s="99" t="s">
        <v>16</v>
      </c>
      <c r="D20" s="103">
        <v>461865</v>
      </c>
      <c r="E20" s="28"/>
      <c r="F20" s="183"/>
      <c r="G20" s="183" t="s">
        <v>88</v>
      </c>
      <c r="H20" s="29"/>
      <c r="I20" s="30"/>
      <c r="J20" s="183" t="s">
        <v>81</v>
      </c>
      <c r="K20" s="183" t="s">
        <v>81</v>
      </c>
      <c r="L20" s="29"/>
      <c r="M20" s="29"/>
      <c r="N20" s="29"/>
      <c r="O20" s="29"/>
      <c r="P20" s="65"/>
      <c r="Q20" s="28"/>
      <c r="R20" s="29"/>
      <c r="S20" s="29"/>
      <c r="T20" s="29"/>
      <c r="U20" s="29"/>
      <c r="V20" s="29" t="s">
        <v>161</v>
      </c>
      <c r="W20" s="30"/>
      <c r="X20" s="29"/>
      <c r="Y20" s="29"/>
      <c r="Z20" s="29"/>
      <c r="AA20" s="29"/>
      <c r="AB20" s="29"/>
      <c r="AC20" s="29"/>
      <c r="AD20" s="65"/>
      <c r="AE20" s="28"/>
      <c r="AF20" s="29"/>
      <c r="AG20" s="29"/>
      <c r="AH20" s="30"/>
      <c r="AI20" s="89" cm="1">
        <f t="array" ref="AI20">SUMPRODUCT(($E$18:$AH$18="HR")*(E20:AH20=""))+SUMPRODUCT((E20:AH20="HR")*1)</f>
        <v>3</v>
      </c>
      <c r="AJ20" s="89" cm="1">
        <f t="array" ref="AJ20">SUMPRODUCT(($E$18:$AH$18="N0")*(E20:AH20=""))+SUMPRODUCT((E20:AH20="N")*1)</f>
        <v>18</v>
      </c>
      <c r="AK20" s="88" cm="1">
        <f t="array" ref="AK20">SUMPRODUCT(($E$18:$AH$18="RD")*(E20:AH20=""))+SUMPRODUCT((E20:AH20="RD")*1)</f>
        <v>5</v>
      </c>
      <c r="AL20" s="89" cm="1">
        <f t="array" ref="AL20">SUMPRODUCT((F20:AH20="AL")*1)</f>
        <v>2</v>
      </c>
      <c r="AM20" s="89" cm="1">
        <f t="array" ref="AM20">SUMPRODUCT((F20:AH20="SH")*1)</f>
        <v>1</v>
      </c>
      <c r="AN20" s="89" cm="1">
        <f t="array" ref="AN20">SUMPRODUCT((E20:AH20="SL")*1)</f>
        <v>0</v>
      </c>
      <c r="AO20" s="140" t="e">
        <f>#REF!-AI20-AJ20-AK20-AL20-AM20-AN20</f>
        <v>#REF!</v>
      </c>
    </row>
    <row r="21" spans="1:41" ht="18" customHeight="1">
      <c r="A21" s="1341"/>
      <c r="B21" s="101" t="s">
        <v>41</v>
      </c>
      <c r="C21" s="99" t="s">
        <v>27</v>
      </c>
      <c r="D21" s="103">
        <v>676095</v>
      </c>
      <c r="E21" s="28"/>
      <c r="F21" s="29"/>
      <c r="G21" s="183" t="s">
        <v>88</v>
      </c>
      <c r="H21" s="29"/>
      <c r="I21" s="30"/>
      <c r="J21" s="79" t="s">
        <v>88</v>
      </c>
      <c r="K21" s="114" t="s">
        <v>88</v>
      </c>
      <c r="L21" s="748" t="s">
        <v>88</v>
      </c>
      <c r="M21" s="183" t="s">
        <v>88</v>
      </c>
      <c r="N21" s="186" t="s">
        <v>88</v>
      </c>
      <c r="O21" s="29"/>
      <c r="P21" s="65"/>
      <c r="Q21" s="206" t="s">
        <v>96</v>
      </c>
      <c r="R21" s="29" t="s">
        <v>95</v>
      </c>
      <c r="S21" s="29" t="s">
        <v>105</v>
      </c>
      <c r="T21" s="29" t="s">
        <v>95</v>
      </c>
      <c r="U21" s="29" t="s">
        <v>208</v>
      </c>
      <c r="V21" s="29"/>
      <c r="W21" s="30"/>
      <c r="X21" s="29"/>
      <c r="Y21" s="29"/>
      <c r="Z21" s="29"/>
      <c r="AA21" s="183" t="s">
        <v>84</v>
      </c>
      <c r="AB21" s="29" t="s">
        <v>108</v>
      </c>
      <c r="AC21" s="29"/>
      <c r="AD21" s="65"/>
      <c r="AE21" s="28"/>
      <c r="AF21" s="29"/>
      <c r="AG21" s="29"/>
      <c r="AH21" s="30"/>
      <c r="AI21" s="89" cm="1">
        <f t="array" ref="AI21">SUMPRODUCT(($E$18:$AH$18="HR")*(E21:AH21=""))+SUMPRODUCT((E21:AH21="HR")*1)</f>
        <v>2</v>
      </c>
      <c r="AJ21" s="89" cm="1">
        <f t="array" ref="AJ21">SUMPRODUCT(($E$18:$AH$18="N0")*(E21:AH21=""))+SUMPRODUCT((E21:AH21="N")*1)</f>
        <v>11</v>
      </c>
      <c r="AK21" s="88" cm="1">
        <f t="array" ref="AK21">SUMPRODUCT(($E$18:$AH$18="RD")*(E21:AH21=""))+SUMPRODUCT((E21:AH21="RD")*1)</f>
        <v>7</v>
      </c>
      <c r="AL21" s="89" cm="1">
        <f t="array" ref="AL21">SUMPRODUCT((F21:AH21="AL")*1)</f>
        <v>0</v>
      </c>
      <c r="AM21" s="89" cm="1">
        <f t="array" ref="AM21">SUMPRODUCT((F21:AH21="SH")*1)</f>
        <v>6</v>
      </c>
      <c r="AN21" s="89" cm="1">
        <f t="array" ref="AN21">SUMPRODUCT((E21:AH21="SL")*1)</f>
        <v>1</v>
      </c>
      <c r="AO21" s="140" t="e">
        <f>#REF!-AI21-AJ21-AK21-AL21-AM21-AN21</f>
        <v>#REF!</v>
      </c>
    </row>
    <row r="22" spans="1:41" ht="18" customHeight="1">
      <c r="A22" s="1341"/>
      <c r="B22" s="118" t="s">
        <v>104</v>
      </c>
      <c r="C22" s="99" t="s">
        <v>27</v>
      </c>
      <c r="D22" s="103">
        <v>681383</v>
      </c>
      <c r="E22" s="28"/>
      <c r="F22" s="29"/>
      <c r="G22" s="29"/>
      <c r="H22" s="29"/>
      <c r="I22" s="30"/>
      <c r="J22" s="29"/>
      <c r="K22" s="29"/>
      <c r="L22" s="29"/>
      <c r="M22" s="29"/>
      <c r="N22" s="29"/>
      <c r="O22" s="29"/>
      <c r="P22" s="65"/>
      <c r="Q22" s="28"/>
      <c r="R22" s="29"/>
      <c r="S22" s="29"/>
      <c r="U22" s="29"/>
      <c r="V22" s="29"/>
      <c r="W22" s="185" t="s">
        <v>88</v>
      </c>
      <c r="X22" s="183" t="s">
        <v>88</v>
      </c>
      <c r="Y22" s="29" t="s">
        <v>209</v>
      </c>
      <c r="Z22" s="29"/>
      <c r="AA22" s="29"/>
      <c r="AB22" s="29"/>
      <c r="AC22" s="29"/>
      <c r="AD22" s="235" t="s">
        <v>84</v>
      </c>
      <c r="AE22" s="28" t="s">
        <v>95</v>
      </c>
      <c r="AF22" s="29" t="s">
        <v>149</v>
      </c>
      <c r="AG22" s="29"/>
      <c r="AH22" s="30"/>
      <c r="AI22" s="89" cm="1">
        <f t="array" ref="AI22">SUMPRODUCT(($E$18:$AH$18="HR")*(E22:AH22=""))+SUMPRODUCT((E22:AH22="HR")*1)</f>
        <v>6</v>
      </c>
      <c r="AJ22" s="89" cm="1">
        <f t="array" ref="AJ22">SUMPRODUCT(($E$18:$AH$18="N0")*(E22:AH22=""))+SUMPRODUCT((E22:AH22="N")*1)</f>
        <v>13</v>
      </c>
      <c r="AK22" s="88" cm="1">
        <f t="array" ref="AK22">SUMPRODUCT(($E$18:$AH$18="RD")*(E22:AH22=""))+SUMPRODUCT((E22:AH22="RD")*1)</f>
        <v>7</v>
      </c>
      <c r="AL22" s="89" cm="1">
        <f t="array" ref="AL22">SUMPRODUCT((F22:AH22="AL")*1)</f>
        <v>0</v>
      </c>
      <c r="AM22" s="89" cm="1">
        <f t="array" ref="AM22">SUMPRODUCT((F22:AH22="SH")*1)</f>
        <v>2</v>
      </c>
      <c r="AN22" s="89" cm="1">
        <f t="array" ref="AN22">SUMPRODUCT((E22:AH22="SL")*1)</f>
        <v>0</v>
      </c>
      <c r="AO22" s="140" t="e">
        <f>#REF!-AI22-AJ22-AK22-AL22-AM22-AN22</f>
        <v>#REF!</v>
      </c>
    </row>
    <row r="23" spans="1:41" ht="18" customHeight="1">
      <c r="A23" s="1341"/>
      <c r="B23" s="100" t="s">
        <v>30</v>
      </c>
      <c r="C23" s="99" t="s">
        <v>32</v>
      </c>
      <c r="D23" s="103">
        <v>679417</v>
      </c>
      <c r="E23" s="28"/>
      <c r="F23" s="29"/>
      <c r="G23" s="29"/>
      <c r="H23" s="29"/>
      <c r="I23" s="30"/>
      <c r="J23" s="183" t="s">
        <v>88</v>
      </c>
      <c r="K23" s="183" t="s">
        <v>88</v>
      </c>
      <c r="L23" s="183" t="s">
        <v>88</v>
      </c>
      <c r="M23" s="183" t="s">
        <v>88</v>
      </c>
      <c r="N23" s="183" t="s">
        <v>88</v>
      </c>
      <c r="O23" s="29"/>
      <c r="P23" s="65"/>
      <c r="Q23" s="28"/>
      <c r="R23" s="29"/>
      <c r="S23" s="29"/>
      <c r="T23" s="29"/>
      <c r="U23" s="29"/>
      <c r="V23" s="29"/>
      <c r="W23" s="30"/>
      <c r="X23" s="29"/>
      <c r="Y23" s="29"/>
      <c r="Z23" s="29"/>
      <c r="AA23" s="29"/>
      <c r="AB23" s="29"/>
      <c r="AC23" s="29"/>
      <c r="AD23" s="65"/>
      <c r="AE23" s="28"/>
      <c r="AF23" s="29"/>
      <c r="AG23" s="29"/>
      <c r="AH23" s="30"/>
      <c r="AI23" s="89" cm="1">
        <f t="array" ref="AI23">SUMPRODUCT(($E$18:$AH$18="HR")*(E23:AH23=""))+SUMPRODUCT((E23:AH23="HR")*1)</f>
        <v>0</v>
      </c>
      <c r="AJ23" s="89" cm="1">
        <f t="array" ref="AJ23">SUMPRODUCT(($E$18:$AH$18="N0")*(E23:AH23=""))+SUMPRODUCT((E23:AH23="N")*1)</f>
        <v>19</v>
      </c>
      <c r="AK23" s="88" cm="1">
        <f t="array" ref="AK23">SUMPRODUCT(($E$18:$AH$18="RD")*(E23:AH23=""))+SUMPRODUCT((E23:AH23="RD")*1)</f>
        <v>6</v>
      </c>
      <c r="AL23" s="89" cm="1">
        <f t="array" ref="AL23">SUMPRODUCT((F23:AH23="AL")*1)</f>
        <v>0</v>
      </c>
      <c r="AM23" s="89" cm="1">
        <f t="array" ref="AM23">SUMPRODUCT((F23:AH23="SH")*1)</f>
        <v>5</v>
      </c>
      <c r="AN23" s="89" cm="1">
        <f t="array" ref="AN23">SUMPRODUCT((E23:AH23="SL")*1)</f>
        <v>0</v>
      </c>
      <c r="AO23" s="140" t="e">
        <f>#REF!-AI23-AJ23-AK23-AL23-AM23-AN23</f>
        <v>#REF!</v>
      </c>
    </row>
    <row r="24" spans="1:41" ht="18" customHeight="1">
      <c r="A24" s="1342"/>
      <c r="B24" s="119" t="s">
        <v>48</v>
      </c>
      <c r="C24" s="106" t="s">
        <v>27</v>
      </c>
      <c r="D24" s="157">
        <v>684061</v>
      </c>
      <c r="E24" s="247"/>
      <c r="F24" s="244"/>
      <c r="G24" s="244"/>
      <c r="H24" s="244"/>
      <c r="I24" s="248"/>
      <c r="J24" s="241" t="s">
        <v>88</v>
      </c>
      <c r="K24" s="241" t="s">
        <v>88</v>
      </c>
      <c r="L24" s="244"/>
      <c r="M24" s="244"/>
      <c r="N24" s="244"/>
      <c r="O24" s="244"/>
      <c r="P24" s="250"/>
      <c r="Q24" s="247"/>
      <c r="R24" s="244"/>
      <c r="S24" s="244"/>
      <c r="T24" s="244"/>
      <c r="U24" s="244"/>
      <c r="V24" s="244"/>
      <c r="W24" s="248"/>
      <c r="X24" s="244"/>
      <c r="Y24" s="244"/>
      <c r="Z24" s="244"/>
      <c r="AA24" s="244"/>
      <c r="AB24" s="244"/>
      <c r="AC24" s="244"/>
      <c r="AD24" s="250"/>
      <c r="AE24" s="247"/>
      <c r="AF24" s="244"/>
      <c r="AG24" s="244"/>
      <c r="AH24" s="248"/>
      <c r="AI24" s="89" cm="1">
        <f t="array" ref="AI24">SUMPRODUCT(($E$18:$AH$18="HR")*(E24:AH24=""))+SUMPRODUCT((E24:AH24="HR")*1)</f>
        <v>3</v>
      </c>
      <c r="AJ24" s="89" cm="1">
        <f t="array" ref="AJ24">SUMPRODUCT(($E$18:$AH$18="N0")*(E24:AH24=""))+SUMPRODUCT((E24:AH24="N")*1)</f>
        <v>19</v>
      </c>
      <c r="AK24" s="88" cm="1">
        <f t="array" ref="AK24">SUMPRODUCT(($E$18:$AH$18="RD")*(E24:AH24=""))+SUMPRODUCT((E24:AH24="RD")*1)</f>
        <v>6</v>
      </c>
      <c r="AL24" s="89" cm="1">
        <f t="array" ref="AL24">SUMPRODUCT((F24:AH24="AL")*1)</f>
        <v>0</v>
      </c>
      <c r="AM24" s="89" cm="1">
        <f t="array" ref="AM24">SUMPRODUCT((F24:AH24="SH")*1)</f>
        <v>2</v>
      </c>
      <c r="AN24" s="89" cm="1">
        <f t="array" ref="AN24">SUMPRODUCT((E24:AH24="SL")*1)</f>
        <v>0</v>
      </c>
      <c r="AO24" s="140" t="e">
        <f>#REF!-AI24-AJ24-AK24-AL24-AM24-AN24</f>
        <v>#REF!</v>
      </c>
    </row>
    <row r="25" spans="1:41" ht="18" customHeight="1">
      <c r="A25" s="1331" t="s">
        <v>109</v>
      </c>
      <c r="B25" s="1330" t="s">
        <v>110</v>
      </c>
      <c r="C25" s="1330"/>
      <c r="D25" s="1330"/>
      <c r="E25" s="773" t="s">
        <v>94</v>
      </c>
      <c r="F25" s="772" t="s">
        <v>94</v>
      </c>
      <c r="G25" s="772" t="s">
        <v>94</v>
      </c>
      <c r="H25" s="770" t="s">
        <v>84</v>
      </c>
      <c r="I25" s="771" t="s">
        <v>94</v>
      </c>
      <c r="J25" s="772" t="s">
        <v>94</v>
      </c>
      <c r="K25" s="772" t="s">
        <v>94</v>
      </c>
      <c r="L25" s="772" t="s">
        <v>94</v>
      </c>
      <c r="M25" s="772" t="s">
        <v>94</v>
      </c>
      <c r="N25" s="772" t="s">
        <v>94</v>
      </c>
      <c r="O25" s="770" t="s">
        <v>84</v>
      </c>
      <c r="P25" s="760" t="s">
        <v>84</v>
      </c>
      <c r="Q25" s="774" t="s">
        <v>95</v>
      </c>
      <c r="R25" s="769" t="s">
        <v>95</v>
      </c>
      <c r="S25" s="769" t="s">
        <v>95</v>
      </c>
      <c r="T25" s="769" t="s">
        <v>95</v>
      </c>
      <c r="U25" s="769" t="s">
        <v>95</v>
      </c>
      <c r="V25" s="770" t="s">
        <v>84</v>
      </c>
      <c r="W25" s="775" t="s">
        <v>84</v>
      </c>
      <c r="X25" s="772" t="s">
        <v>94</v>
      </c>
      <c r="Y25" s="772" t="s">
        <v>94</v>
      </c>
      <c r="Z25" s="772" t="s">
        <v>94</v>
      </c>
      <c r="AA25" s="772" t="s">
        <v>94</v>
      </c>
      <c r="AB25" s="772" t="s">
        <v>94</v>
      </c>
      <c r="AC25" s="770" t="s">
        <v>84</v>
      </c>
      <c r="AD25" s="776" t="s">
        <v>94</v>
      </c>
      <c r="AE25" s="773" t="s">
        <v>94</v>
      </c>
      <c r="AF25" s="772" t="s">
        <v>94</v>
      </c>
      <c r="AG25" s="772" t="s">
        <v>94</v>
      </c>
      <c r="AH25" s="771" t="s">
        <v>94</v>
      </c>
      <c r="AI25" s="137" t="s">
        <v>95</v>
      </c>
      <c r="AJ25" s="137" t="s">
        <v>38</v>
      </c>
      <c r="AK25" s="138" t="s">
        <v>84</v>
      </c>
      <c r="AL25" s="137" t="s">
        <v>81</v>
      </c>
      <c r="AM25" s="137" t="s">
        <v>88</v>
      </c>
      <c r="AN25" s="137" t="s">
        <v>96</v>
      </c>
      <c r="AO25" s="139" t="s">
        <v>97</v>
      </c>
    </row>
    <row r="26" spans="1:41" ht="18" customHeight="1">
      <c r="A26" s="1331"/>
      <c r="B26" s="46" t="s">
        <v>111</v>
      </c>
      <c r="C26" s="27" t="s">
        <v>16</v>
      </c>
      <c r="D26" s="21">
        <v>265691</v>
      </c>
      <c r="E26" s="232"/>
      <c r="F26" s="221"/>
      <c r="G26" s="221"/>
      <c r="H26" s="221"/>
      <c r="I26" s="222"/>
      <c r="J26" s="221"/>
      <c r="K26" s="221"/>
      <c r="L26" s="221"/>
      <c r="M26" s="221"/>
      <c r="N26" s="221"/>
      <c r="O26" s="221"/>
      <c r="P26" s="234"/>
      <c r="Q26" s="232"/>
      <c r="R26" s="221" t="s">
        <v>122</v>
      </c>
      <c r="S26" s="221" t="s">
        <v>122</v>
      </c>
      <c r="T26" s="843" t="s">
        <v>96</v>
      </c>
      <c r="U26" s="221"/>
      <c r="V26" s="221"/>
      <c r="W26" s="222"/>
      <c r="X26" s="221"/>
      <c r="Y26" s="221"/>
      <c r="Z26" s="221"/>
      <c r="AA26" s="221"/>
      <c r="AB26" s="221"/>
      <c r="AC26" s="221"/>
      <c r="AD26" s="234"/>
      <c r="AE26" s="232"/>
      <c r="AF26" s="221"/>
      <c r="AG26" s="221"/>
      <c r="AH26" s="222"/>
      <c r="AI26" s="89" cm="1">
        <f t="array" ref="AI26">SUMPRODUCT(($E$25:$AH$25="HR")*(E26:AH26=""))+SUMPRODUCT((E26:AH26="HR")*1)</f>
        <v>2</v>
      </c>
      <c r="AJ26" s="89" cm="1">
        <f t="array" ref="AJ26">SUMPRODUCT(($E$25:$AH$25="N0")*(E26:AH26=""))+SUMPRODUCT((E26:AH26="N")*1)</f>
        <v>19</v>
      </c>
      <c r="AK26" s="88" cm="1">
        <f t="array" ref="AK26">SUMPRODUCT(($E$25:$AH$25="RD")*(E26:AH26=""))+SUMPRODUCT((E26:AH26="RD")*1)</f>
        <v>6</v>
      </c>
      <c r="AL26" s="89" cm="1">
        <f t="array" ref="AL26">SUMPRODUCT((F26:AH26="AL")*1)</f>
        <v>0</v>
      </c>
      <c r="AM26" s="89" cm="1">
        <f t="array" ref="AM26">SUMPRODUCT((F26:AH26="SH")*1)</f>
        <v>0</v>
      </c>
      <c r="AN26" s="89" cm="1">
        <f t="array" ref="AN26">SUMPRODUCT((E26:AH26="SL")*1)</f>
        <v>1</v>
      </c>
      <c r="AO26" s="140" t="e">
        <f>#REF!-AI26-AJ26-AK26-AL26-AM26-AN26</f>
        <v>#REF!</v>
      </c>
    </row>
    <row r="27" spans="1:41" ht="18" customHeight="1">
      <c r="A27" s="1331"/>
      <c r="B27" s="125" t="s">
        <v>113</v>
      </c>
      <c r="C27" s="16" t="s">
        <v>16</v>
      </c>
      <c r="D27" s="22">
        <v>422401</v>
      </c>
      <c r="E27" s="28"/>
      <c r="F27" s="29"/>
      <c r="G27" s="29"/>
      <c r="H27" s="29"/>
      <c r="I27" s="30"/>
      <c r="J27" s="29"/>
      <c r="K27" s="29"/>
      <c r="L27" s="29"/>
      <c r="M27" s="29"/>
      <c r="N27" s="29"/>
      <c r="O27" s="29"/>
      <c r="P27" s="65"/>
      <c r="Q27" s="28"/>
      <c r="R27" s="29"/>
      <c r="S27" s="29"/>
      <c r="T27" s="29" t="s">
        <v>140</v>
      </c>
      <c r="U27" s="183" t="s">
        <v>88</v>
      </c>
      <c r="V27" s="29"/>
      <c r="W27" s="30"/>
      <c r="X27" s="29"/>
      <c r="Y27" s="29"/>
      <c r="Z27" s="29"/>
      <c r="AA27" s="29"/>
      <c r="AB27" s="29"/>
      <c r="AC27" s="29"/>
      <c r="AD27" s="65"/>
      <c r="AE27" s="28"/>
      <c r="AF27" s="29"/>
      <c r="AG27" s="29"/>
      <c r="AH27" s="30"/>
      <c r="AI27" s="89" cm="1">
        <f t="array" ref="AI27">SUMPRODUCT(($E$25:$AH$25="HR")*(E27:AH27=""))+SUMPRODUCT((E27:AH27="HR")*1)</f>
        <v>3</v>
      </c>
      <c r="AJ27" s="89" cm="1">
        <f t="array" ref="AJ27">SUMPRODUCT(($E$25:$AH$25="N0")*(E27:AH27=""))+SUMPRODUCT((E27:AH27="N")*1)</f>
        <v>19</v>
      </c>
      <c r="AK27" s="88" cm="1">
        <f t="array" ref="AK27">SUMPRODUCT(($E$25:$AH$25="RD")*(E27:AH27=""))+SUMPRODUCT((E27:AH27="RD")*1)</f>
        <v>6</v>
      </c>
      <c r="AL27" s="89" cm="1">
        <f t="array" ref="AL27">SUMPRODUCT((F27:AH27="AL")*1)</f>
        <v>0</v>
      </c>
      <c r="AM27" s="89" cm="1">
        <f t="array" ref="AM27">SUMPRODUCT((F27:AH27="SH")*1)</f>
        <v>1</v>
      </c>
      <c r="AN27" s="89" cm="1">
        <f t="array" ref="AN27">SUMPRODUCT((E27:AH27="SL")*1)</f>
        <v>0</v>
      </c>
      <c r="AO27" s="140" t="e">
        <f>#REF!-AI27-AJ27-AK27-AL27-AM27-AN27</f>
        <v>#REF!</v>
      </c>
    </row>
    <row r="28" spans="1:41" ht="18" customHeight="1">
      <c r="A28" s="1331"/>
      <c r="B28" s="102" t="s">
        <v>29</v>
      </c>
      <c r="C28" s="16" t="s">
        <v>27</v>
      </c>
      <c r="D28" s="22">
        <v>679365</v>
      </c>
      <c r="E28" s="28"/>
      <c r="F28" s="29"/>
      <c r="G28" s="183" t="s">
        <v>81</v>
      </c>
      <c r="H28" s="29"/>
      <c r="I28" s="185" t="s">
        <v>81</v>
      </c>
      <c r="J28" s="183" t="s">
        <v>81</v>
      </c>
      <c r="K28" s="183" t="s">
        <v>81</v>
      </c>
      <c r="L28" s="186" t="s">
        <v>88</v>
      </c>
      <c r="M28" s="183" t="s">
        <v>88</v>
      </c>
      <c r="N28" s="183" t="s">
        <v>88</v>
      </c>
      <c r="O28" s="29"/>
      <c r="P28" s="65"/>
      <c r="Q28" s="28"/>
      <c r="R28" s="29" t="s">
        <v>210</v>
      </c>
      <c r="S28" s="29"/>
      <c r="T28" s="29"/>
      <c r="U28" s="29"/>
      <c r="V28" s="29"/>
      <c r="W28" s="30"/>
      <c r="X28" s="29"/>
      <c r="Y28" s="29"/>
      <c r="Z28" s="29"/>
      <c r="AA28" s="29"/>
      <c r="AB28" s="29"/>
      <c r="AC28" s="29"/>
      <c r="AD28" s="65"/>
      <c r="AE28" s="28"/>
      <c r="AF28" s="29"/>
      <c r="AG28" s="29"/>
      <c r="AH28" s="30"/>
      <c r="AI28" s="89" cm="1">
        <f t="array" ref="AI28">SUMPRODUCT(($E$25:$AH$25="HR")*(E28:AH28=""))+SUMPRODUCT((E28:AH28="HR")*1)</f>
        <v>4</v>
      </c>
      <c r="AJ28" s="89" cm="1">
        <f t="array" ref="AJ28">SUMPRODUCT(($E$25:$AH$25="N0")*(E28:AH28=""))+SUMPRODUCT((E28:AH28="N")*1)</f>
        <v>12</v>
      </c>
      <c r="AK28" s="88" cm="1">
        <f t="array" ref="AK28">SUMPRODUCT(($E$25:$AH$25="RD")*(E28:AH28=""))+SUMPRODUCT((E28:AH28="RD")*1)</f>
        <v>6</v>
      </c>
      <c r="AL28" s="89" cm="1">
        <f t="array" ref="AL28">SUMPRODUCT((F28:AH28="AL")*1)</f>
        <v>4</v>
      </c>
      <c r="AM28" s="89" cm="1">
        <f t="array" ref="AM28">SUMPRODUCT((F28:AH28="SH")*1)</f>
        <v>3</v>
      </c>
      <c r="AN28" s="89" cm="1">
        <f t="array" ref="AN28">SUMPRODUCT((E28:AH28="SL")*1)</f>
        <v>0</v>
      </c>
      <c r="AO28" s="140" t="e">
        <f>#REF!-AI28-AJ28-AK28-AL28-AM28-AN28</f>
        <v>#REF!</v>
      </c>
    </row>
    <row r="29" spans="1:41" ht="18" customHeight="1">
      <c r="A29" s="1331"/>
      <c r="B29" s="97" t="s">
        <v>114</v>
      </c>
      <c r="C29" s="16" t="s">
        <v>27</v>
      </c>
      <c r="D29" s="22">
        <v>680682</v>
      </c>
      <c r="E29" s="28"/>
      <c r="F29" s="29"/>
      <c r="G29" s="183"/>
      <c r="H29" s="29"/>
      <c r="I29" s="30"/>
      <c r="J29" s="29"/>
      <c r="K29" s="29"/>
      <c r="L29" s="29"/>
      <c r="M29" s="29"/>
      <c r="N29" s="29"/>
      <c r="O29" s="29"/>
      <c r="P29" s="65"/>
      <c r="Q29" s="28"/>
      <c r="R29" s="29" t="s">
        <v>124</v>
      </c>
      <c r="S29" s="29" t="s">
        <v>137</v>
      </c>
      <c r="T29" s="29" t="s">
        <v>137</v>
      </c>
      <c r="U29" s="29" t="s">
        <v>137</v>
      </c>
      <c r="V29" s="29"/>
      <c r="W29" s="30"/>
      <c r="X29" s="29"/>
      <c r="Y29" s="29"/>
      <c r="Z29" s="29"/>
      <c r="AA29" s="29"/>
      <c r="AB29" s="29"/>
      <c r="AC29" s="29"/>
      <c r="AD29" s="65"/>
      <c r="AE29" s="28"/>
      <c r="AF29" s="29"/>
      <c r="AG29" s="29"/>
      <c r="AH29" s="30"/>
      <c r="AI29" s="89" cm="1">
        <f t="array" ref="AI29">SUMPRODUCT(($E$25:$AH$25="HR")*(E29:AH29=""))+SUMPRODUCT((E29:AH29="HR")*1)</f>
        <v>1</v>
      </c>
      <c r="AJ29" s="89" cm="1">
        <f t="array" ref="AJ29">SUMPRODUCT(($E$25:$AH$25="N0")*(E29:AH29=""))+SUMPRODUCT((E29:AH29="N")*1)</f>
        <v>19</v>
      </c>
      <c r="AK29" s="88" cm="1">
        <f t="array" ref="AK29">SUMPRODUCT(($E$25:$AH$25="RD")*(E29:AH29=""))+SUMPRODUCT((E29:AH29="RD")*1)</f>
        <v>6</v>
      </c>
      <c r="AL29" s="89" cm="1">
        <f t="array" ref="AL29">SUMPRODUCT((F29:AH29="AL")*1)</f>
        <v>0</v>
      </c>
      <c r="AM29" s="89" cm="1">
        <f t="array" ref="AM29">SUMPRODUCT((F29:AH29="SH")*1)</f>
        <v>0</v>
      </c>
      <c r="AN29" s="89" cm="1">
        <f t="array" ref="AN29">SUMPRODUCT((E29:AH29="SL")*1)</f>
        <v>0</v>
      </c>
      <c r="AO29" s="140" t="e">
        <f>#REF!-AI29-AJ29-AK29-AL29-AM29-AN29</f>
        <v>#REF!</v>
      </c>
    </row>
    <row r="30" spans="1:41" ht="18" customHeight="1">
      <c r="A30" s="1331"/>
      <c r="B30" s="605" t="s">
        <v>51</v>
      </c>
      <c r="C30" s="111" t="s">
        <v>32</v>
      </c>
      <c r="D30" s="600">
        <v>685750</v>
      </c>
      <c r="E30" s="28"/>
      <c r="F30" s="29"/>
      <c r="G30" s="29"/>
      <c r="H30" s="29"/>
      <c r="I30" s="30"/>
      <c r="J30" s="29"/>
      <c r="K30" s="29"/>
      <c r="L30" s="29"/>
      <c r="M30" s="29"/>
      <c r="N30" s="29"/>
      <c r="O30" s="29"/>
      <c r="P30" s="65"/>
      <c r="Q30" s="184" t="s">
        <v>88</v>
      </c>
      <c r="R30" s="186" t="s">
        <v>88</v>
      </c>
      <c r="S30" s="183" t="s">
        <v>88</v>
      </c>
      <c r="T30" s="183" t="s">
        <v>88</v>
      </c>
      <c r="U30" s="183" t="s">
        <v>81</v>
      </c>
      <c r="V30" s="29"/>
      <c r="W30" s="30"/>
      <c r="X30" s="29"/>
      <c r="Y30" s="29"/>
      <c r="Z30" s="29"/>
      <c r="AA30" s="29"/>
      <c r="AB30" s="29"/>
      <c r="AC30" s="29"/>
      <c r="AD30" s="65"/>
      <c r="AE30" s="28"/>
      <c r="AF30" s="29"/>
      <c r="AG30" s="29"/>
      <c r="AH30" s="30"/>
      <c r="AI30" s="89" cm="1">
        <f t="array" ref="AI30">SUMPRODUCT(($E$25:$AH$25="HR")*(E30:AH30=""))+SUMPRODUCT((E30:AH30="HR")*1)</f>
        <v>0</v>
      </c>
      <c r="AJ30" s="89" cm="1">
        <f t="array" ref="AJ30">SUMPRODUCT(($E$25:$AH$25="N0")*(E30:AH30=""))+SUMPRODUCT((E30:AH30="N")*1)</f>
        <v>19</v>
      </c>
      <c r="AK30" s="88" cm="1">
        <f t="array" ref="AK30">SUMPRODUCT(($E$25:$AH$25="RD")*(E30:AH30=""))+SUMPRODUCT((E30:AH30="RD")*1)</f>
        <v>6</v>
      </c>
      <c r="AL30" s="89" cm="1">
        <f t="array" ref="AL30">SUMPRODUCT((F30:AH30="AL")*1)</f>
        <v>1</v>
      </c>
      <c r="AM30" s="89" cm="1">
        <f t="array" ref="AM30">SUMPRODUCT((F30:AH30="SH")*1)</f>
        <v>4</v>
      </c>
      <c r="AN30" s="89" cm="1">
        <f t="array" ref="AN30">SUMPRODUCT((E30:AH30="SL")*1)</f>
        <v>0</v>
      </c>
      <c r="AO30" s="140"/>
    </row>
    <row r="31" spans="1:41" ht="18" customHeight="1">
      <c r="A31" s="1331"/>
      <c r="B31" s="889" t="s">
        <v>116</v>
      </c>
      <c r="C31" s="111" t="s">
        <v>55</v>
      </c>
      <c r="D31" s="112">
        <v>682089</v>
      </c>
      <c r="E31" s="890" t="s">
        <v>211</v>
      </c>
      <c r="F31" s="891" t="s">
        <v>211</v>
      </c>
      <c r="G31" s="891" t="s">
        <v>95</v>
      </c>
      <c r="H31" s="891"/>
      <c r="I31" s="894" t="s">
        <v>88</v>
      </c>
      <c r="J31" s="599" t="s">
        <v>88</v>
      </c>
      <c r="K31" s="891"/>
      <c r="L31" s="891"/>
      <c r="M31" s="891"/>
      <c r="N31" s="891"/>
      <c r="O31" s="891"/>
      <c r="P31" s="597"/>
      <c r="Q31" s="890"/>
      <c r="R31" s="891"/>
      <c r="S31" s="891"/>
      <c r="T31" s="891"/>
      <c r="U31" s="891"/>
      <c r="V31" s="891"/>
      <c r="W31" s="892"/>
      <c r="X31" s="891"/>
      <c r="Y31" s="891"/>
      <c r="Z31" s="891"/>
      <c r="AA31" s="891"/>
      <c r="AB31" s="891"/>
      <c r="AC31" s="891"/>
      <c r="AD31" s="597"/>
      <c r="AE31" s="890"/>
      <c r="AF31" s="891"/>
      <c r="AG31" s="891"/>
      <c r="AH31" s="892"/>
      <c r="AI31" s="89" cm="1">
        <f t="array" ref="AI31">SUMPRODUCT(($E$25:$AH$25="HR")*(E31:AH31=""))+SUMPRODUCT((E31:AH31="HR")*1)</f>
        <v>6</v>
      </c>
      <c r="AJ31" s="89" cm="1">
        <f t="array" ref="AJ31">SUMPRODUCT(($E$25:$AH$25="N0")*(E31:AH31=""))+SUMPRODUCT((E31:AH31="N")*1)</f>
        <v>14</v>
      </c>
      <c r="AK31" s="88" cm="1">
        <f t="array" ref="AK31">SUMPRODUCT(($E$25:$AH$25="RD")*(E31:AH31=""))+SUMPRODUCT((E31:AH31="RD")*1)</f>
        <v>6</v>
      </c>
      <c r="AL31" s="89" cm="1">
        <f t="array" ref="AL31">SUMPRODUCT((F31:AH31="AL")*1)</f>
        <v>0</v>
      </c>
      <c r="AM31" s="89" cm="1">
        <f t="array" ref="AM31">SUMPRODUCT((F31:AH31="SH")*1)</f>
        <v>2</v>
      </c>
      <c r="AN31" s="89" cm="1">
        <f t="array" ref="AN31">SUMPRODUCT((E31:AH31="SL")*1)</f>
        <v>0</v>
      </c>
      <c r="AO31" s="140"/>
    </row>
    <row r="32" spans="1:41" ht="18" customHeight="1">
      <c r="A32" s="1333"/>
      <c r="B32" s="132" t="s">
        <v>52</v>
      </c>
      <c r="C32" s="356" t="s">
        <v>27</v>
      </c>
      <c r="D32" s="23">
        <v>678954</v>
      </c>
      <c r="E32" s="645"/>
      <c r="F32" s="646"/>
      <c r="G32" s="646"/>
      <c r="H32" s="646"/>
      <c r="I32" s="647"/>
      <c r="J32" s="646"/>
      <c r="K32" s="646"/>
      <c r="L32" s="646"/>
      <c r="M32" s="646"/>
      <c r="N32" s="646"/>
      <c r="O32" s="646"/>
      <c r="P32" s="762"/>
      <c r="Q32" s="645"/>
      <c r="R32" s="794" t="s">
        <v>88</v>
      </c>
      <c r="S32" s="646" t="s">
        <v>137</v>
      </c>
      <c r="T32" s="646" t="s">
        <v>137</v>
      </c>
      <c r="U32" s="646" t="s">
        <v>137</v>
      </c>
      <c r="V32" s="646"/>
      <c r="W32" s="647"/>
      <c r="X32" s="646"/>
      <c r="Y32" s="646"/>
      <c r="Z32" s="646"/>
      <c r="AA32" s="646"/>
      <c r="AB32" s="646"/>
      <c r="AC32" s="646"/>
      <c r="AD32" s="762"/>
      <c r="AE32" s="645"/>
      <c r="AF32" s="646"/>
      <c r="AG32" s="646"/>
      <c r="AH32" s="647"/>
      <c r="AI32" s="89" cm="1">
        <f t="array" ref="AI32">SUMPRODUCT(($E$25:$AH$25="HR")*(E32:AH32=""))+SUMPRODUCT((E32:AH32="HR")*1)</f>
        <v>1</v>
      </c>
      <c r="AJ32" s="89" cm="1">
        <f t="array" ref="AJ32">SUMPRODUCT(($E$25:$AH$25="N0")*(E32:AH32=""))+SUMPRODUCT((E32:AH32="N")*1)</f>
        <v>19</v>
      </c>
      <c r="AK32" s="88" cm="1">
        <f t="array" ref="AK32">SUMPRODUCT(($E$25:$AH$25="RD")*(E32:AH32=""))+SUMPRODUCT((E32:AH32="RD")*1)</f>
        <v>6</v>
      </c>
      <c r="AL32" s="89" cm="1">
        <f t="array" ref="AL32">SUMPRODUCT((F32:AH32="AL")*1)</f>
        <v>0</v>
      </c>
      <c r="AM32" s="89" cm="1">
        <f t="array" ref="AM32">SUMPRODUCT((F32:AH32="SH")*1)</f>
        <v>1</v>
      </c>
      <c r="AN32" s="89" cm="1">
        <f t="array" ref="AN32">SUMPRODUCT((E32:AH32="SL")*1)</f>
        <v>0</v>
      </c>
      <c r="AO32" s="140" t="e">
        <f>#REF!-AI32-AJ32-AK32-AL32-AM32-AN32</f>
        <v>#REF!</v>
      </c>
    </row>
    <row r="33" spans="1:41" ht="18" customHeight="1">
      <c r="A33" s="1316" t="s">
        <v>117</v>
      </c>
      <c r="B33" s="1332" t="s">
        <v>110</v>
      </c>
      <c r="C33" s="1332"/>
      <c r="D33" s="1332"/>
      <c r="E33" s="773" t="s">
        <v>94</v>
      </c>
      <c r="F33" s="772" t="s">
        <v>94</v>
      </c>
      <c r="G33" s="772" t="s">
        <v>94</v>
      </c>
      <c r="H33" s="770" t="s">
        <v>84</v>
      </c>
      <c r="I33" s="771" t="s">
        <v>94</v>
      </c>
      <c r="J33" s="772" t="s">
        <v>94</v>
      </c>
      <c r="K33" s="772" t="s">
        <v>94</v>
      </c>
      <c r="L33" s="772" t="s">
        <v>94</v>
      </c>
      <c r="M33" s="772" t="s">
        <v>94</v>
      </c>
      <c r="N33" s="772" t="s">
        <v>94</v>
      </c>
      <c r="O33" s="770" t="s">
        <v>84</v>
      </c>
      <c r="P33" s="776" t="s">
        <v>94</v>
      </c>
      <c r="Q33" s="773" t="s">
        <v>94</v>
      </c>
      <c r="R33" s="772" t="s">
        <v>94</v>
      </c>
      <c r="S33" s="772" t="s">
        <v>94</v>
      </c>
      <c r="T33" s="772" t="s">
        <v>94</v>
      </c>
      <c r="U33" s="772" t="s">
        <v>94</v>
      </c>
      <c r="V33" s="770" t="s">
        <v>84</v>
      </c>
      <c r="W33" s="775" t="s">
        <v>84</v>
      </c>
      <c r="X33" s="769" t="s">
        <v>95</v>
      </c>
      <c r="Y33" s="769" t="s">
        <v>95</v>
      </c>
      <c r="Z33" s="769" t="s">
        <v>95</v>
      </c>
      <c r="AA33" s="769" t="s">
        <v>95</v>
      </c>
      <c r="AB33" s="769" t="s">
        <v>95</v>
      </c>
      <c r="AC33" s="770" t="s">
        <v>84</v>
      </c>
      <c r="AD33" s="760" t="s">
        <v>84</v>
      </c>
      <c r="AE33" s="773" t="s">
        <v>94</v>
      </c>
      <c r="AF33" s="772" t="s">
        <v>94</v>
      </c>
      <c r="AG33" s="772" t="s">
        <v>94</v>
      </c>
      <c r="AH33" s="771" t="s">
        <v>94</v>
      </c>
      <c r="AI33" s="137" t="s">
        <v>95</v>
      </c>
      <c r="AJ33" s="137" t="s">
        <v>38</v>
      </c>
      <c r="AK33" s="138" t="s">
        <v>84</v>
      </c>
      <c r="AL33" s="137" t="s">
        <v>81</v>
      </c>
      <c r="AM33" s="137" t="s">
        <v>88</v>
      </c>
      <c r="AN33" s="137" t="s">
        <v>96</v>
      </c>
      <c r="AO33" s="139" t="s">
        <v>97</v>
      </c>
    </row>
    <row r="34" spans="1:41" ht="18" customHeight="1">
      <c r="A34" s="1331"/>
      <c r="B34" s="46" t="s">
        <v>17</v>
      </c>
      <c r="C34" s="27" t="s">
        <v>16</v>
      </c>
      <c r="D34" s="21">
        <v>321524</v>
      </c>
      <c r="E34" s="232"/>
      <c r="F34" s="221"/>
      <c r="G34" s="221"/>
      <c r="H34" s="221"/>
      <c r="I34" s="222"/>
      <c r="J34" s="221"/>
      <c r="K34" s="221"/>
      <c r="L34" s="221"/>
      <c r="M34" s="221"/>
      <c r="N34" s="221"/>
      <c r="O34" s="221"/>
      <c r="P34" s="234"/>
      <c r="Q34" s="232"/>
      <c r="R34" s="221"/>
      <c r="S34" s="221"/>
      <c r="T34" s="221"/>
      <c r="U34" s="207" t="s">
        <v>88</v>
      </c>
      <c r="V34" s="221"/>
      <c r="W34" s="222"/>
      <c r="X34" s="221"/>
      <c r="Y34" s="221"/>
      <c r="Z34" s="221"/>
      <c r="AA34" s="221"/>
      <c r="AB34" s="221"/>
      <c r="AC34" s="221"/>
      <c r="AD34" s="234"/>
      <c r="AE34" s="232"/>
      <c r="AF34" s="221"/>
      <c r="AG34" s="221"/>
      <c r="AH34" s="222"/>
      <c r="AI34" s="89" cm="1">
        <f t="array" ref="AI34">SUMPRODUCT(($E$33:$AH$33="HR")*(E34:AH34=""))+SUMPRODUCT((E34:AH34="HR")*1)</f>
        <v>5</v>
      </c>
      <c r="AJ34" s="89" cm="1">
        <f t="array" ref="AJ34">SUMPRODUCT(($E$33:$AH$33="N0")*(E34:AH34=""))+SUMPRODUCT((E34:AH34="N")*1)</f>
        <v>18</v>
      </c>
      <c r="AK34" s="88" cm="1">
        <f t="array" ref="AK34">SUMPRODUCT(($E$33:$AH$33="RD")*(E34:AH34=""))+SUMPRODUCT((E34:AH34="RD")*1)</f>
        <v>6</v>
      </c>
      <c r="AL34" s="89" cm="1">
        <f t="array" ref="AL34">SUMPRODUCT((F34:AH34="AL")*1)</f>
        <v>0</v>
      </c>
      <c r="AM34" s="89" cm="1">
        <f t="array" ref="AM34">SUMPRODUCT((F34:AH34="SH")*1)</f>
        <v>1</v>
      </c>
      <c r="AN34" s="89" cm="1">
        <f t="array" ref="AN34">SUMPRODUCT((E34:AH34="SL")*1)</f>
        <v>0</v>
      </c>
      <c r="AO34" s="140" t="e">
        <f>#REF!-AI34-AJ34-AK34-AL34-AM34-AN34</f>
        <v>#REF!</v>
      </c>
    </row>
    <row r="35" spans="1:41" ht="18" customHeight="1">
      <c r="A35" s="1331"/>
      <c r="B35" s="48" t="s">
        <v>28</v>
      </c>
      <c r="C35" s="16" t="s">
        <v>16</v>
      </c>
      <c r="D35" s="22">
        <v>427616</v>
      </c>
      <c r="E35" s="28"/>
      <c r="F35" s="29"/>
      <c r="G35" s="29"/>
      <c r="H35" s="29"/>
      <c r="I35" s="30"/>
      <c r="J35" s="29"/>
      <c r="K35" s="29"/>
      <c r="L35" s="29"/>
      <c r="M35" s="29"/>
      <c r="N35" s="29"/>
      <c r="O35" s="29"/>
      <c r="P35" s="65"/>
      <c r="Q35" s="184" t="s">
        <v>81</v>
      </c>
      <c r="R35" s="183" t="s">
        <v>81</v>
      </c>
      <c r="S35" s="183" t="s">
        <v>81</v>
      </c>
      <c r="T35" s="29"/>
      <c r="U35" s="29"/>
      <c r="V35" s="29"/>
      <c r="W35" s="30"/>
      <c r="X35" s="29"/>
      <c r="Y35" s="29"/>
      <c r="Z35" s="29"/>
      <c r="AA35" s="29"/>
      <c r="AB35" s="29"/>
      <c r="AC35" s="29"/>
      <c r="AD35" s="65"/>
      <c r="AE35" s="28"/>
      <c r="AF35" s="29"/>
      <c r="AG35" s="29"/>
      <c r="AH35" s="30"/>
      <c r="AI35" s="89" cm="1">
        <f t="array" ref="AI35">SUMPRODUCT(($E$33:$AH$33="HR")*(E35:AH35=""))+SUMPRODUCT((E35:AH35="HR")*1)</f>
        <v>5</v>
      </c>
      <c r="AJ35" s="89" cm="1">
        <f t="array" ref="AJ35">SUMPRODUCT(($E$33:$AH$33="N0")*(E35:AH35=""))+SUMPRODUCT((E35:AH35="N")*1)</f>
        <v>16</v>
      </c>
      <c r="AK35" s="88" cm="1">
        <f t="array" ref="AK35">SUMPRODUCT(($E$33:$AH$33="RD")*(E35:AH35=""))+SUMPRODUCT((E35:AH35="RD")*1)</f>
        <v>6</v>
      </c>
      <c r="AL35" s="89" cm="1">
        <f t="array" ref="AL35">SUMPRODUCT((F35:AH35="AL")*1)</f>
        <v>3</v>
      </c>
      <c r="AM35" s="89" cm="1">
        <f t="array" ref="AM35">SUMPRODUCT((F35:AH35="SH")*1)</f>
        <v>0</v>
      </c>
      <c r="AN35" s="89" cm="1">
        <f t="array" ref="AN35">SUMPRODUCT((E35:AH35="SL")*1)</f>
        <v>0</v>
      </c>
      <c r="AO35" s="140" t="e">
        <f>#REF!-AI35-AJ35-AK35-AL35-AM35-AN35</f>
        <v>#REF!</v>
      </c>
    </row>
    <row r="36" spans="1:41" ht="18" customHeight="1">
      <c r="A36" s="1331"/>
      <c r="B36" s="50" t="s">
        <v>33</v>
      </c>
      <c r="C36" s="18" t="s">
        <v>27</v>
      </c>
      <c r="D36" s="51">
        <v>672075</v>
      </c>
      <c r="E36" s="28"/>
      <c r="F36" s="29"/>
      <c r="G36" s="29"/>
      <c r="H36" s="29"/>
      <c r="I36" s="30"/>
      <c r="J36" s="29"/>
      <c r="K36" s="29"/>
      <c r="L36" s="29"/>
      <c r="M36" s="29"/>
      <c r="N36" s="29"/>
      <c r="O36" s="29"/>
      <c r="P36" s="65"/>
      <c r="Q36" s="28"/>
      <c r="R36" s="29"/>
      <c r="S36" s="29"/>
      <c r="T36" s="29"/>
      <c r="U36" s="29"/>
      <c r="V36" s="29"/>
      <c r="W36" s="30"/>
      <c r="X36" s="29"/>
      <c r="Y36" s="29" t="s">
        <v>115</v>
      </c>
      <c r="Z36" s="29"/>
      <c r="AA36" s="29"/>
      <c r="AB36" s="29"/>
      <c r="AC36" s="29"/>
      <c r="AD36" s="65"/>
      <c r="AE36" s="28"/>
      <c r="AF36" s="29"/>
      <c r="AG36" s="29"/>
      <c r="AH36" s="30"/>
      <c r="AI36" s="89" cm="1">
        <f t="array" ref="AI36">SUMPRODUCT(($E$33:$AH$33="HR")*(E36:AH36=""))+SUMPRODUCT((E36:AH36="HR")*1)</f>
        <v>4</v>
      </c>
      <c r="AJ36" s="89" cm="1">
        <f t="array" ref="AJ36">SUMPRODUCT(($E$33:$AH$33="N0")*(E36:AH36=""))+SUMPRODUCT((E36:AH36="N")*1)</f>
        <v>19</v>
      </c>
      <c r="AK36" s="88" cm="1">
        <f t="array" ref="AK36">SUMPRODUCT(($E$33:$AH$33="RD")*(E36:AH36=""))+SUMPRODUCT((E36:AH36="RD")*1)</f>
        <v>6</v>
      </c>
      <c r="AL36" s="89" cm="1">
        <f t="array" ref="AL36">SUMPRODUCT((F36:AH36="AL")*1)</f>
        <v>0</v>
      </c>
      <c r="AM36" s="89" cm="1">
        <f t="array" ref="AM36">SUMPRODUCT((F36:AH36="SH")*1)</f>
        <v>0</v>
      </c>
      <c r="AN36" s="89" cm="1">
        <f t="array" ref="AN36">SUMPRODUCT((E36:AH36="SL")*1)</f>
        <v>0</v>
      </c>
      <c r="AO36" s="140" t="e">
        <f>#REF!-AI36-AJ36-AK36-AL36-AM36-AN36</f>
        <v>#REF!</v>
      </c>
    </row>
    <row r="37" spans="1:41" ht="18" customHeight="1">
      <c r="A37" s="1331"/>
      <c r="B37" s="47" t="s">
        <v>35</v>
      </c>
      <c r="C37" s="16" t="s">
        <v>27</v>
      </c>
      <c r="D37" s="22">
        <v>655180</v>
      </c>
      <c r="E37" s="28"/>
      <c r="F37" s="29"/>
      <c r="G37" s="29"/>
      <c r="H37" s="29"/>
      <c r="I37" s="30"/>
      <c r="J37" s="29"/>
      <c r="K37" s="29"/>
      <c r="L37" s="29"/>
      <c r="M37" s="29"/>
      <c r="N37" s="29"/>
      <c r="O37" s="29"/>
      <c r="P37" s="65"/>
      <c r="Q37" s="28"/>
      <c r="R37" s="29"/>
      <c r="S37" s="29"/>
      <c r="T37" s="29"/>
      <c r="U37" s="29"/>
      <c r="V37" s="29"/>
      <c r="W37" s="30"/>
      <c r="X37" s="183" t="s">
        <v>88</v>
      </c>
      <c r="Y37" s="29"/>
      <c r="Z37" s="29"/>
      <c r="AA37" s="29" t="s">
        <v>212</v>
      </c>
      <c r="AB37" s="29"/>
      <c r="AC37" s="29"/>
      <c r="AD37" s="65"/>
      <c r="AE37" s="28"/>
      <c r="AF37" s="29"/>
      <c r="AG37" s="29"/>
      <c r="AH37" s="30"/>
      <c r="AI37" s="89" cm="1">
        <f t="array" ref="AI37">SUMPRODUCT(($E$33:$AH$33="HR")*(E37:AH37=""))+SUMPRODUCT((E37:AH37="HR")*1)</f>
        <v>3</v>
      </c>
      <c r="AJ37" s="89" cm="1">
        <f t="array" ref="AJ37">SUMPRODUCT(($E$33:$AH$33="N0")*(E37:AH37=""))+SUMPRODUCT((E37:AH37="N")*1)</f>
        <v>19</v>
      </c>
      <c r="AK37" s="88" cm="1">
        <f t="array" ref="AK37">SUMPRODUCT(($E$33:$AH$33="RD")*(E37:AH37=""))+SUMPRODUCT((E37:AH37="RD")*1)</f>
        <v>6</v>
      </c>
      <c r="AL37" s="89" cm="1">
        <f t="array" ref="AL37">SUMPRODUCT((F37:AH37="AL")*1)</f>
        <v>0</v>
      </c>
      <c r="AM37" s="89" cm="1">
        <f t="array" ref="AM37">SUMPRODUCT((F37:AH37="SH")*1)</f>
        <v>1</v>
      </c>
      <c r="AN37" s="89" cm="1">
        <f t="array" ref="AN37">SUMPRODUCT((E37:AH37="SL")*1)</f>
        <v>0</v>
      </c>
      <c r="AO37" s="140" t="e">
        <f>#REF!-AI37-AJ37-AK37-AL37-AM37-AN37</f>
        <v>#REF!</v>
      </c>
    </row>
    <row r="38" spans="1:41" ht="18" customHeight="1">
      <c r="A38" s="1331"/>
      <c r="B38" s="97" t="s">
        <v>34</v>
      </c>
      <c r="C38" s="16" t="s">
        <v>32</v>
      </c>
      <c r="D38" s="22">
        <v>673277</v>
      </c>
      <c r="E38" s="28"/>
      <c r="F38" s="29"/>
      <c r="G38" s="29"/>
      <c r="H38" s="29"/>
      <c r="I38" s="30"/>
      <c r="J38" s="29"/>
      <c r="K38" s="29"/>
      <c r="L38" s="29"/>
      <c r="M38" s="29"/>
      <c r="N38" s="29"/>
      <c r="O38" s="29"/>
      <c r="P38" s="65"/>
      <c r="Q38" s="28"/>
      <c r="R38" s="29"/>
      <c r="S38" s="29"/>
      <c r="T38" s="29"/>
      <c r="U38" s="29"/>
      <c r="V38" s="29"/>
      <c r="W38" s="30"/>
      <c r="X38" s="183" t="s">
        <v>88</v>
      </c>
      <c r="Y38" s="183" t="s">
        <v>88</v>
      </c>
      <c r="Z38" s="208" t="s">
        <v>213</v>
      </c>
      <c r="AA38" s="29" t="s">
        <v>212</v>
      </c>
      <c r="AB38" s="29" t="s">
        <v>135</v>
      </c>
      <c r="AC38" s="29"/>
      <c r="AD38" s="65"/>
      <c r="AE38" s="28"/>
      <c r="AF38" s="29"/>
      <c r="AG38" s="29"/>
      <c r="AH38" s="30"/>
      <c r="AI38" s="89" cm="1">
        <f t="array" ref="AI38">SUMPRODUCT(($E$33:$AH$33="HR")*(E38:AH38=""))+SUMPRODUCT((E38:AH38="HR")*1)</f>
        <v>0</v>
      </c>
      <c r="AJ38" s="89" cm="1">
        <f t="array" ref="AJ38">SUMPRODUCT(($E$33:$AH$33="N0")*(E38:AH38=""))+SUMPRODUCT((E38:AH38="N")*1)</f>
        <v>19</v>
      </c>
      <c r="AK38" s="88" cm="1">
        <f t="array" ref="AK38">SUMPRODUCT(($E$33:$AH$33="RD")*(E38:AH38=""))+SUMPRODUCT((E38:AH38="RD")*1)</f>
        <v>6</v>
      </c>
      <c r="AL38" s="89" cm="1">
        <f t="array" ref="AL38">SUMPRODUCT((F38:AH38="AL")*1)</f>
        <v>0</v>
      </c>
      <c r="AM38" s="89" cm="1">
        <f t="array" ref="AM38">SUMPRODUCT((F38:AH38="SH")*1)</f>
        <v>2</v>
      </c>
      <c r="AN38" s="89" cm="1">
        <f t="array" ref="AN38">SUMPRODUCT((E38:AH38="SL")*1)</f>
        <v>0</v>
      </c>
      <c r="AO38" s="140" t="e">
        <f>#REF!-AI38-AJ38-AK38-AL38-AM38-AN38</f>
        <v>#REF!</v>
      </c>
    </row>
    <row r="39" spans="1:41" ht="18" customHeight="1">
      <c r="A39" s="1331"/>
      <c r="B39" s="150" t="s">
        <v>118</v>
      </c>
      <c r="C39" s="133" t="s">
        <v>27</v>
      </c>
      <c r="D39" s="108">
        <v>674432</v>
      </c>
      <c r="E39" s="1028"/>
      <c r="F39" s="1029"/>
      <c r="G39" s="1029"/>
      <c r="H39" s="1029"/>
      <c r="I39" s="1030"/>
      <c r="J39" s="1029"/>
      <c r="K39" s="1029"/>
      <c r="L39" s="1029"/>
      <c r="M39" s="1029"/>
      <c r="N39" s="1029"/>
      <c r="O39" s="1029"/>
      <c r="P39" s="1031"/>
      <c r="Q39" s="1028"/>
      <c r="R39" s="1029"/>
      <c r="S39" s="1029"/>
      <c r="T39" s="1029" t="s">
        <v>88</v>
      </c>
      <c r="U39" s="1029" t="s">
        <v>88</v>
      </c>
      <c r="V39" s="1029"/>
      <c r="W39" s="1030"/>
      <c r="X39" s="1029" t="s">
        <v>88</v>
      </c>
      <c r="Y39" s="1029"/>
      <c r="Z39" s="1029" t="s">
        <v>103</v>
      </c>
      <c r="AA39" s="1029" t="s">
        <v>212</v>
      </c>
      <c r="AB39" s="1029" t="s">
        <v>135</v>
      </c>
      <c r="AC39" s="1029"/>
      <c r="AD39" s="1031"/>
      <c r="AE39" s="1028"/>
      <c r="AF39" s="1029"/>
      <c r="AG39" s="1029"/>
      <c r="AH39" s="1030"/>
      <c r="AI39" s="89" cm="1">
        <f t="array" ref="AI39">SUMPRODUCT(($E$33:$AH$33="HR")*(E39:AH39=""))+SUMPRODUCT((E39:AH39="HR")*1)</f>
        <v>1</v>
      </c>
      <c r="AJ39" s="89" cm="1">
        <f t="array" ref="AJ39">SUMPRODUCT(($E$33:$AH$33="N0")*(E39:AH39=""))+SUMPRODUCT((E39:AH39="N")*1)</f>
        <v>17</v>
      </c>
      <c r="AK39" s="88" cm="1">
        <f t="array" ref="AK39">SUMPRODUCT(($E$33:$AH$33="RD")*(E39:AH39=""))+SUMPRODUCT((E39:AH39="RD")*1)</f>
        <v>6</v>
      </c>
      <c r="AL39" s="89" cm="1">
        <f t="array" ref="AL39">SUMPRODUCT((F39:AH39="AL")*1)</f>
        <v>0</v>
      </c>
      <c r="AM39" s="89" cm="1">
        <f t="array" ref="AM39">SUMPRODUCT((F39:AH39="SH")*1)</f>
        <v>3</v>
      </c>
      <c r="AN39" s="89" cm="1">
        <f t="array" ref="AN39">SUMPRODUCT((E39:AH39="SL")*1)</f>
        <v>0</v>
      </c>
      <c r="AO39" s="140" t="e">
        <f>#REF!-AI39-AJ39-AK39-AL39-AM39-AN39</f>
        <v>#REF!</v>
      </c>
    </row>
    <row r="40" spans="1:41" ht="18" customHeight="1">
      <c r="A40" s="1316" t="s">
        <v>119</v>
      </c>
      <c r="B40" s="1334" t="s">
        <v>110</v>
      </c>
      <c r="C40" s="1332"/>
      <c r="D40" s="1332"/>
      <c r="E40" s="774" t="s">
        <v>95</v>
      </c>
      <c r="F40" s="769" t="s">
        <v>95</v>
      </c>
      <c r="G40" s="769" t="s">
        <v>95</v>
      </c>
      <c r="H40" s="770" t="s">
        <v>84</v>
      </c>
      <c r="I40" s="775" t="s">
        <v>84</v>
      </c>
      <c r="J40" s="772" t="s">
        <v>94</v>
      </c>
      <c r="K40" s="772" t="s">
        <v>94</v>
      </c>
      <c r="L40" s="772" t="s">
        <v>94</v>
      </c>
      <c r="M40" s="772" t="s">
        <v>94</v>
      </c>
      <c r="N40" s="772" t="s">
        <v>94</v>
      </c>
      <c r="O40" s="770" t="s">
        <v>84</v>
      </c>
      <c r="P40" s="776" t="s">
        <v>94</v>
      </c>
      <c r="Q40" s="773" t="s">
        <v>94</v>
      </c>
      <c r="R40" s="772" t="s">
        <v>94</v>
      </c>
      <c r="S40" s="772" t="s">
        <v>94</v>
      </c>
      <c r="T40" s="772" t="s">
        <v>94</v>
      </c>
      <c r="U40" s="772" t="s">
        <v>94</v>
      </c>
      <c r="V40" s="770" t="s">
        <v>84</v>
      </c>
      <c r="W40" s="771" t="s">
        <v>94</v>
      </c>
      <c r="X40" s="772" t="s">
        <v>94</v>
      </c>
      <c r="Y40" s="772" t="s">
        <v>94</v>
      </c>
      <c r="Z40" s="772" t="s">
        <v>94</v>
      </c>
      <c r="AA40" s="772" t="s">
        <v>94</v>
      </c>
      <c r="AB40" s="772" t="s">
        <v>94</v>
      </c>
      <c r="AC40" s="770" t="s">
        <v>84</v>
      </c>
      <c r="AD40" s="760" t="s">
        <v>84</v>
      </c>
      <c r="AE40" s="774" t="s">
        <v>95</v>
      </c>
      <c r="AF40" s="769" t="s">
        <v>95</v>
      </c>
      <c r="AG40" s="769" t="s">
        <v>95</v>
      </c>
      <c r="AH40" s="792" t="s">
        <v>95</v>
      </c>
      <c r="AI40" s="137" t="s">
        <v>95</v>
      </c>
      <c r="AJ40" s="137" t="s">
        <v>38</v>
      </c>
      <c r="AK40" s="138" t="s">
        <v>84</v>
      </c>
      <c r="AL40" s="137" t="s">
        <v>81</v>
      </c>
      <c r="AM40" s="137" t="s">
        <v>88</v>
      </c>
      <c r="AN40" s="137" t="s">
        <v>96</v>
      </c>
      <c r="AO40" s="139" t="s">
        <v>97</v>
      </c>
    </row>
    <row r="41" spans="1:41" ht="18" customHeight="1">
      <c r="A41" s="1331"/>
      <c r="B41" s="44" t="s">
        <v>120</v>
      </c>
      <c r="C41" s="17" t="s">
        <v>16</v>
      </c>
      <c r="D41" s="21">
        <v>422380</v>
      </c>
      <c r="E41" s="232"/>
      <c r="F41" s="221"/>
      <c r="G41" s="221"/>
      <c r="H41" s="221"/>
      <c r="I41" s="222"/>
      <c r="J41" s="221"/>
      <c r="K41" s="221"/>
      <c r="L41" s="221"/>
      <c r="M41" s="221"/>
      <c r="N41" s="221"/>
      <c r="O41" s="221"/>
      <c r="P41" s="234"/>
      <c r="Q41" s="232"/>
      <c r="R41" s="221"/>
      <c r="S41" s="221"/>
      <c r="T41" s="221"/>
      <c r="U41" s="221"/>
      <c r="V41" s="221"/>
      <c r="W41" s="222"/>
      <c r="X41" s="221"/>
      <c r="Y41" s="221"/>
      <c r="Z41" s="221"/>
      <c r="AA41" s="221"/>
      <c r="AB41" s="221"/>
      <c r="AC41" s="221"/>
      <c r="AD41" s="234"/>
      <c r="AE41" s="778" t="s">
        <v>81</v>
      </c>
      <c r="AF41" s="207" t="s">
        <v>81</v>
      </c>
      <c r="AG41" s="207" t="s">
        <v>81</v>
      </c>
      <c r="AH41" s="793" t="s">
        <v>81</v>
      </c>
      <c r="AI41" s="89" cm="1">
        <f t="array" ref="AI41">SUMPRODUCT(($E$40:$AH$40="HR")*(E41:AH41=""))+SUMPRODUCT((E41:AH41="HR")*1)</f>
        <v>3</v>
      </c>
      <c r="AJ41" s="89" cm="1">
        <f t="array" ref="AJ41">SUMPRODUCT(($E$40:$AH$40="N0")*(E41:AH41=""))+SUMPRODUCT((E41:AH41="N")*1)</f>
        <v>17</v>
      </c>
      <c r="AK41" s="88" cm="1">
        <f t="array" ref="AK41">SUMPRODUCT(($E$40:$AH$40="RD")*(E41:AH41=""))+SUMPRODUCT((E41:AH41="RD")*1)</f>
        <v>6</v>
      </c>
      <c r="AL41" s="89" cm="1">
        <f t="array" ref="AL41">SUMPRODUCT((F41:AH41="AL")*1)</f>
        <v>4</v>
      </c>
      <c r="AM41" s="89" cm="1">
        <f t="array" ref="AM41">SUMPRODUCT((F41:AH41="SH")*1)</f>
        <v>0</v>
      </c>
      <c r="AN41" s="89" cm="1">
        <f t="array" ref="AN41">SUMPRODUCT((E41:AH41="SL")*1)</f>
        <v>0</v>
      </c>
      <c r="AO41" s="140" t="e">
        <f>#REF!-AI41-AJ41-AK41-AL41-AM41-AN41</f>
        <v>#REF!</v>
      </c>
    </row>
    <row r="42" spans="1:41" ht="18" customHeight="1">
      <c r="A42" s="1331"/>
      <c r="B42" s="45" t="s">
        <v>36</v>
      </c>
      <c r="C42" s="16" t="s">
        <v>16</v>
      </c>
      <c r="D42" s="22">
        <v>669557</v>
      </c>
      <c r="E42" s="28"/>
      <c r="F42" s="29"/>
      <c r="G42" s="29"/>
      <c r="H42" s="29"/>
      <c r="I42" s="30"/>
      <c r="J42" s="29"/>
      <c r="K42" s="29"/>
      <c r="L42" s="29"/>
      <c r="M42" s="29"/>
      <c r="N42" s="29"/>
      <c r="O42" s="29"/>
      <c r="P42" s="65"/>
      <c r="Q42" s="28"/>
      <c r="R42" s="29"/>
      <c r="S42" s="29"/>
      <c r="T42" s="29"/>
      <c r="U42" s="29"/>
      <c r="V42" s="29"/>
      <c r="W42" s="185"/>
      <c r="X42" s="29"/>
      <c r="Y42" s="29"/>
      <c r="Z42" s="183"/>
      <c r="AA42" s="183" t="s">
        <v>84</v>
      </c>
      <c r="AB42" s="29" t="s">
        <v>108</v>
      </c>
      <c r="AC42" s="29" t="s">
        <v>95</v>
      </c>
      <c r="AD42" s="65"/>
      <c r="AE42" s="28" t="s">
        <v>214</v>
      </c>
      <c r="AF42" s="29" t="s">
        <v>149</v>
      </c>
      <c r="AG42" s="29"/>
      <c r="AH42" s="30"/>
      <c r="AI42" s="89" cm="1">
        <f t="array" ref="AI42">SUMPRODUCT(($E$40:$AH$40="HR")*(E42:AH42=""))+SUMPRODUCT((E42:AH42="HR")*1)</f>
        <v>6</v>
      </c>
      <c r="AJ42" s="89" cm="1">
        <f t="array" ref="AJ42">SUMPRODUCT(($E$40:$AH$40="N0")*(E42:AH42=""))+SUMPRODUCT((E42:AH42="N")*1)</f>
        <v>15</v>
      </c>
      <c r="AK42" s="88" cm="1">
        <f t="array" ref="AK42">SUMPRODUCT(($E$40:$AH$40="RD")*(E42:AH42=""))+SUMPRODUCT((E42:AH42="RD")*1)</f>
        <v>6</v>
      </c>
      <c r="AL42" s="89" cm="1">
        <f t="array" ref="AL42">SUMPRODUCT((F42:AH42="AL")*1)</f>
        <v>0</v>
      </c>
      <c r="AM42" s="89" cm="1">
        <f t="array" ref="AM42">SUMPRODUCT((F42:AH42="SH")*1)</f>
        <v>0</v>
      </c>
      <c r="AN42" s="89" cm="1">
        <f t="array" ref="AN42">SUMPRODUCT((E42:AH42="SL")*1)</f>
        <v>0</v>
      </c>
      <c r="AO42" s="140" t="e">
        <f>#REF!-AI42-AJ42-AK42-AL42-AM42-AN42</f>
        <v>#REF!</v>
      </c>
    </row>
    <row r="43" spans="1:41" ht="18" customHeight="1">
      <c r="A43" s="1331"/>
      <c r="B43" s="45" t="s">
        <v>121</v>
      </c>
      <c r="C43" s="16" t="s">
        <v>16</v>
      </c>
      <c r="D43" s="22">
        <v>505935</v>
      </c>
      <c r="E43" s="28"/>
      <c r="F43" s="29"/>
      <c r="G43" s="183" t="s">
        <v>96</v>
      </c>
      <c r="H43" s="29"/>
      <c r="I43" s="30"/>
      <c r="J43" s="183" t="s">
        <v>88</v>
      </c>
      <c r="K43" s="183" t="s">
        <v>88</v>
      </c>
      <c r="L43" s="29"/>
      <c r="M43" s="29"/>
      <c r="N43" s="29"/>
      <c r="O43" s="29"/>
      <c r="P43" s="65"/>
      <c r="Q43" s="28"/>
      <c r="R43" s="29"/>
      <c r="S43" s="29"/>
      <c r="T43" s="29"/>
      <c r="U43" s="29"/>
      <c r="V43" s="29"/>
      <c r="W43" s="30"/>
      <c r="X43" s="29"/>
      <c r="Y43" s="29"/>
      <c r="Z43" s="29"/>
      <c r="AA43" s="29"/>
      <c r="AB43" s="29"/>
      <c r="AC43" s="29"/>
      <c r="AD43" s="65"/>
      <c r="AE43" s="28" t="s">
        <v>214</v>
      </c>
      <c r="AF43" s="29"/>
      <c r="AG43" s="29"/>
      <c r="AH43" s="30"/>
      <c r="AI43" s="89" cm="1">
        <f t="array" ref="AI43">SUMPRODUCT(($E$40:$AH$40="HR")*(E43:AH43=""))+SUMPRODUCT((E43:AH43="HR")*1)</f>
        <v>5</v>
      </c>
      <c r="AJ43" s="89" cm="1">
        <f t="array" ref="AJ43">SUMPRODUCT(($E$40:$AH$40="N0")*(E43:AH43=""))+SUMPRODUCT((E43:AH43="N")*1)</f>
        <v>15</v>
      </c>
      <c r="AK43" s="88" cm="1">
        <f t="array" ref="AK43">SUMPRODUCT(($E$40:$AH$40="RD")*(E43:AH43=""))+SUMPRODUCT((E43:AH43="RD")*1)</f>
        <v>6</v>
      </c>
      <c r="AL43" s="89" cm="1">
        <f t="array" ref="AL43">SUMPRODUCT((F43:AH43="AL")*1)</f>
        <v>0</v>
      </c>
      <c r="AM43" s="89" cm="1">
        <f t="array" ref="AM43">SUMPRODUCT((F43:AH43="SH")*1)</f>
        <v>2</v>
      </c>
      <c r="AN43" s="89" cm="1">
        <f t="array" ref="AN43">SUMPRODUCT((E43:AH43="SL")*1)</f>
        <v>1</v>
      </c>
      <c r="AO43" s="140" t="e">
        <f>#REF!-AI43-AJ43-AK43-AL43-AM43-AN43</f>
        <v>#REF!</v>
      </c>
    </row>
    <row r="44" spans="1:41" ht="18" customHeight="1">
      <c r="A44" s="1331"/>
      <c r="B44" s="45" t="s">
        <v>25</v>
      </c>
      <c r="C44" s="16" t="s">
        <v>27</v>
      </c>
      <c r="D44" s="22">
        <v>580058</v>
      </c>
      <c r="E44" s="28"/>
      <c r="F44" s="29"/>
      <c r="G44" s="29"/>
      <c r="H44" s="29"/>
      <c r="I44" s="30"/>
      <c r="J44" s="183" t="s">
        <v>88</v>
      </c>
      <c r="K44" s="183" t="s">
        <v>88</v>
      </c>
      <c r="L44" s="183" t="s">
        <v>81</v>
      </c>
      <c r="M44" s="183" t="s">
        <v>81</v>
      </c>
      <c r="N44" s="183" t="s">
        <v>81</v>
      </c>
      <c r="O44" s="29"/>
      <c r="P44" s="65"/>
      <c r="Q44" s="28"/>
      <c r="R44" s="29"/>
      <c r="S44" s="29"/>
      <c r="T44" s="29"/>
      <c r="U44" s="29"/>
      <c r="V44" s="29"/>
      <c r="W44" s="30"/>
      <c r="X44" s="29"/>
      <c r="Y44" s="29"/>
      <c r="Z44" s="29"/>
      <c r="AA44" s="29"/>
      <c r="AB44" s="29"/>
      <c r="AC44" s="29"/>
      <c r="AD44" s="65"/>
      <c r="AE44" s="28" t="s">
        <v>107</v>
      </c>
      <c r="AF44" s="29"/>
      <c r="AG44" s="29"/>
      <c r="AH44" s="36" t="s">
        <v>96</v>
      </c>
      <c r="AI44" s="89" cm="1">
        <f t="array" ref="AI44">SUMPRODUCT(($E$40:$AH$40="HR")*(E44:AH44=""))+SUMPRODUCT((E44:AH44="HR")*1)</f>
        <v>5</v>
      </c>
      <c r="AJ44" s="89" cm="1">
        <f t="array" ref="AJ44">SUMPRODUCT(($E$40:$AH$40="N0")*(E44:AH44=""))+SUMPRODUCT((E44:AH44="N")*1)</f>
        <v>12</v>
      </c>
      <c r="AK44" s="88" cm="1">
        <f t="array" ref="AK44">SUMPRODUCT(($E$40:$AH$40="RD")*(E44:AH44=""))+SUMPRODUCT((E44:AH44="RD")*1)</f>
        <v>6</v>
      </c>
      <c r="AL44" s="89" cm="1">
        <f t="array" ref="AL44">SUMPRODUCT((F44:AH44="AL")*1)</f>
        <v>3</v>
      </c>
      <c r="AM44" s="89" cm="1">
        <f t="array" ref="AM44">SUMPRODUCT((F44:AH44="SH")*1)</f>
        <v>2</v>
      </c>
      <c r="AN44" s="89" cm="1">
        <f t="array" ref="AN44">SUMPRODUCT((E44:AH44="SL")*1)</f>
        <v>1</v>
      </c>
      <c r="AO44" s="140" t="e">
        <f>#REF!-AI44-AJ44-AK44-AL44-AM44-AN44</f>
        <v>#REF!</v>
      </c>
    </row>
    <row r="45" spans="1:41" ht="18" customHeight="1">
      <c r="A45" s="1331"/>
      <c r="B45" s="45" t="s">
        <v>37</v>
      </c>
      <c r="C45" s="16" t="s">
        <v>27</v>
      </c>
      <c r="D45" s="22">
        <v>680417</v>
      </c>
      <c r="E45" s="28"/>
      <c r="F45" s="29"/>
      <c r="G45" s="183" t="s">
        <v>81</v>
      </c>
      <c r="H45" s="29"/>
      <c r="I45" s="30"/>
      <c r="J45" s="29"/>
      <c r="K45" s="29"/>
      <c r="L45" s="29"/>
      <c r="M45" s="29"/>
      <c r="N45" s="29"/>
      <c r="O45" s="29"/>
      <c r="P45" s="65"/>
      <c r="Q45" s="28"/>
      <c r="R45" s="29"/>
      <c r="S45" s="29"/>
      <c r="T45" s="29"/>
      <c r="U45" s="29"/>
      <c r="V45" s="29"/>
      <c r="W45" s="30"/>
      <c r="X45" s="29"/>
      <c r="Y45" s="29"/>
      <c r="Z45" s="29"/>
      <c r="AA45" s="29"/>
      <c r="AB45" s="183" t="s">
        <v>88</v>
      </c>
      <c r="AC45" s="29"/>
      <c r="AD45" s="65"/>
      <c r="AE45" s="28" t="s">
        <v>107</v>
      </c>
      <c r="AF45" s="29"/>
      <c r="AG45" s="29"/>
      <c r="AH45" s="30"/>
      <c r="AI45" s="89" cm="1">
        <f t="array" ref="AI45">SUMPRODUCT(($E$40:$AH$40="HR")*(E45:AH45=""))+SUMPRODUCT((E45:AH45="HR")*1)</f>
        <v>5</v>
      </c>
      <c r="AJ45" s="89" cm="1">
        <f t="array" ref="AJ45">SUMPRODUCT(($E$40:$AH$40="N0")*(E45:AH45=""))+SUMPRODUCT((E45:AH45="N")*1)</f>
        <v>16</v>
      </c>
      <c r="AK45" s="88" cm="1">
        <f t="array" ref="AK45">SUMPRODUCT(($E$40:$AH$40="RD")*(E45:AH45=""))+SUMPRODUCT((E45:AH45="RD")*1)</f>
        <v>6</v>
      </c>
      <c r="AL45" s="89" cm="1">
        <f t="array" ref="AL45">SUMPRODUCT((F45:AH45="AL")*1)</f>
        <v>1</v>
      </c>
      <c r="AM45" s="89" cm="1">
        <f t="array" ref="AM45">SUMPRODUCT((F45:AH45="SH")*1)</f>
        <v>1</v>
      </c>
      <c r="AN45" s="89" cm="1">
        <f t="array" ref="AN45">SUMPRODUCT((E45:AH45="SL")*1)</f>
        <v>0</v>
      </c>
      <c r="AO45" s="140" t="e">
        <f>#REF!-AI45-AJ45-AK45-AL45-AM45-AN45</f>
        <v>#REF!</v>
      </c>
    </row>
    <row r="46" spans="1:41" ht="18" customHeight="1">
      <c r="A46" s="1331"/>
      <c r="B46" s="120" t="s">
        <v>49</v>
      </c>
      <c r="C46" s="16" t="s">
        <v>27</v>
      </c>
      <c r="D46" s="22">
        <v>684119</v>
      </c>
      <c r="E46" s="28"/>
      <c r="F46" s="29"/>
      <c r="G46" s="183" t="s">
        <v>88</v>
      </c>
      <c r="H46" s="29"/>
      <c r="I46" s="30"/>
      <c r="J46" s="29"/>
      <c r="K46" s="29"/>
      <c r="L46" s="29"/>
      <c r="M46" s="29"/>
      <c r="N46" s="29"/>
      <c r="O46" s="29"/>
      <c r="P46" s="65"/>
      <c r="Q46" s="28"/>
      <c r="R46" s="29"/>
      <c r="S46" s="29"/>
      <c r="T46" s="29"/>
      <c r="U46" s="29"/>
      <c r="V46" s="29"/>
      <c r="W46" s="30"/>
      <c r="X46" s="29"/>
      <c r="Y46" s="29"/>
      <c r="Z46" s="29"/>
      <c r="AA46" s="29"/>
      <c r="AB46" s="29"/>
      <c r="AC46" s="29"/>
      <c r="AD46" s="65"/>
      <c r="AE46" s="28"/>
      <c r="AF46" s="29"/>
      <c r="AG46" s="29"/>
      <c r="AH46" s="30"/>
      <c r="AI46" s="89" cm="1">
        <f t="array" ref="AI46">SUMPRODUCT(($E$40:$AH$40="HR")*(E46:AH46=""))+SUMPRODUCT((E46:AH46="HR")*1)</f>
        <v>6</v>
      </c>
      <c r="AJ46" s="89" cm="1">
        <f t="array" ref="AJ46">SUMPRODUCT(($E$40:$AH$40="N0")*(E46:AH46=""))+SUMPRODUCT((E46:AH46="N")*1)</f>
        <v>17</v>
      </c>
      <c r="AK46" s="88" cm="1">
        <f t="array" ref="AK46">SUMPRODUCT(($E$40:$AH$40="RD")*(E46:AH46=""))+SUMPRODUCT((E46:AH46="RD")*1)</f>
        <v>6</v>
      </c>
      <c r="AL46" s="89" cm="1">
        <f t="array" ref="AL46">SUMPRODUCT((F46:AH46="AL")*1)</f>
        <v>0</v>
      </c>
      <c r="AM46" s="89" cm="1">
        <f t="array" ref="AM46">SUMPRODUCT((F46:AH46="SH")*1)</f>
        <v>1</v>
      </c>
      <c r="AN46" s="89" cm="1">
        <f t="array" ref="AN46">SUMPRODUCT((E46:AH46="SL")*1)</f>
        <v>0</v>
      </c>
      <c r="AO46" s="140" t="e">
        <f>#REF!-AI46-AJ46-AK46-AL46-AM46-AN46</f>
        <v>#REF!</v>
      </c>
    </row>
    <row r="47" spans="1:41" ht="18" customHeight="1">
      <c r="A47" s="1333"/>
      <c r="B47" s="117" t="s">
        <v>57</v>
      </c>
      <c r="C47" s="104" t="s">
        <v>58</v>
      </c>
      <c r="D47" s="105">
        <v>676140</v>
      </c>
      <c r="E47" s="247" t="s">
        <v>211</v>
      </c>
      <c r="F47" s="244" t="s">
        <v>211</v>
      </c>
      <c r="G47" s="240"/>
      <c r="H47" s="240"/>
      <c r="I47" s="238"/>
      <c r="J47" s="240"/>
      <c r="K47" s="240"/>
      <c r="L47" s="240"/>
      <c r="M47" s="240"/>
      <c r="N47" s="240"/>
      <c r="O47" s="240"/>
      <c r="P47" s="242"/>
      <c r="Q47" s="246"/>
      <c r="R47" s="240"/>
      <c r="S47" s="240"/>
      <c r="T47" s="240"/>
      <c r="U47" s="240"/>
      <c r="V47" s="240"/>
      <c r="W47" s="238"/>
      <c r="X47" s="240"/>
      <c r="Y47" s="240"/>
      <c r="Z47" s="240"/>
      <c r="AA47" s="240"/>
      <c r="AB47" s="240"/>
      <c r="AC47" s="240"/>
      <c r="AD47" s="242"/>
      <c r="AE47" s="243" t="s">
        <v>88</v>
      </c>
      <c r="AF47" s="240"/>
      <c r="AG47" s="240" t="s">
        <v>215</v>
      </c>
      <c r="AH47" s="238"/>
      <c r="AI47" s="89" cm="1">
        <f t="array" ref="AI47">SUMPRODUCT(($E$40:$AH$40="HR")*(E47:AH47=""))+SUMPRODUCT((E47:AH47="HR")*1)</f>
        <v>3</v>
      </c>
      <c r="AJ47" s="89" cm="1">
        <f t="array" ref="AJ47">SUMPRODUCT(($E$40:$AH$40="N0")*(E47:AH47=""))+SUMPRODUCT((E47:AH47="N")*1)</f>
        <v>17</v>
      </c>
      <c r="AK47" s="88" cm="1">
        <f t="array" ref="AK47">SUMPRODUCT(($E$40:$AH$40="RD")*(E47:AH47=""))+SUMPRODUCT((E47:AH47="RD")*1)</f>
        <v>6</v>
      </c>
      <c r="AL47" s="89" cm="1">
        <f t="array" ref="AL47">SUMPRODUCT((F47:AH47="AL")*1)</f>
        <v>0</v>
      </c>
      <c r="AM47" s="89" cm="1">
        <f t="array" ref="AM47">SUMPRODUCT((F47:AH47="SH")*1)</f>
        <v>1</v>
      </c>
      <c r="AN47" s="89" cm="1">
        <f t="array" ref="AN47">SUMPRODUCT((E47:AH47="SL")*1)</f>
        <v>0</v>
      </c>
      <c r="AO47" s="140" t="e">
        <f>#REF!-AI47-AJ47-AK47-AL47-AM47-AN47</f>
        <v>#REF!</v>
      </c>
    </row>
    <row r="48" spans="1:41" ht="18" customHeight="1">
      <c r="A48" s="1320" t="s">
        <v>125</v>
      </c>
      <c r="B48" s="1334" t="s">
        <v>93</v>
      </c>
      <c r="C48" s="1332"/>
      <c r="D48" s="1332"/>
      <c r="E48" s="773" t="s">
        <v>87</v>
      </c>
      <c r="F48" s="772" t="s">
        <v>87</v>
      </c>
      <c r="G48" s="772" t="s">
        <v>87</v>
      </c>
      <c r="H48" s="770" t="s">
        <v>84</v>
      </c>
      <c r="I48" s="775" t="s">
        <v>84</v>
      </c>
      <c r="J48" s="772" t="s">
        <v>87</v>
      </c>
      <c r="K48" s="772" t="s">
        <v>87</v>
      </c>
      <c r="L48" s="772" t="s">
        <v>87</v>
      </c>
      <c r="M48" s="772" t="s">
        <v>87</v>
      </c>
      <c r="N48" s="772" t="s">
        <v>87</v>
      </c>
      <c r="O48" s="770" t="s">
        <v>84</v>
      </c>
      <c r="P48" s="760" t="s">
        <v>84</v>
      </c>
      <c r="Q48" s="773" t="s">
        <v>87</v>
      </c>
      <c r="R48" s="772" t="s">
        <v>87</v>
      </c>
      <c r="S48" s="772" t="s">
        <v>87</v>
      </c>
      <c r="T48" s="772" t="s">
        <v>87</v>
      </c>
      <c r="U48" s="772" t="s">
        <v>87</v>
      </c>
      <c r="V48" s="770" t="s">
        <v>84</v>
      </c>
      <c r="W48" s="775" t="s">
        <v>84</v>
      </c>
      <c r="X48" s="779" t="s">
        <v>87</v>
      </c>
      <c r="Y48" s="779" t="s">
        <v>87</v>
      </c>
      <c r="Z48" s="779" t="s">
        <v>87</v>
      </c>
      <c r="AA48" s="779" t="s">
        <v>87</v>
      </c>
      <c r="AB48" s="779" t="s">
        <v>87</v>
      </c>
      <c r="AC48" s="770" t="s">
        <v>84</v>
      </c>
      <c r="AD48" s="760" t="s">
        <v>84</v>
      </c>
      <c r="AE48" s="773" t="s">
        <v>87</v>
      </c>
      <c r="AF48" s="772" t="s">
        <v>87</v>
      </c>
      <c r="AG48" s="772" t="s">
        <v>87</v>
      </c>
      <c r="AH48" s="771" t="s">
        <v>87</v>
      </c>
    </row>
    <row r="49" spans="1:40" ht="18" customHeight="1">
      <c r="A49" s="1366"/>
      <c r="B49" s="753" t="s">
        <v>43</v>
      </c>
      <c r="C49" s="754" t="s">
        <v>45</v>
      </c>
      <c r="D49" s="755">
        <v>555851</v>
      </c>
      <c r="E49" s="933" t="s">
        <v>81</v>
      </c>
      <c r="F49" s="934" t="s">
        <v>81</v>
      </c>
      <c r="G49" s="935"/>
      <c r="H49" s="935"/>
      <c r="I49" s="937"/>
      <c r="J49" s="938"/>
      <c r="K49" s="935"/>
      <c r="L49" s="935"/>
      <c r="M49" s="935"/>
      <c r="N49" s="935"/>
      <c r="O49" s="935"/>
      <c r="P49" s="937"/>
      <c r="Q49" s="938"/>
      <c r="R49" s="935"/>
      <c r="S49" s="935"/>
      <c r="T49" s="935"/>
      <c r="U49" s="935"/>
      <c r="V49" s="935"/>
      <c r="W49" s="937"/>
      <c r="X49" s="938"/>
      <c r="Y49" s="935"/>
      <c r="Z49" s="935"/>
      <c r="AA49" s="935"/>
      <c r="AB49" s="935"/>
      <c r="AC49" s="935"/>
      <c r="AD49" s="937"/>
      <c r="AE49" s="938"/>
      <c r="AF49" s="935"/>
      <c r="AG49" s="935"/>
      <c r="AH49" s="936"/>
    </row>
    <row r="50" spans="1:40" ht="18" customHeight="1">
      <c r="A50" s="1367" t="s">
        <v>165</v>
      </c>
      <c r="B50" s="896" t="s">
        <v>190</v>
      </c>
      <c r="C50" s="945" t="s">
        <v>191</v>
      </c>
      <c r="D50" s="945">
        <v>682113</v>
      </c>
      <c r="E50" s="1014" t="s">
        <v>94</v>
      </c>
      <c r="F50" s="1014" t="s">
        <v>94</v>
      </c>
      <c r="G50" s="1015" t="s">
        <v>88</v>
      </c>
      <c r="H50" s="1016" t="s">
        <v>84</v>
      </c>
      <c r="I50" s="1017" t="s">
        <v>84</v>
      </c>
      <c r="J50" s="1018"/>
      <c r="K50" s="1019"/>
      <c r="L50" s="1019"/>
      <c r="M50" s="1019"/>
      <c r="N50" s="1019"/>
      <c r="O50" s="1019"/>
      <c r="P50" s="1020"/>
      <c r="Q50" s="1018"/>
      <c r="R50" s="1019"/>
      <c r="S50" s="1019"/>
      <c r="T50" s="1019"/>
      <c r="U50" s="1019"/>
      <c r="V50" s="1019"/>
      <c r="W50" s="1020"/>
      <c r="X50" s="711"/>
      <c r="Y50" s="712"/>
      <c r="Z50" s="712"/>
      <c r="AA50" s="712"/>
      <c r="AB50" s="712"/>
      <c r="AC50" s="712"/>
      <c r="AD50" s="718"/>
      <c r="AE50" s="711"/>
      <c r="AF50" s="712"/>
      <c r="AG50" s="712"/>
      <c r="AH50" s="712"/>
    </row>
    <row r="51" spans="1:40" ht="18" customHeight="1">
      <c r="A51" s="1368"/>
      <c r="B51" s="947" t="s">
        <v>192</v>
      </c>
      <c r="C51" s="895" t="s">
        <v>183</v>
      </c>
      <c r="D51" s="901">
        <v>685476</v>
      </c>
      <c r="E51" s="1014" t="s">
        <v>87</v>
      </c>
      <c r="F51" s="1016" t="s">
        <v>84</v>
      </c>
      <c r="G51" s="1015" t="s">
        <v>88</v>
      </c>
      <c r="H51" s="1016" t="s">
        <v>88</v>
      </c>
      <c r="I51" s="1016" t="s">
        <v>84</v>
      </c>
      <c r="J51" s="1016" t="s">
        <v>88</v>
      </c>
      <c r="K51" s="1016" t="s">
        <v>88</v>
      </c>
      <c r="L51" s="1023" t="s">
        <v>94</v>
      </c>
      <c r="M51" s="1023" t="s">
        <v>94</v>
      </c>
      <c r="N51" s="1023" t="s">
        <v>94</v>
      </c>
      <c r="O51" s="1016" t="s">
        <v>84</v>
      </c>
      <c r="P51" s="1023" t="s">
        <v>94</v>
      </c>
      <c r="Q51" s="810" t="s">
        <v>94</v>
      </c>
      <c r="R51" s="810" t="s">
        <v>94</v>
      </c>
      <c r="S51" s="810" t="s">
        <v>94</v>
      </c>
      <c r="T51" s="810" t="s">
        <v>94</v>
      </c>
      <c r="U51" s="810" t="s">
        <v>94</v>
      </c>
      <c r="V51" s="1021" t="s">
        <v>84</v>
      </c>
      <c r="W51" s="1021" t="s">
        <v>84</v>
      </c>
      <c r="X51" s="944"/>
      <c r="Y51" s="944"/>
      <c r="Z51" s="944"/>
      <c r="AA51" s="944"/>
      <c r="AB51" s="944"/>
      <c r="AC51" s="944"/>
      <c r="AD51" s="944"/>
      <c r="AE51" s="944"/>
      <c r="AF51" s="944"/>
      <c r="AG51" s="944"/>
      <c r="AH51" s="944"/>
    </row>
    <row r="52" spans="1:40" ht="18" customHeight="1">
      <c r="A52" s="1369"/>
      <c r="B52" s="947" t="s">
        <v>193</v>
      </c>
      <c r="C52" s="895" t="s">
        <v>194</v>
      </c>
      <c r="D52" s="901">
        <v>685553</v>
      </c>
      <c r="E52" s="1022" t="s">
        <v>94</v>
      </c>
      <c r="F52" s="810" t="s">
        <v>94</v>
      </c>
      <c r="G52" s="915" t="s">
        <v>88</v>
      </c>
      <c r="H52" s="1021" t="s">
        <v>84</v>
      </c>
      <c r="I52" s="915" t="s">
        <v>88</v>
      </c>
      <c r="J52" s="810" t="s">
        <v>94</v>
      </c>
      <c r="K52" s="810" t="s">
        <v>94</v>
      </c>
      <c r="L52" s="810" t="s">
        <v>94</v>
      </c>
      <c r="M52" s="915" t="s">
        <v>88</v>
      </c>
      <c r="N52" s="915" t="s">
        <v>88</v>
      </c>
      <c r="O52" s="1021" t="s">
        <v>84</v>
      </c>
      <c r="P52" s="1021" t="s">
        <v>84</v>
      </c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</row>
    <row r="54" spans="1:40" ht="18" customHeight="1">
      <c r="D54" s="124" t="s">
        <v>123</v>
      </c>
      <c r="E54" s="123"/>
      <c r="F54" s="123" t="s">
        <v>216</v>
      </c>
      <c r="G54" s="123"/>
      <c r="H54" s="123"/>
      <c r="I54" s="123"/>
      <c r="J54" s="123"/>
      <c r="K54" s="123"/>
      <c r="L54" s="123"/>
      <c r="M54" s="123"/>
      <c r="N54" s="145"/>
      <c r="O54" s="145"/>
      <c r="U54" s="124" t="s">
        <v>135</v>
      </c>
      <c r="V54" s="123"/>
      <c r="W54" s="123" t="s">
        <v>217</v>
      </c>
      <c r="X54" s="123"/>
      <c r="Y54" s="123"/>
      <c r="Z54" s="123"/>
      <c r="AA54" s="123"/>
      <c r="AB54" s="123"/>
      <c r="AC54" s="123"/>
      <c r="AD54" s="123"/>
      <c r="AE54" s="135"/>
      <c r="AF54" s="135"/>
      <c r="AG54" s="135"/>
      <c r="AH54" s="135"/>
    </row>
    <row r="55" spans="1:40" ht="18" customHeight="1"/>
    <row r="56" spans="1:40" ht="18" customHeight="1">
      <c r="D56" s="124" t="s">
        <v>137</v>
      </c>
      <c r="E56" s="123"/>
      <c r="F56" s="123" t="s">
        <v>218</v>
      </c>
      <c r="G56" s="123"/>
      <c r="H56" s="123"/>
      <c r="I56" s="123"/>
      <c r="J56" s="123"/>
      <c r="K56" s="123"/>
      <c r="L56" s="123"/>
      <c r="M56" s="123"/>
      <c r="U56" s="124" t="s">
        <v>124</v>
      </c>
      <c r="V56" s="123"/>
      <c r="W56" s="123" t="s">
        <v>219</v>
      </c>
      <c r="X56" s="123"/>
      <c r="Y56" s="123"/>
      <c r="Z56" s="123"/>
      <c r="AA56" s="123"/>
      <c r="AB56" s="123"/>
      <c r="AC56" s="123"/>
      <c r="AD56" s="123"/>
    </row>
    <row r="57" spans="1:40" ht="18" customHeight="1"/>
    <row r="58" spans="1:40" ht="18" customHeight="1">
      <c r="D58" s="124" t="s">
        <v>107</v>
      </c>
      <c r="F58" s="123" t="s">
        <v>220</v>
      </c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U58" s="124" t="s">
        <v>140</v>
      </c>
      <c r="W58" s="123" t="s">
        <v>221</v>
      </c>
      <c r="X58" s="123"/>
      <c r="Y58" s="123"/>
      <c r="Z58" s="123"/>
      <c r="AA58" s="123"/>
      <c r="AB58" s="123"/>
      <c r="AC58" s="123"/>
    </row>
    <row r="59" spans="1:40" ht="18" customHeight="1"/>
    <row r="60" spans="1:40" ht="18" customHeight="1">
      <c r="D60" s="124" t="s">
        <v>108</v>
      </c>
      <c r="F60" s="123" t="s">
        <v>222</v>
      </c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U60" s="124" t="s">
        <v>103</v>
      </c>
      <c r="W60" s="123" t="s">
        <v>223</v>
      </c>
      <c r="X60" s="209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</row>
    <row r="61" spans="1:40" ht="18" customHeight="1"/>
    <row r="62" spans="1:40" ht="18" customHeight="1">
      <c r="D62" s="124" t="s">
        <v>105</v>
      </c>
      <c r="F62" s="123" t="s">
        <v>224</v>
      </c>
      <c r="U62" s="124" t="s">
        <v>145</v>
      </c>
      <c r="W62" s="123" t="s">
        <v>225</v>
      </c>
    </row>
    <row r="63" spans="1:40" ht="18" customHeight="1"/>
    <row r="64" spans="1:40" ht="18" customHeight="1">
      <c r="A64" s="123"/>
      <c r="B64" s="123"/>
      <c r="C64" s="123"/>
      <c r="D64" s="124" t="s">
        <v>122</v>
      </c>
      <c r="E64" s="123"/>
      <c r="F64" s="123" t="s">
        <v>226</v>
      </c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4" t="s">
        <v>115</v>
      </c>
      <c r="W64" s="123" t="s">
        <v>227</v>
      </c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</row>
    <row r="65" spans="4:34" ht="18" customHeight="1"/>
    <row r="66" spans="4:34" ht="18" customHeight="1">
      <c r="D66" s="124" t="s">
        <v>149</v>
      </c>
      <c r="F66" s="123" t="s">
        <v>228</v>
      </c>
      <c r="U66" s="124" t="s">
        <v>208</v>
      </c>
      <c r="W66" s="123" t="s">
        <v>229</v>
      </c>
    </row>
    <row r="68" spans="4:34" ht="18">
      <c r="D68" s="124" t="s">
        <v>230</v>
      </c>
      <c r="F68" s="123" t="s">
        <v>231</v>
      </c>
      <c r="U68" s="124" t="s">
        <v>210</v>
      </c>
      <c r="W68" s="123" t="s">
        <v>232</v>
      </c>
    </row>
    <row r="70" spans="4:34" ht="18">
      <c r="D70" s="124" t="s">
        <v>214</v>
      </c>
      <c r="F70" s="123" t="s">
        <v>233</v>
      </c>
      <c r="U70" s="124" t="s">
        <v>212</v>
      </c>
      <c r="W70" s="123" t="s">
        <v>234</v>
      </c>
    </row>
    <row r="71" spans="4:34" ht="18">
      <c r="D71" s="750"/>
      <c r="F71" s="123"/>
      <c r="U71" s="750"/>
      <c r="W71" s="123"/>
    </row>
    <row r="72" spans="4:34" ht="18">
      <c r="D72" s="124" t="s">
        <v>235</v>
      </c>
      <c r="F72" s="123" t="s">
        <v>236</v>
      </c>
      <c r="U72" s="124" t="s">
        <v>209</v>
      </c>
      <c r="W72" s="123" t="s">
        <v>237</v>
      </c>
    </row>
    <row r="74" spans="4:34" ht="18">
      <c r="D74" s="124" t="s">
        <v>211</v>
      </c>
      <c r="F74" s="123" t="s">
        <v>238</v>
      </c>
    </row>
    <row r="76" spans="4:34">
      <c r="D76" s="141" t="s">
        <v>150</v>
      </c>
      <c r="E76" s="62" t="s">
        <v>94</v>
      </c>
      <c r="F76" s="60" t="s">
        <v>94</v>
      </c>
      <c r="G76" s="60" t="s">
        <v>94</v>
      </c>
      <c r="H76" s="60" t="s">
        <v>94</v>
      </c>
      <c r="I76" s="60" t="s">
        <v>94</v>
      </c>
      <c r="J76" s="73" t="s">
        <v>84</v>
      </c>
      <c r="K76" s="61" t="s">
        <v>94</v>
      </c>
      <c r="L76" s="62" t="s">
        <v>94</v>
      </c>
      <c r="M76" s="60" t="s">
        <v>94</v>
      </c>
      <c r="N76" s="60" t="s">
        <v>94</v>
      </c>
      <c r="O76" s="60" t="s">
        <v>94</v>
      </c>
      <c r="P76" s="60" t="s">
        <v>94</v>
      </c>
      <c r="Q76" s="63" t="s">
        <v>84</v>
      </c>
      <c r="R76" s="64" t="s">
        <v>84</v>
      </c>
      <c r="S76" s="129" t="s">
        <v>95</v>
      </c>
      <c r="T76" s="129" t="s">
        <v>95</v>
      </c>
      <c r="U76" s="129" t="s">
        <v>95</v>
      </c>
      <c r="V76" s="129" t="s">
        <v>95</v>
      </c>
      <c r="W76" s="129" t="s">
        <v>95</v>
      </c>
      <c r="X76" s="68" t="s">
        <v>84</v>
      </c>
      <c r="Y76" s="59" t="s">
        <v>84</v>
      </c>
      <c r="Z76" s="62" t="s">
        <v>94</v>
      </c>
      <c r="AA76" s="60" t="s">
        <v>94</v>
      </c>
      <c r="AB76" s="60" t="s">
        <v>94</v>
      </c>
      <c r="AC76" s="60" t="s">
        <v>94</v>
      </c>
      <c r="AD76" s="60" t="s">
        <v>94</v>
      </c>
      <c r="AE76" s="63" t="s">
        <v>84</v>
      </c>
      <c r="AF76" s="60" t="s">
        <v>94</v>
      </c>
      <c r="AG76" s="60" t="s">
        <v>94</v>
      </c>
      <c r="AH76" s="63" t="s">
        <v>84</v>
      </c>
    </row>
    <row r="77" spans="4:34" ht="17.5" thickBot="1">
      <c r="D77" s="142" t="s">
        <v>151</v>
      </c>
      <c r="E77" s="311">
        <f>COUNTBLANK(E19:E24)</f>
        <v>6</v>
      </c>
      <c r="F77" s="311">
        <f t="shared" ref="F77:AH77" si="0">COUNTBLANK(F19:F24)</f>
        <v>6</v>
      </c>
      <c r="G77" s="311">
        <f t="shared" si="0"/>
        <v>4</v>
      </c>
      <c r="H77" s="311">
        <f t="shared" si="0"/>
        <v>6</v>
      </c>
      <c r="I77" s="311">
        <f t="shared" si="0"/>
        <v>6</v>
      </c>
      <c r="J77" s="311">
        <f t="shared" si="0"/>
        <v>2</v>
      </c>
      <c r="K77" s="311">
        <f t="shared" si="0"/>
        <v>2</v>
      </c>
      <c r="L77" s="311">
        <f t="shared" si="0"/>
        <v>4</v>
      </c>
      <c r="M77" s="311">
        <f t="shared" si="0"/>
        <v>4</v>
      </c>
      <c r="N77" s="311">
        <f t="shared" si="0"/>
        <v>4</v>
      </c>
      <c r="O77" s="311">
        <f t="shared" si="0"/>
        <v>6</v>
      </c>
      <c r="P77" s="311">
        <f t="shared" si="0"/>
        <v>6</v>
      </c>
      <c r="Q77" s="311">
        <f>COUNTBLANK(Q19:Q24)</f>
        <v>4</v>
      </c>
      <c r="R77" s="311">
        <f t="shared" si="0"/>
        <v>5</v>
      </c>
      <c r="S77" s="311">
        <f t="shared" si="0"/>
        <v>5</v>
      </c>
      <c r="T77" s="311">
        <f t="shared" si="0"/>
        <v>5</v>
      </c>
      <c r="U77" s="311">
        <f t="shared" si="0"/>
        <v>5</v>
      </c>
      <c r="V77" s="311">
        <f t="shared" si="0"/>
        <v>5</v>
      </c>
      <c r="W77" s="311">
        <f t="shared" si="0"/>
        <v>5</v>
      </c>
      <c r="X77" s="311">
        <f t="shared" si="0"/>
        <v>5</v>
      </c>
      <c r="Y77" s="311">
        <f t="shared" si="0"/>
        <v>5</v>
      </c>
      <c r="Z77" s="311">
        <f t="shared" si="0"/>
        <v>6</v>
      </c>
      <c r="AA77" s="311">
        <f t="shared" si="0"/>
        <v>5</v>
      </c>
      <c r="AB77" s="311">
        <f t="shared" si="0"/>
        <v>5</v>
      </c>
      <c r="AC77" s="311">
        <f t="shared" si="0"/>
        <v>6</v>
      </c>
      <c r="AD77" s="311">
        <f t="shared" si="0"/>
        <v>5</v>
      </c>
      <c r="AE77" s="311">
        <f t="shared" si="0"/>
        <v>5</v>
      </c>
      <c r="AF77" s="311">
        <f t="shared" si="0"/>
        <v>5</v>
      </c>
      <c r="AG77" s="311">
        <f t="shared" si="0"/>
        <v>6</v>
      </c>
      <c r="AH77" s="311">
        <f t="shared" si="0"/>
        <v>6</v>
      </c>
    </row>
    <row r="78" spans="4:34" ht="18" thickTop="1" thickBot="1">
      <c r="D78" s="143" t="s">
        <v>150</v>
      </c>
      <c r="E78" s="128" t="s">
        <v>94</v>
      </c>
      <c r="F78" s="70" t="s">
        <v>94</v>
      </c>
      <c r="G78" s="70" t="s">
        <v>94</v>
      </c>
      <c r="H78" s="70" t="s">
        <v>94</v>
      </c>
      <c r="I78" s="70" t="s">
        <v>94</v>
      </c>
      <c r="J78" s="71" t="s">
        <v>84</v>
      </c>
      <c r="K78" s="69" t="s">
        <v>94</v>
      </c>
      <c r="L78" s="77" t="s">
        <v>94</v>
      </c>
      <c r="M78" s="70" t="s">
        <v>94</v>
      </c>
      <c r="N78" s="70" t="s">
        <v>94</v>
      </c>
      <c r="O78" s="70" t="s">
        <v>94</v>
      </c>
      <c r="P78" s="70" t="s">
        <v>94</v>
      </c>
      <c r="Q78" s="68" t="s">
        <v>84</v>
      </c>
      <c r="R78" s="69" t="s">
        <v>94</v>
      </c>
      <c r="S78" s="77" t="s">
        <v>94</v>
      </c>
      <c r="T78" s="70" t="s">
        <v>94</v>
      </c>
      <c r="U78" s="70" t="s">
        <v>94</v>
      </c>
      <c r="V78" s="70" t="s">
        <v>94</v>
      </c>
      <c r="W78" s="70" t="s">
        <v>94</v>
      </c>
      <c r="X78" s="76" t="s">
        <v>84</v>
      </c>
      <c r="Y78" s="59" t="s">
        <v>84</v>
      </c>
      <c r="Z78" s="129" t="s">
        <v>95</v>
      </c>
      <c r="AA78" s="129" t="s">
        <v>95</v>
      </c>
      <c r="AB78" s="129" t="s">
        <v>95</v>
      </c>
      <c r="AC78" s="129" t="s">
        <v>95</v>
      </c>
      <c r="AD78" s="129" t="s">
        <v>95</v>
      </c>
      <c r="AE78" s="68" t="s">
        <v>84</v>
      </c>
      <c r="AF78" s="129" t="s">
        <v>95</v>
      </c>
      <c r="AG78" s="129" t="s">
        <v>95</v>
      </c>
      <c r="AH78" s="68" t="s">
        <v>84</v>
      </c>
    </row>
    <row r="79" spans="4:34" ht="17.5" thickBot="1">
      <c r="D79" s="142" t="s">
        <v>152</v>
      </c>
      <c r="E79" s="311">
        <f>COUNTBLANK(E26:E32)</f>
        <v>6</v>
      </c>
      <c r="F79" s="311">
        <f t="shared" ref="F79:AH79" si="1">COUNTBLANK(F26:F32)</f>
        <v>6</v>
      </c>
      <c r="G79" s="311">
        <f t="shared" si="1"/>
        <v>5</v>
      </c>
      <c r="H79" s="311">
        <f t="shared" si="1"/>
        <v>7</v>
      </c>
      <c r="I79" s="311">
        <f t="shared" si="1"/>
        <v>5</v>
      </c>
      <c r="J79" s="311">
        <f t="shared" si="1"/>
        <v>5</v>
      </c>
      <c r="K79" s="311">
        <f t="shared" si="1"/>
        <v>6</v>
      </c>
      <c r="L79" s="311">
        <f t="shared" si="1"/>
        <v>6</v>
      </c>
      <c r="M79" s="311">
        <f t="shared" si="1"/>
        <v>6</v>
      </c>
      <c r="N79" s="311">
        <f t="shared" si="1"/>
        <v>6</v>
      </c>
      <c r="O79" s="311">
        <f t="shared" si="1"/>
        <v>7</v>
      </c>
      <c r="P79" s="311">
        <f t="shared" si="1"/>
        <v>7</v>
      </c>
      <c r="Q79" s="311">
        <f t="shared" si="1"/>
        <v>6</v>
      </c>
      <c r="R79" s="311">
        <f t="shared" si="1"/>
        <v>2</v>
      </c>
      <c r="S79" s="311">
        <f t="shared" si="1"/>
        <v>3</v>
      </c>
      <c r="T79" s="311">
        <f t="shared" si="1"/>
        <v>2</v>
      </c>
      <c r="U79" s="311">
        <f t="shared" si="1"/>
        <v>3</v>
      </c>
      <c r="V79" s="311">
        <f t="shared" si="1"/>
        <v>7</v>
      </c>
      <c r="W79" s="311">
        <f t="shared" si="1"/>
        <v>7</v>
      </c>
      <c r="X79" s="311">
        <f t="shared" si="1"/>
        <v>7</v>
      </c>
      <c r="Y79" s="311">
        <f t="shared" si="1"/>
        <v>7</v>
      </c>
      <c r="Z79" s="311">
        <f t="shared" si="1"/>
        <v>7</v>
      </c>
      <c r="AA79" s="311">
        <f t="shared" si="1"/>
        <v>7</v>
      </c>
      <c r="AB79" s="311">
        <f t="shared" si="1"/>
        <v>7</v>
      </c>
      <c r="AC79" s="311">
        <f t="shared" si="1"/>
        <v>7</v>
      </c>
      <c r="AD79" s="311">
        <f t="shared" si="1"/>
        <v>7</v>
      </c>
      <c r="AE79" s="311">
        <f t="shared" si="1"/>
        <v>7</v>
      </c>
      <c r="AF79" s="311">
        <f t="shared" si="1"/>
        <v>7</v>
      </c>
      <c r="AG79" s="311">
        <f t="shared" si="1"/>
        <v>7</v>
      </c>
      <c r="AH79" s="311">
        <f t="shared" si="1"/>
        <v>7</v>
      </c>
    </row>
    <row r="80" spans="4:34" ht="18" thickTop="1" thickBot="1">
      <c r="D80" s="143" t="s">
        <v>150</v>
      </c>
      <c r="E80" s="129" t="s">
        <v>95</v>
      </c>
      <c r="F80" s="129" t="s">
        <v>95</v>
      </c>
      <c r="G80" s="129" t="s">
        <v>95</v>
      </c>
      <c r="H80" s="129" t="s">
        <v>95</v>
      </c>
      <c r="I80" s="129" t="s">
        <v>95</v>
      </c>
      <c r="J80" s="76" t="s">
        <v>84</v>
      </c>
      <c r="K80" s="59" t="s">
        <v>84</v>
      </c>
      <c r="L80" s="128" t="s">
        <v>94</v>
      </c>
      <c r="M80" s="70" t="s">
        <v>94</v>
      </c>
      <c r="N80" s="70" t="s">
        <v>94</v>
      </c>
      <c r="O80" s="70" t="s">
        <v>94</v>
      </c>
      <c r="P80" s="70" t="s">
        <v>94</v>
      </c>
      <c r="Q80" s="71" t="s">
        <v>84</v>
      </c>
      <c r="R80" s="69" t="s">
        <v>94</v>
      </c>
      <c r="S80" s="77" t="s">
        <v>94</v>
      </c>
      <c r="T80" s="70" t="s">
        <v>94</v>
      </c>
      <c r="U80" s="70" t="s">
        <v>94</v>
      </c>
      <c r="V80" s="70" t="s">
        <v>94</v>
      </c>
      <c r="W80" s="70" t="s">
        <v>94</v>
      </c>
      <c r="X80" s="76" t="s">
        <v>84</v>
      </c>
      <c r="Y80" s="69" t="s">
        <v>94</v>
      </c>
      <c r="Z80" s="77" t="s">
        <v>94</v>
      </c>
      <c r="AA80" s="70" t="s">
        <v>94</v>
      </c>
      <c r="AB80" s="70" t="s">
        <v>94</v>
      </c>
      <c r="AC80" s="70" t="s">
        <v>94</v>
      </c>
      <c r="AD80" s="70" t="s">
        <v>94</v>
      </c>
      <c r="AE80" s="76" t="s">
        <v>84</v>
      </c>
      <c r="AF80" s="70" t="s">
        <v>94</v>
      </c>
      <c r="AG80" s="70" t="s">
        <v>94</v>
      </c>
      <c r="AH80" s="76" t="s">
        <v>84</v>
      </c>
    </row>
    <row r="81" spans="4:34" ht="17.5" thickBot="1">
      <c r="D81" s="142" t="s">
        <v>117</v>
      </c>
      <c r="E81" s="311">
        <f t="shared" ref="E81:AH81" si="2">COUNTBLANK(E34:E39)</f>
        <v>6</v>
      </c>
      <c r="F81" s="311">
        <f t="shared" si="2"/>
        <v>6</v>
      </c>
      <c r="G81" s="311">
        <f t="shared" si="2"/>
        <v>6</v>
      </c>
      <c r="H81" s="311">
        <f t="shared" si="2"/>
        <v>6</v>
      </c>
      <c r="I81" s="311">
        <f t="shared" si="2"/>
        <v>6</v>
      </c>
      <c r="J81" s="311">
        <f t="shared" si="2"/>
        <v>6</v>
      </c>
      <c r="K81" s="311">
        <f t="shared" si="2"/>
        <v>6</v>
      </c>
      <c r="L81" s="311">
        <f t="shared" si="2"/>
        <v>6</v>
      </c>
      <c r="M81" s="311">
        <f t="shared" si="2"/>
        <v>6</v>
      </c>
      <c r="N81" s="311">
        <f t="shared" si="2"/>
        <v>6</v>
      </c>
      <c r="O81" s="311">
        <f t="shared" si="2"/>
        <v>6</v>
      </c>
      <c r="P81" s="311">
        <f t="shared" si="2"/>
        <v>6</v>
      </c>
      <c r="Q81" s="311">
        <f t="shared" si="2"/>
        <v>5</v>
      </c>
      <c r="R81" s="311">
        <f t="shared" si="2"/>
        <v>5</v>
      </c>
      <c r="S81" s="311">
        <f t="shared" si="2"/>
        <v>5</v>
      </c>
      <c r="T81" s="311">
        <f t="shared" si="2"/>
        <v>5</v>
      </c>
      <c r="U81" s="311">
        <f t="shared" si="2"/>
        <v>4</v>
      </c>
      <c r="V81" s="311">
        <f t="shared" si="2"/>
        <v>6</v>
      </c>
      <c r="W81" s="311">
        <f t="shared" si="2"/>
        <v>6</v>
      </c>
      <c r="X81" s="311">
        <f t="shared" si="2"/>
        <v>3</v>
      </c>
      <c r="Y81" s="311">
        <f t="shared" si="2"/>
        <v>4</v>
      </c>
      <c r="Z81" s="311">
        <f t="shared" si="2"/>
        <v>4</v>
      </c>
      <c r="AA81" s="311">
        <f t="shared" si="2"/>
        <v>3</v>
      </c>
      <c r="AB81" s="311">
        <f t="shared" si="2"/>
        <v>4</v>
      </c>
      <c r="AC81" s="311">
        <f t="shared" si="2"/>
        <v>6</v>
      </c>
      <c r="AD81" s="311">
        <f t="shared" si="2"/>
        <v>6</v>
      </c>
      <c r="AE81" s="311">
        <f t="shared" si="2"/>
        <v>6</v>
      </c>
      <c r="AF81" s="311">
        <f t="shared" si="2"/>
        <v>6</v>
      </c>
      <c r="AG81" s="311">
        <f t="shared" si="2"/>
        <v>6</v>
      </c>
      <c r="AH81" s="311">
        <f t="shared" si="2"/>
        <v>6</v>
      </c>
    </row>
    <row r="82" spans="4:34" ht="18" thickTop="1" thickBot="1">
      <c r="D82" s="144" t="s">
        <v>150</v>
      </c>
      <c r="E82" s="109" t="s">
        <v>94</v>
      </c>
      <c r="F82" s="110" t="s">
        <v>84</v>
      </c>
      <c r="G82" s="59" t="s">
        <v>84</v>
      </c>
      <c r="H82" s="129" t="s">
        <v>95</v>
      </c>
      <c r="I82" s="129" t="s">
        <v>95</v>
      </c>
      <c r="J82" s="129" t="s">
        <v>95</v>
      </c>
      <c r="K82" s="129" t="s">
        <v>95</v>
      </c>
      <c r="L82" s="129" t="s">
        <v>95</v>
      </c>
      <c r="M82" s="76" t="s">
        <v>84</v>
      </c>
      <c r="N82" s="59" t="s">
        <v>84</v>
      </c>
      <c r="O82" s="128" t="s">
        <v>94</v>
      </c>
      <c r="P82" s="70" t="s">
        <v>94</v>
      </c>
      <c r="Q82" s="70" t="s">
        <v>94</v>
      </c>
      <c r="R82" s="70" t="s">
        <v>94</v>
      </c>
      <c r="S82" s="70" t="s">
        <v>94</v>
      </c>
      <c r="T82" s="71" t="s">
        <v>84</v>
      </c>
      <c r="U82" s="69" t="s">
        <v>94</v>
      </c>
      <c r="V82" s="77" t="s">
        <v>94</v>
      </c>
      <c r="W82" s="70" t="s">
        <v>94</v>
      </c>
      <c r="X82" s="70" t="s">
        <v>94</v>
      </c>
      <c r="Y82" s="70" t="s">
        <v>94</v>
      </c>
      <c r="Z82" s="70" t="s">
        <v>94</v>
      </c>
      <c r="AA82" s="76" t="s">
        <v>84</v>
      </c>
      <c r="AB82" s="69" t="s">
        <v>94</v>
      </c>
      <c r="AC82" s="77" t="s">
        <v>94</v>
      </c>
      <c r="AD82" s="70" t="s">
        <v>94</v>
      </c>
      <c r="AE82" s="69" t="s">
        <v>94</v>
      </c>
      <c r="AF82" s="77" t="s">
        <v>94</v>
      </c>
      <c r="AG82" s="70" t="s">
        <v>94</v>
      </c>
      <c r="AH82" s="69" t="s">
        <v>94</v>
      </c>
    </row>
    <row r="83" spans="4:34" ht="17.5" thickBot="1">
      <c r="D83" s="142" t="s">
        <v>119</v>
      </c>
      <c r="E83" s="311">
        <f>COUNTBLANK(E41:E47)</f>
        <v>6</v>
      </c>
      <c r="F83" s="311">
        <f t="shared" ref="F83:AH83" si="3">COUNTBLANK(F41:F47)</f>
        <v>6</v>
      </c>
      <c r="G83" s="311">
        <f t="shared" si="3"/>
        <v>4</v>
      </c>
      <c r="H83" s="311">
        <f t="shared" si="3"/>
        <v>7</v>
      </c>
      <c r="I83" s="311">
        <f t="shared" si="3"/>
        <v>7</v>
      </c>
      <c r="J83" s="311">
        <f t="shared" si="3"/>
        <v>5</v>
      </c>
      <c r="K83" s="311">
        <f t="shared" si="3"/>
        <v>5</v>
      </c>
      <c r="L83" s="311">
        <f t="shared" si="3"/>
        <v>6</v>
      </c>
      <c r="M83" s="311">
        <f t="shared" si="3"/>
        <v>6</v>
      </c>
      <c r="N83" s="311">
        <f t="shared" si="3"/>
        <v>6</v>
      </c>
      <c r="O83" s="311">
        <f t="shared" si="3"/>
        <v>7</v>
      </c>
      <c r="P83" s="311">
        <f t="shared" si="3"/>
        <v>7</v>
      </c>
      <c r="Q83" s="311">
        <f t="shared" si="3"/>
        <v>7</v>
      </c>
      <c r="R83" s="311">
        <f t="shared" si="3"/>
        <v>7</v>
      </c>
      <c r="S83" s="311">
        <f t="shared" si="3"/>
        <v>7</v>
      </c>
      <c r="T83" s="311">
        <f t="shared" si="3"/>
        <v>7</v>
      </c>
      <c r="U83" s="311">
        <f t="shared" si="3"/>
        <v>7</v>
      </c>
      <c r="V83" s="311">
        <f t="shared" si="3"/>
        <v>7</v>
      </c>
      <c r="W83" s="311">
        <f t="shared" si="3"/>
        <v>7</v>
      </c>
      <c r="X83" s="311">
        <f t="shared" si="3"/>
        <v>7</v>
      </c>
      <c r="Y83" s="311">
        <f t="shared" si="3"/>
        <v>7</v>
      </c>
      <c r="Z83" s="311">
        <f t="shared" si="3"/>
        <v>7</v>
      </c>
      <c r="AA83" s="311">
        <f t="shared" si="3"/>
        <v>6</v>
      </c>
      <c r="AB83" s="311">
        <f t="shared" si="3"/>
        <v>5</v>
      </c>
      <c r="AC83" s="311">
        <f t="shared" si="3"/>
        <v>6</v>
      </c>
      <c r="AD83" s="311">
        <f t="shared" si="3"/>
        <v>7</v>
      </c>
      <c r="AE83" s="311">
        <f t="shared" si="3"/>
        <v>1</v>
      </c>
      <c r="AF83" s="311">
        <f t="shared" si="3"/>
        <v>5</v>
      </c>
      <c r="AG83" s="311">
        <f t="shared" si="3"/>
        <v>5</v>
      </c>
      <c r="AH83" s="311">
        <f t="shared" si="3"/>
        <v>5</v>
      </c>
    </row>
  </sheetData>
  <sheetProtection algorithmName="SHA-512" hashValue="6BqID0fDmB5VtAJYHxbS6+Fcen5eUWMGU4zhOTpjvLesMPlRQZrsZMT9nP3YQjDiQpSg7IBg7m3Bxk5KKz83Sw==" saltValue="Uq2yW3NkTagmLvQnWmLMUw==" spinCount="100000" sheet="1" objects="1" scenarios="1"/>
  <mergeCells count="26">
    <mergeCell ref="A50:A52"/>
    <mergeCell ref="E2:AH2"/>
    <mergeCell ref="E3:AH3"/>
    <mergeCell ref="A8:A9"/>
    <mergeCell ref="A10:A11"/>
    <mergeCell ref="A12:A13"/>
    <mergeCell ref="B12:D12"/>
    <mergeCell ref="J4:P4"/>
    <mergeCell ref="E4:I4"/>
    <mergeCell ref="Q4:W4"/>
    <mergeCell ref="X4:AD4"/>
    <mergeCell ref="AE4:AH4"/>
    <mergeCell ref="A14:A15"/>
    <mergeCell ref="B14:D14"/>
    <mergeCell ref="A16:A17"/>
    <mergeCell ref="B16:D16"/>
    <mergeCell ref="A18:A24"/>
    <mergeCell ref="B18:D18"/>
    <mergeCell ref="A48:A49"/>
    <mergeCell ref="B48:D48"/>
    <mergeCell ref="A25:A32"/>
    <mergeCell ref="B25:D25"/>
    <mergeCell ref="A33:A39"/>
    <mergeCell ref="B33:D33"/>
    <mergeCell ref="A40:A47"/>
    <mergeCell ref="B40:D40"/>
  </mergeCells>
  <phoneticPr fontId="18" type="noConversion"/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691D289E-C72D-4657-B591-7AEADE84FCC5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17062285-1048-4A69-A094-B86CF47CF86C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45CE6DBE-6983-4B57-B48F-BE2FE5C73BDA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3E7AD524-109A-4414-8A4C-CD4714BB5A43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D17B3D9C-7F03-4317-99FA-90444B2A4503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F88DD2B5-4B66-44B7-BE15-7E880A381646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ECFF2E6F-B9D4-4529-ABF2-611682D0384D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06EAB7C0-6C7D-4B35-A29E-FCFB3FFA7297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5EC91F48-197C-41AC-AD4E-372188FEAAB9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B3C985B6-F3D6-49A8-8E65-27755C17913B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F4047982-77F8-4B7B-A0F9-CA059D2FCBED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D2FA0855-5A8E-487B-BC77-F10A21FD4810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E484AF4F-3278-451C-A853-F0B960A8151C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50E23CFB-20E8-4F65-9168-A15510F91EAA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74FAB081-586E-4B21-BBEC-B6B1BE102446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A500DA5B-9A05-43E1-9C83-3C4C4C1C8DEC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C04BFDEE-389B-4E77-9F06-2626FB02AB3C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9829340F-9C33-425B-9DD6-D6B42B45C122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1AA59918-EAE7-42C6-875C-8067856B3DB9}">
            <xm:f>'OHLR DUAT'!$F$18&gt;2</xm:f>
            <x14:dxf/>
          </x14:cfRule>
          <x14:cfRule type="expression" priority="21" stopIfTrue="1" id="{C65B416A-1038-4687-938A-A575FF18FED7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54E4E69B-60BB-4E91-A3D7-3566459BED31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D9D68689-75F6-432F-8FFB-B8CD81CFB86E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E773D4E9-381D-46F8-91D1-B06D51E2E3AC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14AC9615-3F0D-4760-A273-E6974682DFE8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2E857FC4-4C48-4731-B291-3D0C60185CA2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0DF408A2-8BD0-444E-9241-B467F8A85848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80C92239-3466-4F15-A393-C89204FD230C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1F870FAB-1FD4-4E8A-AC73-4B6CE55A4A74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8B96B8C1-F9AC-4592-AC7D-3C86C227BDB7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603515D9-8167-43F5-9F87-794014D49DAC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0E5EF1F1-FEF1-4C84-811E-C5EA637D5C2C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2C32E17A-7244-46B4-BD3A-39593104D9FE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7DD86B90-B8F2-4AE5-B623-2FCB51A67759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6EA73BF1-B173-408E-AB35-24251800F7C4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BBDD090F-7625-4F62-B1EE-14F3DBA1004E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0" id="{CEED1850-3C6E-4DBA-A940-E448B6D4E9EF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4A55D742-4432-4877-98FC-2B3DE419A8C0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5B4C89B2-E7C7-4CE1-A0C1-6938DE31A3C4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" id="{4CAD05E1-F923-4636-A4C3-BFF8C45E9774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3F105AFD-E834-4FF3-9B3B-D9EC598889F0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C31F6201-56C6-4F66-9813-0030640D6AEC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" id="{0B17FFC0-A8A1-47D4-8CE2-573303EBC7D7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57BBC7B5-1B8F-43A2-B05C-54EB5C4B0A40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BE4744D1-1CB7-41D7-AFA2-17562F3A6353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2" stopIfTrue="1" id="{36CED5F9-4F01-43B0-AD0A-6F43E0533E6D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34B88524-ACD1-4D63-9707-07AE01DFE7C1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6BCDF0AC-8D80-450E-9893-B501114988CE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8133329C-E061-4CE9-81FD-0F4BFA475BD3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09055369-6609-4198-9556-C1321425302A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CC75E2BF-4280-4981-BB1B-974B5841C874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30230BCF-9E8E-4891-A9B4-A3FC2F0CB407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C4A3266F-1649-463E-BC31-BEA90B95BDBA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9F23EF3C-E150-472F-BD15-5FFE5D986E5D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97749364-91DF-4136-9248-A6A9329C57F1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94B0D809-D0F4-49D5-A2BA-E49E8C521F3D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65414569-AD50-4FDB-8449-3A1751C35FCD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8485C7A9-1478-4930-B780-E6F389950DF0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5957EF03-8EB0-4054-B3A1-EE60A839743D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6306EA61-632B-4FB4-A92C-33A3508A8A20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861B6ED8-5C15-416E-AC9B-93F6DA4EA5F4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D7D9383C-2E54-470D-9DBB-8830E455EF56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C14D47A2-FF7A-4ED6-A940-3777363ED7E7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D5F400A7-777F-498C-A9DE-4602974C3C80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1487DBF2-EAFF-4720-92E1-4DAEA3845888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808CFCE0-2241-4CA3-B4EF-181C0DE0DE18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88CB1C4F-B2CA-4B5C-857B-09C826A705FE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0F27C650-F0AB-4E5C-8082-72FDAA017239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1444BDAE-C602-491E-9A88-DC2A8AFC18BB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DC15CF06-BCD8-4870-8DA0-FF523A015019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FE964684-7951-4BEC-A2D1-B91B720102A7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01D24C47-CEE4-4C23-9C68-FD13686392AA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3D32C1F1-C9C5-49EB-A769-99CE0329DFC0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3F25700A-F497-4888-8CBE-3593D33674F9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B110695F-13FD-4956-A13F-B440B7C1D1C1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CC295E7F-CD01-45C7-9B36-C02756420463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06148F00-0BB6-4947-B0D0-51B2E3F99986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80FAD2EA-3EE8-4A55-91C8-E36A5755A8DD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0191289A-1956-4480-B48D-3CE331CB80C9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34" id="{EEC522EA-12EC-4FFA-96CA-242C653B2800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3" id="{BA8872EC-1C0D-482A-A9BA-BAAC2461AA88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6" id="{5A3828F9-70E9-47B2-A4EA-8ED8A1F28106}">
            <xm:f>VLOOKUP(#REF!,'OHLR DUAT'!$B$4:$E$15,4,FALSE)</xm:f>
            <x14:dxf/>
          </x14:cfRule>
          <xm:sqref>E8:AH9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E960-EC22-43BF-B8DD-CDAA6204334C}">
  <dimension ref="A1:AP82"/>
  <sheetViews>
    <sheetView workbookViewId="0">
      <pane xSplit="4" ySplit="6" topLeftCell="E7" activePane="bottomRight" state="frozen"/>
      <selection pane="topRight"/>
      <selection pane="bottomLeft"/>
      <selection pane="bottomRight" activeCell="AH31" sqref="AH31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15" width="6.6328125" customWidth="1"/>
    <col min="16" max="16" width="8.6328125" bestFit="1" customWidth="1"/>
    <col min="17" max="17" width="6.6328125" customWidth="1"/>
    <col min="18" max="18" width="8.6328125" bestFit="1" customWidth="1"/>
    <col min="19" max="19" width="8.7265625" bestFit="1" customWidth="1"/>
    <col min="20" max="30" width="6.6328125" customWidth="1"/>
    <col min="31" max="32" width="8.6328125" bestFit="1" customWidth="1"/>
    <col min="33" max="35" width="6.6328125" customWidth="1"/>
  </cols>
  <sheetData>
    <row r="1" spans="1:42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42" ht="20.5" thickBot="1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1300"/>
    </row>
    <row r="3" spans="1:42" ht="18" customHeight="1" thickBot="1">
      <c r="A3" s="19"/>
      <c r="B3" s="43"/>
      <c r="C3" s="19"/>
      <c r="D3" s="127"/>
      <c r="E3" s="1301" t="s">
        <v>239</v>
      </c>
      <c r="F3" s="1301"/>
      <c r="G3" s="1301"/>
      <c r="H3" s="1301"/>
      <c r="I3" s="1301"/>
      <c r="J3" s="1301"/>
      <c r="K3" s="1301"/>
      <c r="L3" s="1301"/>
      <c r="M3" s="1301"/>
      <c r="N3" s="1301"/>
      <c r="O3" s="1301"/>
      <c r="P3" s="1301"/>
      <c r="Q3" s="1301"/>
      <c r="R3" s="1301"/>
      <c r="S3" s="1301"/>
      <c r="T3" s="1301"/>
      <c r="U3" s="1301"/>
      <c r="V3" s="1301"/>
      <c r="W3" s="1301"/>
      <c r="X3" s="1301"/>
      <c r="Y3" s="1301"/>
      <c r="Z3" s="1301"/>
      <c r="AA3" s="1301"/>
      <c r="AB3" s="1301"/>
      <c r="AC3" s="1301"/>
      <c r="AD3" s="1301"/>
      <c r="AE3" s="1301"/>
      <c r="AF3" s="1301"/>
      <c r="AG3" s="1301"/>
      <c r="AH3" s="1301"/>
      <c r="AI3" s="1301"/>
    </row>
    <row r="4" spans="1:42" s="31" customFormat="1" ht="18" customHeight="1">
      <c r="A4" s="19"/>
      <c r="B4" s="43"/>
      <c r="C4" s="19"/>
      <c r="D4" s="19"/>
      <c r="E4" s="1312" t="s">
        <v>206</v>
      </c>
      <c r="F4" s="1311"/>
      <c r="G4" s="1313"/>
      <c r="H4" s="1311" t="s">
        <v>240</v>
      </c>
      <c r="I4" s="1311"/>
      <c r="J4" s="1311"/>
      <c r="K4" s="1311"/>
      <c r="L4" s="1311"/>
      <c r="M4" s="1311"/>
      <c r="N4" s="1311"/>
      <c r="O4" s="1312" t="s">
        <v>241</v>
      </c>
      <c r="P4" s="1311"/>
      <c r="Q4" s="1311"/>
      <c r="R4" s="1311"/>
      <c r="S4" s="1311"/>
      <c r="T4" s="1311"/>
      <c r="U4" s="1313"/>
      <c r="V4" s="1311" t="s">
        <v>242</v>
      </c>
      <c r="W4" s="1311"/>
      <c r="X4" s="1311"/>
      <c r="Y4" s="1311"/>
      <c r="Z4" s="1311"/>
      <c r="AA4" s="1311"/>
      <c r="AB4" s="1311"/>
      <c r="AC4" s="1312" t="s">
        <v>243</v>
      </c>
      <c r="AD4" s="1311"/>
      <c r="AE4" s="1311"/>
      <c r="AF4" s="1311"/>
      <c r="AG4" s="1311"/>
      <c r="AH4" s="1311"/>
      <c r="AI4" s="1313"/>
    </row>
    <row r="5" spans="1:42" s="31" customFormat="1" ht="18" customHeight="1">
      <c r="A5" s="14"/>
      <c r="B5" s="42"/>
      <c r="C5" s="15"/>
      <c r="D5" s="15"/>
      <c r="E5" s="184">
        <v>1</v>
      </c>
      <c r="F5" s="32">
        <v>2</v>
      </c>
      <c r="G5" s="33">
        <v>3</v>
      </c>
      <c r="H5" s="32">
        <v>4</v>
      </c>
      <c r="I5" s="32">
        <v>5</v>
      </c>
      <c r="J5" s="32">
        <v>6</v>
      </c>
      <c r="K5" s="32">
        <v>7</v>
      </c>
      <c r="L5" s="32">
        <v>8</v>
      </c>
      <c r="M5" s="32">
        <v>9</v>
      </c>
      <c r="N5" s="40">
        <v>10</v>
      </c>
      <c r="O5" s="34">
        <v>11</v>
      </c>
      <c r="P5" s="32">
        <v>12</v>
      </c>
      <c r="Q5" s="1027">
        <v>13</v>
      </c>
      <c r="R5" s="32">
        <v>14</v>
      </c>
      <c r="S5" s="32">
        <v>15</v>
      </c>
      <c r="T5" s="32">
        <v>16</v>
      </c>
      <c r="U5" s="33">
        <v>17</v>
      </c>
      <c r="V5" s="32">
        <v>18</v>
      </c>
      <c r="W5" s="32">
        <v>19</v>
      </c>
      <c r="X5" s="32">
        <v>20</v>
      </c>
      <c r="Y5" s="32">
        <v>21</v>
      </c>
      <c r="Z5" s="32">
        <v>22</v>
      </c>
      <c r="AA5" s="32">
        <v>23</v>
      </c>
      <c r="AB5" s="40">
        <v>24</v>
      </c>
      <c r="AC5" s="184">
        <v>25</v>
      </c>
      <c r="AD5" s="32">
        <v>26</v>
      </c>
      <c r="AE5" s="32">
        <v>27</v>
      </c>
      <c r="AF5" s="32">
        <v>28</v>
      </c>
      <c r="AG5" s="32">
        <v>29</v>
      </c>
      <c r="AH5" s="32">
        <v>30</v>
      </c>
      <c r="AI5" s="33">
        <v>31</v>
      </c>
    </row>
    <row r="6" spans="1:42" s="31" customFormat="1" ht="18" customHeight="1">
      <c r="A6" s="19"/>
      <c r="B6" s="43"/>
      <c r="C6" s="19"/>
      <c r="D6" s="19"/>
      <c r="E6" s="206" t="s">
        <v>68</v>
      </c>
      <c r="F6" s="35" t="s">
        <v>69</v>
      </c>
      <c r="G6" s="36" t="s">
        <v>70</v>
      </c>
      <c r="H6" s="35" t="s">
        <v>71</v>
      </c>
      <c r="I6" s="35" t="s">
        <v>72</v>
      </c>
      <c r="J6" s="35" t="s">
        <v>73</v>
      </c>
      <c r="K6" s="35" t="s">
        <v>67</v>
      </c>
      <c r="L6" s="35" t="s">
        <v>68</v>
      </c>
      <c r="M6" s="35" t="s">
        <v>69</v>
      </c>
      <c r="N6" s="57" t="s">
        <v>70</v>
      </c>
      <c r="O6" s="37" t="s">
        <v>71</v>
      </c>
      <c r="P6" s="35" t="s">
        <v>72</v>
      </c>
      <c r="Q6" s="35" t="s">
        <v>73</v>
      </c>
      <c r="R6" s="35" t="s">
        <v>67</v>
      </c>
      <c r="S6" s="35" t="s">
        <v>68</v>
      </c>
      <c r="T6" s="35" t="s">
        <v>69</v>
      </c>
      <c r="U6" s="36" t="s">
        <v>70</v>
      </c>
      <c r="V6" s="35" t="s">
        <v>71</v>
      </c>
      <c r="W6" s="35" t="s">
        <v>72</v>
      </c>
      <c r="X6" s="35" t="s">
        <v>73</v>
      </c>
      <c r="Y6" s="35" t="s">
        <v>67</v>
      </c>
      <c r="Z6" s="35" t="s">
        <v>68</v>
      </c>
      <c r="AA6" s="35" t="s">
        <v>69</v>
      </c>
      <c r="AB6" s="57" t="s">
        <v>70</v>
      </c>
      <c r="AC6" s="206" t="s">
        <v>71</v>
      </c>
      <c r="AD6" s="35" t="s">
        <v>72</v>
      </c>
      <c r="AE6" s="35" t="s">
        <v>73</v>
      </c>
      <c r="AF6" s="35" t="s">
        <v>67</v>
      </c>
      <c r="AG6" s="35" t="s">
        <v>68</v>
      </c>
      <c r="AH6" s="35" t="s">
        <v>69</v>
      </c>
      <c r="AI6" s="36" t="s">
        <v>70</v>
      </c>
    </row>
    <row r="7" spans="1:42" ht="18" customHeight="1" thickBot="1">
      <c r="A7" s="24" t="s">
        <v>74</v>
      </c>
      <c r="B7" s="113" t="s">
        <v>75</v>
      </c>
      <c r="C7" s="25" t="s">
        <v>76</v>
      </c>
      <c r="D7" s="26" t="s">
        <v>77</v>
      </c>
      <c r="E7" s="170"/>
      <c r="F7" s="167"/>
      <c r="G7" s="171"/>
      <c r="H7" s="167"/>
      <c r="I7" s="167"/>
      <c r="J7" s="167"/>
      <c r="K7" s="167"/>
      <c r="L7" s="167"/>
      <c r="M7" s="167"/>
      <c r="N7" s="168"/>
      <c r="O7" s="170"/>
      <c r="P7" s="167"/>
      <c r="Q7" s="167"/>
      <c r="R7" s="167"/>
      <c r="S7" s="167"/>
      <c r="T7" s="167"/>
      <c r="U7" s="171"/>
      <c r="V7" s="167"/>
      <c r="W7" s="167"/>
      <c r="X7" s="167"/>
      <c r="Y7" s="167"/>
      <c r="Z7" s="167"/>
      <c r="AA7" s="167"/>
      <c r="AB7" s="168"/>
      <c r="AC7" s="170"/>
      <c r="AD7" s="167"/>
      <c r="AE7" s="167"/>
      <c r="AF7" s="167"/>
      <c r="AG7" s="167"/>
      <c r="AH7" s="167"/>
      <c r="AI7" s="171"/>
    </row>
    <row r="8" spans="1:42" ht="18" customHeight="1">
      <c r="A8" s="1379" t="s">
        <v>78</v>
      </c>
      <c r="B8" s="44" t="s">
        <v>79</v>
      </c>
      <c r="C8" s="17" t="s">
        <v>80</v>
      </c>
      <c r="D8" s="21">
        <v>300179</v>
      </c>
      <c r="E8" s="28"/>
      <c r="F8" s="29"/>
      <c r="G8" s="30"/>
      <c r="H8" s="29"/>
      <c r="I8" s="29"/>
      <c r="J8" s="29"/>
      <c r="K8" s="29"/>
      <c r="L8" s="29"/>
      <c r="M8" s="29"/>
      <c r="N8" s="65"/>
      <c r="O8" s="28"/>
      <c r="P8" s="29"/>
      <c r="Q8" s="29"/>
      <c r="R8" s="29"/>
      <c r="S8" s="183" t="s">
        <v>244</v>
      </c>
      <c r="T8" s="29"/>
      <c r="U8" s="30" t="s">
        <v>87</v>
      </c>
      <c r="V8" s="183" t="s">
        <v>84</v>
      </c>
      <c r="W8" s="29"/>
      <c r="X8" s="29"/>
      <c r="Y8" s="29"/>
      <c r="Z8" s="29"/>
      <c r="AA8" s="29"/>
      <c r="AB8" s="65"/>
      <c r="AC8" s="28"/>
      <c r="AD8" s="29"/>
      <c r="AE8" s="29"/>
      <c r="AF8" s="29"/>
      <c r="AG8" s="29"/>
      <c r="AH8" s="29"/>
      <c r="AI8" s="30"/>
    </row>
    <row r="9" spans="1:42" ht="18" customHeight="1">
      <c r="A9" s="1380"/>
      <c r="B9" s="115" t="s">
        <v>82</v>
      </c>
      <c r="C9" s="20" t="s">
        <v>80</v>
      </c>
      <c r="D9" s="156">
        <v>668695</v>
      </c>
      <c r="E9" s="247"/>
      <c r="F9" s="244"/>
      <c r="G9" s="248"/>
      <c r="H9" s="244"/>
      <c r="I9" s="244" t="s">
        <v>83</v>
      </c>
      <c r="J9" s="595" t="s">
        <v>84</v>
      </c>
      <c r="K9" s="244"/>
      <c r="L9" s="244"/>
      <c r="M9" s="244"/>
      <c r="N9" s="250"/>
      <c r="O9" s="247"/>
      <c r="P9" s="244"/>
      <c r="Q9" s="244" t="s">
        <v>83</v>
      </c>
      <c r="R9" s="241" t="s">
        <v>81</v>
      </c>
      <c r="S9" s="241" t="s">
        <v>81</v>
      </c>
      <c r="T9" s="244"/>
      <c r="U9" s="248"/>
      <c r="V9" s="244"/>
      <c r="W9" s="244"/>
      <c r="X9" s="244"/>
      <c r="Y9" s="244"/>
      <c r="Z9" s="241" t="s">
        <v>84</v>
      </c>
      <c r="AA9" s="244"/>
      <c r="AB9" s="250"/>
      <c r="AC9" s="247"/>
      <c r="AD9" s="244"/>
      <c r="AE9" s="244" t="s">
        <v>83</v>
      </c>
      <c r="AF9" s="595" t="s">
        <v>84</v>
      </c>
      <c r="AG9" s="244"/>
      <c r="AH9" s="244"/>
      <c r="AI9" s="248"/>
    </row>
    <row r="10" spans="1:42" ht="18" customHeight="1">
      <c r="A10" s="1375" t="s">
        <v>85</v>
      </c>
      <c r="B10" s="44" t="s">
        <v>86</v>
      </c>
      <c r="C10" s="17" t="s">
        <v>13</v>
      </c>
      <c r="D10" s="21">
        <v>231061</v>
      </c>
      <c r="E10" s="592" t="s">
        <v>88</v>
      </c>
      <c r="F10" s="255" t="s">
        <v>84</v>
      </c>
      <c r="G10" s="259" t="s">
        <v>84</v>
      </c>
      <c r="H10" s="254" t="s">
        <v>87</v>
      </c>
      <c r="I10" s="254" t="s">
        <v>87</v>
      </c>
      <c r="J10" s="254" t="s">
        <v>87</v>
      </c>
      <c r="K10" s="254" t="s">
        <v>87</v>
      </c>
      <c r="L10" s="254" t="s">
        <v>87</v>
      </c>
      <c r="M10" s="255" t="s">
        <v>84</v>
      </c>
      <c r="N10" s="258" t="s">
        <v>38</v>
      </c>
      <c r="O10" s="253" t="s">
        <v>38</v>
      </c>
      <c r="P10" s="254" t="s">
        <v>38</v>
      </c>
      <c r="Q10" s="254" t="s">
        <v>38</v>
      </c>
      <c r="R10" s="254" t="s">
        <v>38</v>
      </c>
      <c r="S10" s="254" t="s">
        <v>38</v>
      </c>
      <c r="T10" s="255" t="s">
        <v>84</v>
      </c>
      <c r="U10" s="256" t="s">
        <v>38</v>
      </c>
      <c r="V10" s="254" t="s">
        <v>38</v>
      </c>
      <c r="W10" s="254" t="s">
        <v>38</v>
      </c>
      <c r="X10" s="254" t="s">
        <v>38</v>
      </c>
      <c r="Y10" s="254" t="s">
        <v>38</v>
      </c>
      <c r="Z10" s="254" t="s">
        <v>38</v>
      </c>
      <c r="AA10" s="255" t="s">
        <v>84</v>
      </c>
      <c r="AB10" s="260" t="s">
        <v>84</v>
      </c>
      <c r="AC10" s="592" t="s">
        <v>88</v>
      </c>
      <c r="AD10" s="254" t="s">
        <v>87</v>
      </c>
      <c r="AE10" s="254" t="s">
        <v>87</v>
      </c>
      <c r="AF10" s="258" t="s">
        <v>87</v>
      </c>
      <c r="AG10" s="254" t="s">
        <v>87</v>
      </c>
      <c r="AH10" s="255" t="s">
        <v>84</v>
      </c>
      <c r="AI10" s="259" t="s">
        <v>84</v>
      </c>
    </row>
    <row r="11" spans="1:42" ht="18" customHeight="1">
      <c r="A11" s="1375"/>
      <c r="B11" s="846" t="s">
        <v>24</v>
      </c>
      <c r="C11" s="18" t="s">
        <v>13</v>
      </c>
      <c r="D11" s="1104" t="s">
        <v>89</v>
      </c>
      <c r="E11" s="888" t="s">
        <v>88</v>
      </c>
      <c r="F11" s="795" t="s">
        <v>84</v>
      </c>
      <c r="G11" s="1033" t="s">
        <v>94</v>
      </c>
      <c r="H11" s="654" t="s">
        <v>94</v>
      </c>
      <c r="I11" s="655" t="s">
        <v>94</v>
      </c>
      <c r="J11" s="655" t="s">
        <v>94</v>
      </c>
      <c r="K11" s="655" t="s">
        <v>94</v>
      </c>
      <c r="L11" s="655" t="s">
        <v>94</v>
      </c>
      <c r="M11" s="264" t="s">
        <v>84</v>
      </c>
      <c r="N11" s="268" t="s">
        <v>84</v>
      </c>
      <c r="O11" s="262" t="s">
        <v>87</v>
      </c>
      <c r="P11" s="267" t="s">
        <v>87</v>
      </c>
      <c r="Q11" s="1032" t="s">
        <v>83</v>
      </c>
      <c r="R11" s="264" t="s">
        <v>84</v>
      </c>
      <c r="S11" s="263" t="s">
        <v>87</v>
      </c>
      <c r="T11" s="795" t="s">
        <v>84</v>
      </c>
      <c r="U11" s="265" t="s">
        <v>84</v>
      </c>
      <c r="V11" s="267" t="s">
        <v>87</v>
      </c>
      <c r="W11" s="267" t="s">
        <v>87</v>
      </c>
      <c r="X11" s="267" t="s">
        <v>87</v>
      </c>
      <c r="Y11" s="267" t="s">
        <v>87</v>
      </c>
      <c r="Z11" s="267" t="s">
        <v>87</v>
      </c>
      <c r="AA11" s="264" t="s">
        <v>84</v>
      </c>
      <c r="AB11" s="268" t="s">
        <v>84</v>
      </c>
      <c r="AC11" s="353" t="s">
        <v>88</v>
      </c>
      <c r="AD11" s="267" t="s">
        <v>87</v>
      </c>
      <c r="AE11" s="267" t="s">
        <v>87</v>
      </c>
      <c r="AF11" s="751" t="s">
        <v>87</v>
      </c>
      <c r="AG11" s="263" t="s">
        <v>87</v>
      </c>
      <c r="AH11" s="1034" t="s">
        <v>90</v>
      </c>
      <c r="AI11" s="265" t="s">
        <v>84</v>
      </c>
    </row>
    <row r="12" spans="1:42" ht="18" customHeight="1">
      <c r="A12" s="1374" t="s">
        <v>92</v>
      </c>
      <c r="B12" s="1332" t="s">
        <v>93</v>
      </c>
      <c r="C12" s="1332"/>
      <c r="D12" s="1332"/>
      <c r="E12" s="756" t="s">
        <v>94</v>
      </c>
      <c r="F12" s="757" t="s">
        <v>84</v>
      </c>
      <c r="G12" s="758" t="s">
        <v>84</v>
      </c>
      <c r="H12" s="759" t="s">
        <v>95</v>
      </c>
      <c r="I12" s="759" t="s">
        <v>95</v>
      </c>
      <c r="J12" s="759" t="s">
        <v>95</v>
      </c>
      <c r="K12" s="759" t="s">
        <v>95</v>
      </c>
      <c r="L12" s="759" t="s">
        <v>95</v>
      </c>
      <c r="M12" s="759" t="s">
        <v>95</v>
      </c>
      <c r="N12" s="760" t="s">
        <v>84</v>
      </c>
      <c r="O12" s="756" t="s">
        <v>95</v>
      </c>
      <c r="P12" s="759" t="s">
        <v>95</v>
      </c>
      <c r="Q12" s="759" t="s">
        <v>95</v>
      </c>
      <c r="R12" s="759" t="s">
        <v>95</v>
      </c>
      <c r="S12" s="759" t="s">
        <v>95</v>
      </c>
      <c r="T12" s="757" t="s">
        <v>84</v>
      </c>
      <c r="U12" s="758" t="s">
        <v>84</v>
      </c>
      <c r="V12" s="759" t="s">
        <v>94</v>
      </c>
      <c r="W12" s="759" t="s">
        <v>94</v>
      </c>
      <c r="X12" s="759" t="s">
        <v>94</v>
      </c>
      <c r="Y12" s="759" t="s">
        <v>94</v>
      </c>
      <c r="Z12" s="759" t="s">
        <v>94</v>
      </c>
      <c r="AA12" s="757" t="s">
        <v>84</v>
      </c>
      <c r="AB12" s="761" t="s">
        <v>94</v>
      </c>
      <c r="AC12" s="756" t="s">
        <v>94</v>
      </c>
      <c r="AD12" s="759" t="s">
        <v>94</v>
      </c>
      <c r="AE12" s="759" t="s">
        <v>94</v>
      </c>
      <c r="AF12" s="761" t="s">
        <v>94</v>
      </c>
      <c r="AG12" s="759" t="s">
        <v>94</v>
      </c>
      <c r="AH12" s="757" t="s">
        <v>84</v>
      </c>
      <c r="AI12" s="758" t="s">
        <v>84</v>
      </c>
      <c r="AJ12" s="137" t="s">
        <v>95</v>
      </c>
      <c r="AK12" s="137" t="s">
        <v>38</v>
      </c>
      <c r="AL12" s="138" t="s">
        <v>84</v>
      </c>
      <c r="AM12" s="137" t="s">
        <v>81</v>
      </c>
      <c r="AN12" s="137" t="s">
        <v>88</v>
      </c>
      <c r="AO12" s="137" t="s">
        <v>96</v>
      </c>
      <c r="AP12" s="139" t="s">
        <v>97</v>
      </c>
    </row>
    <row r="13" spans="1:42" ht="18" customHeight="1">
      <c r="A13" s="1376"/>
      <c r="B13" s="847" t="s">
        <v>22</v>
      </c>
      <c r="C13" s="53" t="s">
        <v>16</v>
      </c>
      <c r="D13" s="23">
        <v>517968</v>
      </c>
      <c r="E13" s="645"/>
      <c r="F13" s="646" t="s">
        <v>94</v>
      </c>
      <c r="G13" s="647"/>
      <c r="H13" s="794" t="s">
        <v>84</v>
      </c>
      <c r="I13" s="646"/>
      <c r="J13" s="646"/>
      <c r="K13" s="646"/>
      <c r="L13" s="646"/>
      <c r="M13" s="646"/>
      <c r="N13" s="762"/>
      <c r="O13" s="645"/>
      <c r="P13" s="646"/>
      <c r="Q13" s="646"/>
      <c r="R13" s="646"/>
      <c r="S13" s="794" t="s">
        <v>164</v>
      </c>
      <c r="T13" s="646"/>
      <c r="U13" s="647"/>
      <c r="V13" s="646"/>
      <c r="W13" s="646"/>
      <c r="X13" s="646"/>
      <c r="Y13" s="646"/>
      <c r="Z13" s="794" t="s">
        <v>84</v>
      </c>
      <c r="AA13" s="646" t="s">
        <v>94</v>
      </c>
      <c r="AB13" s="762"/>
      <c r="AC13" s="645"/>
      <c r="AD13" s="646"/>
      <c r="AE13" s="646"/>
      <c r="AF13" s="762"/>
      <c r="AG13" s="646"/>
      <c r="AH13" s="646"/>
      <c r="AI13" s="647"/>
      <c r="AJ13" s="89" cm="1">
        <f t="array" ref="AJ13">SUMPRODUCT(($E$12:$AI$12="HR")*($E$13:$AI$13=""))+SUMPRODUCT(($E$13:$AI$13="HR")*1)</f>
        <v>9</v>
      </c>
      <c r="AK13" s="89" cm="1">
        <f t="array" ref="AK13">SUMPRODUCT(($E$12:$AI$12="N0")*($E$13:$AI$13=""))+SUMPRODUCT(($E$13:$AI$13="N")*1)</f>
        <v>11</v>
      </c>
      <c r="AL13" s="89" cm="1">
        <f t="array" ref="AL13">SUMPRODUCT(($E$12:$AI$12="RD")*($E$13:$AI$13=""))+SUMPRODUCT(($E$13:$AI$13="RD")*1)</f>
        <v>8</v>
      </c>
      <c r="AM13" s="89" cm="1">
        <f t="array" ref="AM13">SUMPRODUCT(($E$13:$AI$13="AL")*1)</f>
        <v>0</v>
      </c>
      <c r="AN13" s="89" cm="1">
        <f t="array" ref="AN13">SUMPRODUCT(($E$13:$AI$13="SH")*1)</f>
        <v>0</v>
      </c>
      <c r="AO13" s="89" cm="1">
        <f t="array" ref="AO13">SUMPRODUCT(($E$13:$AI$13="SL")*1)</f>
        <v>0</v>
      </c>
      <c r="AP13" s="140" t="e">
        <f>#REF!-AJ13-AK13-AL13-AM13-AN13-AO13</f>
        <v>#REF!</v>
      </c>
    </row>
    <row r="14" spans="1:42" ht="18" customHeight="1">
      <c r="A14" s="1374" t="s">
        <v>98</v>
      </c>
      <c r="B14" s="1330" t="s">
        <v>93</v>
      </c>
      <c r="C14" s="1330"/>
      <c r="D14" s="1330"/>
      <c r="E14" s="756" t="s">
        <v>95</v>
      </c>
      <c r="F14" s="757" t="s">
        <v>84</v>
      </c>
      <c r="G14" s="758" t="s">
        <v>84</v>
      </c>
      <c r="H14" s="759" t="s">
        <v>94</v>
      </c>
      <c r="I14" s="759" t="s">
        <v>94</v>
      </c>
      <c r="J14" s="759" t="s">
        <v>94</v>
      </c>
      <c r="K14" s="759" t="s">
        <v>94</v>
      </c>
      <c r="L14" s="759" t="s">
        <v>94</v>
      </c>
      <c r="M14" s="757" t="s">
        <v>84</v>
      </c>
      <c r="N14" s="761" t="s">
        <v>94</v>
      </c>
      <c r="O14" s="756" t="s">
        <v>94</v>
      </c>
      <c r="P14" s="759" t="s">
        <v>94</v>
      </c>
      <c r="Q14" s="759" t="s">
        <v>94</v>
      </c>
      <c r="R14" s="759" t="s">
        <v>94</v>
      </c>
      <c r="S14" s="759" t="s">
        <v>94</v>
      </c>
      <c r="T14" s="757" t="s">
        <v>84</v>
      </c>
      <c r="U14" s="758" t="s">
        <v>84</v>
      </c>
      <c r="V14" s="759" t="s">
        <v>95</v>
      </c>
      <c r="W14" s="759" t="s">
        <v>95</v>
      </c>
      <c r="X14" s="759" t="s">
        <v>95</v>
      </c>
      <c r="Y14" s="759" t="s">
        <v>95</v>
      </c>
      <c r="Z14" s="759" t="s">
        <v>95</v>
      </c>
      <c r="AA14" s="759" t="s">
        <v>95</v>
      </c>
      <c r="AB14" s="760" t="s">
        <v>84</v>
      </c>
      <c r="AC14" s="756" t="s">
        <v>95</v>
      </c>
      <c r="AD14" s="759" t="s">
        <v>95</v>
      </c>
      <c r="AE14" s="759" t="s">
        <v>95</v>
      </c>
      <c r="AF14" s="761" t="s">
        <v>95</v>
      </c>
      <c r="AG14" s="759" t="s">
        <v>95</v>
      </c>
      <c r="AH14" s="757" t="s">
        <v>84</v>
      </c>
      <c r="AI14" s="758" t="s">
        <v>84</v>
      </c>
      <c r="AJ14" s="137" t="s">
        <v>95</v>
      </c>
      <c r="AK14" s="137" t="s">
        <v>38</v>
      </c>
      <c r="AL14" s="138" t="s">
        <v>84</v>
      </c>
      <c r="AM14" s="137" t="s">
        <v>81</v>
      </c>
      <c r="AN14" s="137" t="s">
        <v>88</v>
      </c>
      <c r="AO14" s="137" t="s">
        <v>96</v>
      </c>
      <c r="AP14" s="139" t="s">
        <v>97</v>
      </c>
    </row>
    <row r="15" spans="1:42" ht="18" customHeight="1">
      <c r="A15" s="1376"/>
      <c r="B15" s="55" t="s">
        <v>46</v>
      </c>
      <c r="C15" s="53" t="s">
        <v>16</v>
      </c>
      <c r="D15" s="54">
        <v>673706</v>
      </c>
      <c r="E15" s="763"/>
      <c r="F15" s="764"/>
      <c r="G15" s="765"/>
      <c r="H15" s="764"/>
      <c r="I15" s="764"/>
      <c r="J15" s="764"/>
      <c r="K15" s="1037" t="s">
        <v>96</v>
      </c>
      <c r="L15" s="1037" t="s">
        <v>96</v>
      </c>
      <c r="M15" s="764"/>
      <c r="N15" s="766"/>
      <c r="O15" s="763"/>
      <c r="P15" s="764"/>
      <c r="Q15" s="764"/>
      <c r="R15" s="764"/>
      <c r="S15" s="764"/>
      <c r="T15" s="764"/>
      <c r="U15" s="765"/>
      <c r="V15" s="764"/>
      <c r="W15" s="764"/>
      <c r="X15" s="764"/>
      <c r="Y15" s="764"/>
      <c r="Z15" s="764"/>
      <c r="AA15" s="764"/>
      <c r="AB15" s="766"/>
      <c r="AC15" s="763"/>
      <c r="AD15" s="767"/>
      <c r="AE15" s="764" t="s">
        <v>245</v>
      </c>
      <c r="AF15" s="766"/>
      <c r="AG15" s="764"/>
      <c r="AH15" s="764"/>
      <c r="AI15" s="765"/>
      <c r="AJ15" s="89" cm="1">
        <f t="array" ref="AJ15">SUMPRODUCT(($E$14:$AI$14="HR")*($E$15:$AI$15=""))+SUMPRODUCT(($E$15:$AI$15="HR")*1)</f>
        <v>11</v>
      </c>
      <c r="AK15" s="89" cm="1">
        <f t="array" ref="AK15">SUMPRODUCT(($E$14:$AI$14="N0")*($E$15:$AI$15=""))+SUMPRODUCT(($E$15:$AI$15="N")*1)</f>
        <v>9</v>
      </c>
      <c r="AL15" s="89" cm="1">
        <f t="array" ref="AL15">SUMPRODUCT(($E$14:$AI$14="RD")*($E$15:$AI$15=""))+SUMPRODUCT(($E$15:$AI$15="RD")*1)</f>
        <v>8</v>
      </c>
      <c r="AM15" s="89" cm="1">
        <f t="array" ref="AM15">SUMPRODUCT(($E$15:$AI$15="AL")*1)</f>
        <v>0</v>
      </c>
      <c r="AN15" s="89" cm="1">
        <f t="array" ref="AN15">SUMPRODUCT(($E$15:$AI$15="SH")*1)</f>
        <v>0</v>
      </c>
      <c r="AO15" s="89" cm="1">
        <f t="array" ref="AO15">SUMPRODUCT(($E$15:$AI$15="SL")*1)</f>
        <v>2</v>
      </c>
      <c r="AP15" s="140" t="e">
        <f>#REF!-AJ15-AK15-AL15-AM15-AN15-AO15</f>
        <v>#REF!</v>
      </c>
    </row>
    <row r="16" spans="1:42" ht="18" customHeight="1">
      <c r="A16" s="1374" t="s">
        <v>99</v>
      </c>
      <c r="B16" s="1330" t="s">
        <v>93</v>
      </c>
      <c r="C16" s="1330"/>
      <c r="D16" s="1330"/>
      <c r="E16" s="756" t="s">
        <v>95</v>
      </c>
      <c r="F16" s="757" t="s">
        <v>84</v>
      </c>
      <c r="G16" s="758" t="s">
        <v>84</v>
      </c>
      <c r="H16" s="759" t="s">
        <v>95</v>
      </c>
      <c r="I16" s="759" t="s">
        <v>95</v>
      </c>
      <c r="J16" s="759" t="s">
        <v>95</v>
      </c>
      <c r="K16" s="759" t="s">
        <v>95</v>
      </c>
      <c r="L16" s="759" t="s">
        <v>95</v>
      </c>
      <c r="M16" s="759" t="s">
        <v>95</v>
      </c>
      <c r="N16" s="768" t="s">
        <v>84</v>
      </c>
      <c r="O16" s="756" t="s">
        <v>95</v>
      </c>
      <c r="P16" s="759" t="s">
        <v>95</v>
      </c>
      <c r="Q16" s="759" t="s">
        <v>95</v>
      </c>
      <c r="R16" s="759" t="s">
        <v>95</v>
      </c>
      <c r="S16" s="759" t="s">
        <v>95</v>
      </c>
      <c r="T16" s="757" t="s">
        <v>84</v>
      </c>
      <c r="U16" s="758" t="s">
        <v>84</v>
      </c>
      <c r="V16" s="759" t="s">
        <v>95</v>
      </c>
      <c r="W16" s="759" t="s">
        <v>95</v>
      </c>
      <c r="X16" s="759" t="s">
        <v>95</v>
      </c>
      <c r="Y16" s="759" t="s">
        <v>95</v>
      </c>
      <c r="Z16" s="759" t="s">
        <v>95</v>
      </c>
      <c r="AA16" s="759" t="s">
        <v>95</v>
      </c>
      <c r="AB16" s="768" t="s">
        <v>84</v>
      </c>
      <c r="AC16" s="756" t="s">
        <v>95</v>
      </c>
      <c r="AD16" s="759" t="s">
        <v>95</v>
      </c>
      <c r="AE16" s="759" t="s">
        <v>95</v>
      </c>
      <c r="AF16" s="761" t="s">
        <v>95</v>
      </c>
      <c r="AG16" s="759" t="s">
        <v>95</v>
      </c>
      <c r="AH16" s="757" t="s">
        <v>84</v>
      </c>
      <c r="AI16" s="758" t="s">
        <v>84</v>
      </c>
      <c r="AJ16" s="137" t="s">
        <v>95</v>
      </c>
      <c r="AK16" s="137" t="s">
        <v>38</v>
      </c>
      <c r="AL16" s="138" t="s">
        <v>84</v>
      </c>
      <c r="AM16" s="137" t="s">
        <v>81</v>
      </c>
      <c r="AN16" s="137" t="s">
        <v>88</v>
      </c>
      <c r="AO16" s="137" t="s">
        <v>96</v>
      </c>
      <c r="AP16" s="139" t="s">
        <v>97</v>
      </c>
    </row>
    <row r="17" spans="1:42" ht="18" customHeight="1">
      <c r="A17" s="1376"/>
      <c r="B17" s="56" t="s">
        <v>100</v>
      </c>
      <c r="C17" s="53" t="s">
        <v>16</v>
      </c>
      <c r="D17" s="54">
        <v>469319</v>
      </c>
      <c r="E17" s="645"/>
      <c r="F17" s="646"/>
      <c r="G17" s="647"/>
      <c r="H17" s="646"/>
      <c r="I17" s="646"/>
      <c r="J17" s="646"/>
      <c r="K17" s="646"/>
      <c r="L17" s="646"/>
      <c r="M17" s="646"/>
      <c r="N17" s="762"/>
      <c r="O17" s="645"/>
      <c r="P17" s="794" t="s">
        <v>88</v>
      </c>
      <c r="Q17" s="646"/>
      <c r="R17" s="646"/>
      <c r="S17" s="646"/>
      <c r="T17" s="646"/>
      <c r="U17" s="647"/>
      <c r="V17" s="646"/>
      <c r="W17" s="646"/>
      <c r="X17" s="646"/>
      <c r="Y17" s="646"/>
      <c r="Z17" s="646"/>
      <c r="AA17" s="646"/>
      <c r="AB17" s="762"/>
      <c r="AC17" s="645"/>
      <c r="AD17" s="646"/>
      <c r="AE17" s="646" t="s">
        <v>245</v>
      </c>
      <c r="AF17" s="762"/>
      <c r="AG17" s="646"/>
      <c r="AH17" s="646"/>
      <c r="AI17" s="647"/>
      <c r="AJ17" s="89" cm="1">
        <f t="array" ref="AJ17">SUMPRODUCT(($E$16:$AI$16="HR")*($E$17:$AI$17=""))+SUMPRODUCT(($E$17:$AI$17="HR")*1)</f>
        <v>21</v>
      </c>
      <c r="AK17" s="89" cm="1">
        <f t="array" ref="AK17">SUMPRODUCT(($E$16:$AI$16="N0")*($E$17:$AI$17=""))+SUMPRODUCT(($E$17:$AI$17="N")*1)</f>
        <v>0</v>
      </c>
      <c r="AL17" s="89" cm="1">
        <f t="array" ref="AL17">SUMPRODUCT(($E$16:$AI$16="RD")*($E$17:$AI$17=""))+SUMPRODUCT(($E$17:$AI$17="RD")*1)</f>
        <v>8</v>
      </c>
      <c r="AM17" s="89" cm="1">
        <f t="array" ref="AM17">SUMPRODUCT(($E$17:$AI$17="AL")*1)</f>
        <v>0</v>
      </c>
      <c r="AN17" s="89" cm="1">
        <f t="array" ref="AN17">SUMPRODUCT(($E$17:$AI$17="SH")*1)</f>
        <v>1</v>
      </c>
      <c r="AO17" s="89" cm="1">
        <f t="array" ref="AO17">SUMPRODUCT(($E$17:$AI$17="SL")*1)</f>
        <v>0</v>
      </c>
      <c r="AP17" s="140" t="e">
        <f>#REF!-AJ17-AK17-AL17-AM17-AN17-AO17</f>
        <v>#REF!</v>
      </c>
    </row>
    <row r="18" spans="1:42" ht="18" customHeight="1">
      <c r="A18" s="1381" t="s">
        <v>101</v>
      </c>
      <c r="B18" s="1365" t="s">
        <v>93</v>
      </c>
      <c r="C18" s="1344"/>
      <c r="D18" s="1345"/>
      <c r="E18" s="756" t="s">
        <v>94</v>
      </c>
      <c r="F18" s="757" t="s">
        <v>84</v>
      </c>
      <c r="G18" s="758" t="s">
        <v>84</v>
      </c>
      <c r="H18" s="769" t="s">
        <v>95</v>
      </c>
      <c r="I18" s="769" t="s">
        <v>95</v>
      </c>
      <c r="J18" s="769" t="s">
        <v>95</v>
      </c>
      <c r="K18" s="769" t="s">
        <v>95</v>
      </c>
      <c r="L18" s="769" t="s">
        <v>95</v>
      </c>
      <c r="M18" s="770" t="s">
        <v>84</v>
      </c>
      <c r="N18" s="760" t="s">
        <v>84</v>
      </c>
      <c r="O18" s="756" t="s">
        <v>94</v>
      </c>
      <c r="P18" s="759" t="s">
        <v>94</v>
      </c>
      <c r="Q18" s="759" t="s">
        <v>94</v>
      </c>
      <c r="R18" s="759" t="s">
        <v>94</v>
      </c>
      <c r="S18" s="759" t="s">
        <v>94</v>
      </c>
      <c r="T18" s="757" t="s">
        <v>84</v>
      </c>
      <c r="U18" s="771" t="s">
        <v>94</v>
      </c>
      <c r="V18" s="772" t="s">
        <v>94</v>
      </c>
      <c r="W18" s="772" t="s">
        <v>94</v>
      </c>
      <c r="X18" s="772" t="s">
        <v>94</v>
      </c>
      <c r="Y18" s="772" t="s">
        <v>94</v>
      </c>
      <c r="Z18" s="772" t="s">
        <v>94</v>
      </c>
      <c r="AA18" s="757" t="s">
        <v>84</v>
      </c>
      <c r="AB18" s="761" t="s">
        <v>94</v>
      </c>
      <c r="AC18" s="756" t="s">
        <v>94</v>
      </c>
      <c r="AD18" s="759" t="s">
        <v>94</v>
      </c>
      <c r="AE18" s="759" t="s">
        <v>94</v>
      </c>
      <c r="AF18" s="761" t="s">
        <v>94</v>
      </c>
      <c r="AG18" s="759" t="s">
        <v>94</v>
      </c>
      <c r="AH18" s="757" t="s">
        <v>84</v>
      </c>
      <c r="AI18" s="758" t="s">
        <v>84</v>
      </c>
      <c r="AJ18" s="137" t="s">
        <v>95</v>
      </c>
      <c r="AK18" s="137" t="s">
        <v>38</v>
      </c>
      <c r="AL18" s="138" t="s">
        <v>84</v>
      </c>
      <c r="AM18" s="137" t="s">
        <v>81</v>
      </c>
      <c r="AN18" s="137" t="s">
        <v>88</v>
      </c>
      <c r="AO18" s="137" t="s">
        <v>96</v>
      </c>
      <c r="AP18" s="139" t="s">
        <v>97</v>
      </c>
    </row>
    <row r="19" spans="1:42" ht="18" customHeight="1">
      <c r="A19" s="1382"/>
      <c r="B19" s="121" t="s">
        <v>14</v>
      </c>
      <c r="C19" s="111" t="s">
        <v>16</v>
      </c>
      <c r="D19" s="112">
        <v>321508</v>
      </c>
      <c r="E19" s="232"/>
      <c r="F19" s="221"/>
      <c r="G19" s="222"/>
      <c r="H19" s="221"/>
      <c r="I19" s="207" t="s">
        <v>88</v>
      </c>
      <c r="J19" s="221"/>
      <c r="L19" s="207" t="s">
        <v>88</v>
      </c>
      <c r="M19" s="221"/>
      <c r="N19" s="234"/>
      <c r="O19" s="232"/>
      <c r="P19" s="221"/>
      <c r="Q19" s="221"/>
      <c r="R19" s="221"/>
      <c r="S19" s="221"/>
      <c r="T19" s="221"/>
      <c r="U19" s="222"/>
      <c r="V19" s="221"/>
      <c r="W19" s="221"/>
      <c r="X19" s="221"/>
      <c r="Y19" s="221"/>
      <c r="Z19" s="207" t="s">
        <v>81</v>
      </c>
      <c r="AA19" s="221"/>
      <c r="AB19" s="234"/>
      <c r="AC19" s="232"/>
      <c r="AD19" s="221"/>
      <c r="AE19" s="221"/>
      <c r="AF19" s="234"/>
      <c r="AG19" s="221"/>
      <c r="AH19" s="221"/>
      <c r="AI19" s="222"/>
      <c r="AJ19" s="89" cm="1">
        <f t="array" ref="AJ19">SUMPRODUCT(($E$18:$AI$18="HR")*(E19:AI19=""))+SUMPRODUCT((E19:AI19="HR")*1)</f>
        <v>3</v>
      </c>
      <c r="AK19" s="89" cm="1">
        <f t="array" ref="AK19">SUMPRODUCT(($E$18:$AI$18="N0")*(E19:AI19=""))+SUMPRODUCT((E19:AI19="N")*1)</f>
        <v>17</v>
      </c>
      <c r="AL19" s="88" cm="1">
        <f t="array" ref="AL19">SUMPRODUCT(($E$18:$AI$18="RD")*(E19:AI19=""))+SUMPRODUCT((E19:AI19="RD")*1)</f>
        <v>8</v>
      </c>
      <c r="AM19" s="89" cm="1">
        <f t="array" ref="AM19">SUMPRODUCT((F19:AI19="AL")*1)</f>
        <v>1</v>
      </c>
      <c r="AN19" s="89" cm="1">
        <f t="array" ref="AN19">SUMPRODUCT((F19:AI19="SH")*1)</f>
        <v>2</v>
      </c>
      <c r="AO19" s="89" cm="1">
        <f t="array" ref="AO19">SUMPRODUCT((E19:AI19="SL")*1)</f>
        <v>0</v>
      </c>
      <c r="AP19" s="140" t="e">
        <f>#REF!-AJ19-AK19-AL19-AM19-AN19-AO19</f>
        <v>#REF!</v>
      </c>
    </row>
    <row r="20" spans="1:42" ht="18" customHeight="1">
      <c r="A20" s="1382"/>
      <c r="B20" s="118" t="s">
        <v>102</v>
      </c>
      <c r="C20" s="99" t="s">
        <v>16</v>
      </c>
      <c r="D20" s="103">
        <v>461865</v>
      </c>
      <c r="E20" s="28"/>
      <c r="F20" s="29"/>
      <c r="G20" s="30"/>
      <c r="H20" s="29" t="s">
        <v>211</v>
      </c>
      <c r="I20" s="29" t="s">
        <v>211</v>
      </c>
      <c r="J20" s="29"/>
      <c r="K20" s="29"/>
      <c r="L20" s="29"/>
      <c r="M20" s="29"/>
      <c r="N20" s="65"/>
      <c r="O20" s="28"/>
      <c r="P20" s="29"/>
      <c r="Q20" s="29"/>
      <c r="R20" s="29"/>
      <c r="S20" s="29"/>
      <c r="T20" s="29" t="s">
        <v>161</v>
      </c>
      <c r="U20" s="30"/>
      <c r="V20" s="29"/>
      <c r="W20" s="29"/>
      <c r="X20" s="29"/>
      <c r="Y20" s="183" t="s">
        <v>88</v>
      </c>
      <c r="Z20" s="183" t="s">
        <v>88</v>
      </c>
      <c r="AA20" s="183"/>
      <c r="AB20" s="235" t="s">
        <v>88</v>
      </c>
      <c r="AC20" s="184" t="s">
        <v>88</v>
      </c>
      <c r="AD20" s="183" t="s">
        <v>88</v>
      </c>
      <c r="AE20" s="183" t="s">
        <v>88</v>
      </c>
      <c r="AF20" s="235" t="s">
        <v>88</v>
      </c>
      <c r="AG20" s="183" t="s">
        <v>88</v>
      </c>
      <c r="AH20" s="29"/>
      <c r="AI20" s="30"/>
      <c r="AJ20" s="89" cm="1">
        <f t="array" ref="AJ20">SUMPRODUCT(($E$18:$AI$18="HR")*(E20:AI20=""))+SUMPRODUCT((E20:AI20="HR")*1)</f>
        <v>3</v>
      </c>
      <c r="AK20" s="89" cm="1">
        <f t="array" ref="AK20">SUMPRODUCT(($E$18:$AI$18="N0")*(E20:AI20=""))+SUMPRODUCT((E20:AI20="N")*1)</f>
        <v>10</v>
      </c>
      <c r="AL20" s="88" cm="1">
        <f t="array" ref="AL20">SUMPRODUCT(($E$18:$AI$18="RD")*(E20:AI20=""))+SUMPRODUCT((E20:AI20="RD")*1)</f>
        <v>7</v>
      </c>
      <c r="AM20" s="89" cm="1">
        <f t="array" ref="AM20">SUMPRODUCT((F20:AI20="AL")*1)</f>
        <v>0</v>
      </c>
      <c r="AN20" s="89" cm="1">
        <f t="array" ref="AN20">SUMPRODUCT((F20:AI20="SH")*1)</f>
        <v>8</v>
      </c>
      <c r="AO20" s="89" cm="1">
        <f t="array" ref="AO20">SUMPRODUCT((E20:AI20="SL")*1)</f>
        <v>0</v>
      </c>
      <c r="AP20" s="140" t="e">
        <f>#REF!-AJ20-AK20-AL20-AM20-AN20-AO20</f>
        <v>#REF!</v>
      </c>
    </row>
    <row r="21" spans="1:42" ht="18" customHeight="1">
      <c r="A21" s="1382"/>
      <c r="B21" s="101" t="s">
        <v>41</v>
      </c>
      <c r="C21" s="99" t="s">
        <v>27</v>
      </c>
      <c r="D21" s="103">
        <v>676095</v>
      </c>
      <c r="E21" s="28"/>
      <c r="F21" s="29"/>
      <c r="G21" s="30"/>
      <c r="H21" s="29"/>
      <c r="I21" s="29"/>
      <c r="J21" s="29" t="s">
        <v>123</v>
      </c>
      <c r="K21" s="29" t="s">
        <v>123</v>
      </c>
      <c r="L21" s="29"/>
      <c r="M21" s="29" t="s">
        <v>95</v>
      </c>
      <c r="N21" s="65"/>
      <c r="O21" s="28" t="s">
        <v>107</v>
      </c>
      <c r="P21" s="29" t="s">
        <v>246</v>
      </c>
      <c r="Q21" s="29" t="s">
        <v>95</v>
      </c>
      <c r="R21" s="29" t="s">
        <v>212</v>
      </c>
      <c r="S21" s="29" t="s">
        <v>95</v>
      </c>
      <c r="T21" s="29"/>
      <c r="U21" s="30"/>
      <c r="V21" s="29"/>
      <c r="W21" s="29"/>
      <c r="X21" s="29"/>
      <c r="Y21" s="29"/>
      <c r="Z21" s="29"/>
      <c r="AA21" s="29"/>
      <c r="AB21" s="65"/>
      <c r="AC21" s="28"/>
      <c r="AD21" s="29"/>
      <c r="AE21" s="29"/>
      <c r="AF21" s="65"/>
      <c r="AG21" s="29" t="s">
        <v>247</v>
      </c>
      <c r="AH21" s="29"/>
      <c r="AI21" s="30"/>
      <c r="AJ21" s="89" cm="1">
        <f t="array" ref="AJ21">SUMPRODUCT(($E$18:$AI$18="HR")*(E21:AI21=""))+SUMPRODUCT((E21:AI21="HR")*1)</f>
        <v>6</v>
      </c>
      <c r="AK21" s="89" cm="1">
        <f t="array" ref="AK21">SUMPRODUCT(($E$18:$AI$18="N0")*(E21:AI21=""))+SUMPRODUCT((E21:AI21="N")*1)</f>
        <v>12</v>
      </c>
      <c r="AL21" s="88" cm="1">
        <f t="array" ref="AL21">SUMPRODUCT(($E$18:$AI$18="RD")*(E21:AI21=""))+SUMPRODUCT((E21:AI21="RD")*1)</f>
        <v>7</v>
      </c>
      <c r="AM21" s="89" cm="1">
        <f t="array" ref="AM21">SUMPRODUCT((F21:AI21="AL")*1)</f>
        <v>0</v>
      </c>
      <c r="AN21" s="89" cm="1">
        <f t="array" ref="AN21">SUMPRODUCT((F21:AI21="SH")*1)</f>
        <v>0</v>
      </c>
      <c r="AO21" s="89" cm="1">
        <f t="array" ref="AO21">SUMPRODUCT((E21:AI21="SL")*1)</f>
        <v>0</v>
      </c>
      <c r="AP21" s="140" t="e">
        <f>#REF!-AJ21-AK21-AL21-AM21-AN21-AO21</f>
        <v>#REF!</v>
      </c>
    </row>
    <row r="22" spans="1:42" ht="18" customHeight="1">
      <c r="A22" s="1382"/>
      <c r="B22" s="118" t="s">
        <v>104</v>
      </c>
      <c r="C22" s="99" t="s">
        <v>27</v>
      </c>
      <c r="D22" s="103">
        <v>681383</v>
      </c>
      <c r="E22" s="28"/>
      <c r="F22" s="29"/>
      <c r="G22" s="30"/>
      <c r="H22" s="29" t="s">
        <v>145</v>
      </c>
      <c r="I22" s="29"/>
      <c r="J22" s="29"/>
      <c r="K22" s="29"/>
      <c r="L22" s="208" t="s">
        <v>96</v>
      </c>
      <c r="M22" s="29" t="s">
        <v>95</v>
      </c>
      <c r="N22" s="65"/>
      <c r="O22" s="28"/>
      <c r="P22" s="29"/>
      <c r="Q22" s="29"/>
      <c r="R22" s="29"/>
      <c r="S22" s="29"/>
      <c r="T22" s="29"/>
      <c r="U22" s="30"/>
      <c r="V22" s="29"/>
      <c r="W22" s="29"/>
      <c r="X22" s="29"/>
      <c r="Y22" s="29"/>
      <c r="Z22" s="29"/>
      <c r="AA22" s="29"/>
      <c r="AB22" s="65"/>
      <c r="AC22" s="28"/>
      <c r="AD22" s="29"/>
      <c r="AE22" s="29"/>
      <c r="AF22" s="65"/>
      <c r="AG22" s="29"/>
      <c r="AH22" s="29"/>
      <c r="AI22" s="30"/>
      <c r="AJ22" s="89" cm="1">
        <f t="array" ref="AJ22">SUMPRODUCT(($E$18:$AI$18="HR")*(E22:AI22=""))+SUMPRODUCT((E22:AI22="HR")*1)</f>
        <v>4</v>
      </c>
      <c r="AK22" s="89" cm="1">
        <f t="array" ref="AK22">SUMPRODUCT(($E$18:$AI$18="N0")*(E22:AI22=""))+SUMPRODUCT((E22:AI22="N")*1)</f>
        <v>18</v>
      </c>
      <c r="AL22" s="88" cm="1">
        <f t="array" ref="AL22">SUMPRODUCT(($E$18:$AI$18="RD")*(E22:AI22=""))+SUMPRODUCT((E22:AI22="RD")*1)</f>
        <v>7</v>
      </c>
      <c r="AM22" s="89" cm="1">
        <f t="array" ref="AM22">SUMPRODUCT((F22:AI22="AL")*1)</f>
        <v>0</v>
      </c>
      <c r="AN22" s="89" cm="1">
        <f t="array" ref="AN22">SUMPRODUCT((F22:AI22="SH")*1)</f>
        <v>0</v>
      </c>
      <c r="AO22" s="89" cm="1">
        <f t="array" ref="AO22">SUMPRODUCT((E22:AI22="SL")*1)</f>
        <v>1</v>
      </c>
      <c r="AP22" s="140" t="e">
        <f>#REF!-AJ22-AK22-AL22-AM22-AN22-AO22</f>
        <v>#REF!</v>
      </c>
    </row>
    <row r="23" spans="1:42" ht="18" customHeight="1">
      <c r="A23" s="1382"/>
      <c r="B23" s="100" t="s">
        <v>30</v>
      </c>
      <c r="C23" s="99" t="s">
        <v>32</v>
      </c>
      <c r="D23" s="103">
        <v>679417</v>
      </c>
      <c r="E23" s="28"/>
      <c r="F23" s="29"/>
      <c r="G23" s="30"/>
      <c r="H23" s="183" t="s">
        <v>81</v>
      </c>
      <c r="I23" s="29"/>
      <c r="J23" s="29"/>
      <c r="K23" s="29"/>
      <c r="L23" s="29"/>
      <c r="M23" s="29"/>
      <c r="N23" s="65"/>
      <c r="O23" s="28"/>
      <c r="P23" s="29"/>
      <c r="Q23" s="29"/>
      <c r="R23" s="29"/>
      <c r="S23" s="29"/>
      <c r="T23" s="29"/>
      <c r="U23" s="30"/>
      <c r="V23" s="29"/>
      <c r="W23" s="29"/>
      <c r="X23" s="29"/>
      <c r="Y23" s="29"/>
      <c r="Z23" s="29"/>
      <c r="AA23" s="29"/>
      <c r="AB23" s="65"/>
      <c r="AC23" s="184" t="s">
        <v>88</v>
      </c>
      <c r="AD23" s="183" t="s">
        <v>81</v>
      </c>
      <c r="AE23" s="29"/>
      <c r="AF23" s="65"/>
      <c r="AG23" s="29"/>
      <c r="AH23" s="29"/>
      <c r="AI23" s="30"/>
      <c r="AJ23" s="89" cm="1">
        <f t="array" ref="AJ23">SUMPRODUCT(($E$18:$AI$18="HR")*(E23:AI23=""))+SUMPRODUCT((E23:AI23="HR")*1)</f>
        <v>4</v>
      </c>
      <c r="AK23" s="89" cm="1">
        <f t="array" ref="AK23">SUMPRODUCT(($E$18:$AI$18="N0")*(E23:AI23=""))+SUMPRODUCT((E23:AI23="N")*1)</f>
        <v>16</v>
      </c>
      <c r="AL23" s="88" cm="1">
        <f t="array" ref="AL23">SUMPRODUCT(($E$18:$AI$18="RD")*(E23:AI23=""))+SUMPRODUCT((E23:AI23="RD")*1)</f>
        <v>8</v>
      </c>
      <c r="AM23" s="89" cm="1">
        <f t="array" ref="AM23">SUMPRODUCT((F23:AI23="AL")*1)</f>
        <v>2</v>
      </c>
      <c r="AN23" s="89" cm="1">
        <f t="array" ref="AN23">SUMPRODUCT((F23:AI23="SH")*1)</f>
        <v>1</v>
      </c>
      <c r="AO23" s="89" cm="1">
        <f t="array" ref="AO23">SUMPRODUCT((E23:AI23="SL")*1)</f>
        <v>0</v>
      </c>
      <c r="AP23" s="140" t="e">
        <f>#REF!-AJ23-AK23-AL23-AM23-AN23-AO23</f>
        <v>#REF!</v>
      </c>
    </row>
    <row r="24" spans="1:42" ht="18" customHeight="1">
      <c r="A24" s="1383"/>
      <c r="B24" s="119" t="s">
        <v>48</v>
      </c>
      <c r="C24" s="106" t="s">
        <v>27</v>
      </c>
      <c r="D24" s="157">
        <v>684061</v>
      </c>
      <c r="E24" s="247"/>
      <c r="F24" s="244"/>
      <c r="G24" s="248"/>
      <c r="H24" s="244"/>
      <c r="I24" s="244"/>
      <c r="J24" s="244" t="s">
        <v>115</v>
      </c>
      <c r="K24" s="244"/>
      <c r="L24" s="244"/>
      <c r="M24" s="244"/>
      <c r="N24" s="250"/>
      <c r="O24" s="247"/>
      <c r="P24" s="244"/>
      <c r="Q24" s="244"/>
      <c r="R24" s="244"/>
      <c r="S24" s="244"/>
      <c r="T24" s="244"/>
      <c r="U24" s="245" t="s">
        <v>88</v>
      </c>
      <c r="V24" s="241" t="s">
        <v>88</v>
      </c>
      <c r="W24" s="241" t="s">
        <v>88</v>
      </c>
      <c r="X24" s="241" t="s">
        <v>88</v>
      </c>
      <c r="Y24" s="241" t="s">
        <v>88</v>
      </c>
      <c r="Z24" s="241" t="s">
        <v>88</v>
      </c>
      <c r="AA24" s="241"/>
      <c r="AB24" s="752" t="s">
        <v>88</v>
      </c>
      <c r="AC24" s="243" t="s">
        <v>88</v>
      </c>
      <c r="AD24" s="244"/>
      <c r="AE24" s="244"/>
      <c r="AF24" s="250"/>
      <c r="AG24" s="244"/>
      <c r="AH24" s="244"/>
      <c r="AI24" s="248"/>
      <c r="AJ24" s="89" cm="1">
        <f t="array" ref="AJ24">SUMPRODUCT(($E$18:$AI$18="HR")*(E24:AI24=""))+SUMPRODUCT((E24:AI24="HR")*1)</f>
        <v>4</v>
      </c>
      <c r="AK24" s="89" cm="1">
        <f t="array" ref="AK24">SUMPRODUCT(($E$18:$AI$18="N0")*(E24:AI24=""))+SUMPRODUCT((E24:AI24="N")*1)</f>
        <v>10</v>
      </c>
      <c r="AL24" s="88" cm="1">
        <f t="array" ref="AL24">SUMPRODUCT(($E$18:$AI$18="RD")*(E24:AI24=""))+SUMPRODUCT((E24:AI24="RD")*1)</f>
        <v>8</v>
      </c>
      <c r="AM24" s="89" cm="1">
        <f t="array" ref="AM24">SUMPRODUCT((F24:AI24="AL")*1)</f>
        <v>0</v>
      </c>
      <c r="AN24" s="89" cm="1">
        <f t="array" ref="AN24">SUMPRODUCT((F24:AI24="SH")*1)</f>
        <v>8</v>
      </c>
      <c r="AO24" s="89" cm="1">
        <f t="array" ref="AO24">SUMPRODUCT((E24:AI24="SL")*1)</f>
        <v>0</v>
      </c>
      <c r="AP24" s="140" t="e">
        <f>#REF!-AJ24-AK24-AL24-AM24-AN24-AO24</f>
        <v>#REF!</v>
      </c>
    </row>
    <row r="25" spans="1:42" ht="18" customHeight="1">
      <c r="A25" s="1375" t="s">
        <v>109</v>
      </c>
      <c r="B25" s="1330" t="s">
        <v>110</v>
      </c>
      <c r="C25" s="1330"/>
      <c r="D25" s="1330"/>
      <c r="E25" s="773" t="s">
        <v>94</v>
      </c>
      <c r="F25" s="770" t="s">
        <v>84</v>
      </c>
      <c r="G25" s="771" t="s">
        <v>94</v>
      </c>
      <c r="H25" s="772" t="s">
        <v>94</v>
      </c>
      <c r="I25" s="772" t="s">
        <v>94</v>
      </c>
      <c r="J25" s="772" t="s">
        <v>94</v>
      </c>
      <c r="K25" s="772" t="s">
        <v>94</v>
      </c>
      <c r="L25" s="772" t="s">
        <v>94</v>
      </c>
      <c r="M25" s="770" t="s">
        <v>84</v>
      </c>
      <c r="N25" s="760" t="s">
        <v>84</v>
      </c>
      <c r="O25" s="774" t="s">
        <v>95</v>
      </c>
      <c r="P25" s="769" t="s">
        <v>95</v>
      </c>
      <c r="Q25" s="769" t="s">
        <v>95</v>
      </c>
      <c r="R25" s="769" t="s">
        <v>95</v>
      </c>
      <c r="S25" s="769" t="s">
        <v>95</v>
      </c>
      <c r="T25" s="770" t="s">
        <v>84</v>
      </c>
      <c r="U25" s="775" t="s">
        <v>84</v>
      </c>
      <c r="V25" s="772" t="s">
        <v>94</v>
      </c>
      <c r="W25" s="772" t="s">
        <v>94</v>
      </c>
      <c r="X25" s="772" t="s">
        <v>94</v>
      </c>
      <c r="Y25" s="772" t="s">
        <v>94</v>
      </c>
      <c r="Z25" s="772" t="s">
        <v>94</v>
      </c>
      <c r="AA25" s="770" t="s">
        <v>84</v>
      </c>
      <c r="AB25" s="776" t="s">
        <v>94</v>
      </c>
      <c r="AC25" s="773" t="s">
        <v>94</v>
      </c>
      <c r="AD25" s="772" t="s">
        <v>94</v>
      </c>
      <c r="AE25" s="772" t="s">
        <v>94</v>
      </c>
      <c r="AF25" s="776" t="s">
        <v>94</v>
      </c>
      <c r="AG25" s="772" t="s">
        <v>94</v>
      </c>
      <c r="AH25" s="770" t="s">
        <v>84</v>
      </c>
      <c r="AI25" s="771" t="s">
        <v>94</v>
      </c>
      <c r="AJ25" s="137" t="s">
        <v>95</v>
      </c>
      <c r="AK25" s="137" t="s">
        <v>38</v>
      </c>
      <c r="AL25" s="138" t="s">
        <v>84</v>
      </c>
      <c r="AM25" s="137" t="s">
        <v>81</v>
      </c>
      <c r="AN25" s="137" t="s">
        <v>88</v>
      </c>
      <c r="AO25" s="137" t="s">
        <v>96</v>
      </c>
      <c r="AP25" s="139" t="s">
        <v>97</v>
      </c>
    </row>
    <row r="26" spans="1:42" ht="18" customHeight="1">
      <c r="A26" s="1375"/>
      <c r="B26" s="46" t="s">
        <v>111</v>
      </c>
      <c r="C26" s="27" t="s">
        <v>16</v>
      </c>
      <c r="D26" s="21">
        <v>265691</v>
      </c>
      <c r="E26" s="232"/>
      <c r="F26" s="221"/>
      <c r="G26" s="222"/>
      <c r="H26" s="221"/>
      <c r="I26" s="221"/>
      <c r="J26" s="221"/>
      <c r="K26" s="221"/>
      <c r="L26" s="221"/>
      <c r="M26" s="221"/>
      <c r="N26" s="234"/>
      <c r="O26" s="232"/>
      <c r="P26" s="221"/>
      <c r="Q26" s="221"/>
      <c r="R26" s="221"/>
      <c r="S26" s="207" t="s">
        <v>88</v>
      </c>
      <c r="T26" s="221"/>
      <c r="U26" s="222" t="s">
        <v>161</v>
      </c>
      <c r="V26" s="207" t="s">
        <v>88</v>
      </c>
      <c r="W26" s="221"/>
      <c r="X26" s="221"/>
      <c r="Y26" s="221"/>
      <c r="Z26" s="221"/>
      <c r="AA26" s="221"/>
      <c r="AB26" s="234"/>
      <c r="AC26" s="232"/>
      <c r="AD26" s="221"/>
      <c r="AE26" s="221"/>
      <c r="AF26" s="234"/>
      <c r="AG26" s="221"/>
      <c r="AH26" s="221"/>
      <c r="AI26" s="222"/>
      <c r="AJ26" s="89" cm="1">
        <f t="array" ref="AJ26">SUMPRODUCT(($E$25:$AI$25="HR")*(E26:AI26=""))+SUMPRODUCT((E26:AI26="HR")*1)</f>
        <v>4</v>
      </c>
      <c r="AK26" s="89" cm="1">
        <f t="array" ref="AK26">SUMPRODUCT(($E$25:$AI$25="N0")*(E26:AI26=""))+SUMPRODUCT((E26:AI26="N")*1)</f>
        <v>18</v>
      </c>
      <c r="AL26" s="88" cm="1">
        <f t="array" ref="AL26">SUMPRODUCT(($E$25:$AI$25="RD")*(E26:AI26=""))+SUMPRODUCT((E26:AI26="RD")*1)</f>
        <v>6</v>
      </c>
      <c r="AM26" s="89" cm="1">
        <f t="array" ref="AM26">SUMPRODUCT((F26:AI26="AL")*1)</f>
        <v>0</v>
      </c>
      <c r="AN26" s="89" cm="1">
        <f t="array" ref="AN26">SUMPRODUCT((F26:AI26="SH")*1)</f>
        <v>2</v>
      </c>
      <c r="AO26" s="89" cm="1">
        <f t="array" ref="AO26">SUMPRODUCT((E26:AI26="SL")*1)</f>
        <v>0</v>
      </c>
      <c r="AP26" s="140" t="e">
        <f>#REF!-AJ26-AK26-AL26-AM26-AN26-AO26</f>
        <v>#REF!</v>
      </c>
    </row>
    <row r="27" spans="1:42" ht="18" customHeight="1">
      <c r="A27" s="1375"/>
      <c r="B27" s="125" t="s">
        <v>113</v>
      </c>
      <c r="C27" s="16" t="s">
        <v>16</v>
      </c>
      <c r="D27" s="22">
        <v>422401</v>
      </c>
      <c r="E27" s="28"/>
      <c r="F27" s="29"/>
      <c r="G27" s="30"/>
      <c r="H27" s="29"/>
      <c r="I27" s="29"/>
      <c r="J27" s="29"/>
      <c r="K27" s="29"/>
      <c r="L27" s="29"/>
      <c r="M27" s="29"/>
      <c r="N27" s="65"/>
      <c r="O27" s="184" t="s">
        <v>88</v>
      </c>
      <c r="P27" s="29"/>
      <c r="Q27" s="29"/>
      <c r="R27" s="29" t="s">
        <v>208</v>
      </c>
      <c r="S27" s="183" t="s">
        <v>88</v>
      </c>
      <c r="T27" s="29"/>
      <c r="U27" s="30" t="s">
        <v>161</v>
      </c>
      <c r="V27" s="29"/>
      <c r="W27" s="29"/>
      <c r="X27" s="29"/>
      <c r="Y27" s="29"/>
      <c r="Z27" s="29"/>
      <c r="AA27" s="29"/>
      <c r="AB27" s="65"/>
      <c r="AC27" s="28"/>
      <c r="AD27" s="29"/>
      <c r="AE27" s="29"/>
      <c r="AF27" s="65"/>
      <c r="AG27" s="29"/>
      <c r="AH27" s="29"/>
      <c r="AI27" s="30"/>
      <c r="AJ27" s="89" cm="1">
        <f t="array" ref="AJ27">SUMPRODUCT(($E$25:$AI$25="HR")*(E27:AI27=""))+SUMPRODUCT((E27:AI27="HR")*1)</f>
        <v>2</v>
      </c>
      <c r="AK27" s="89" cm="1">
        <f t="array" ref="AK27">SUMPRODUCT(($E$25:$AI$25="N0")*(E27:AI27=""))+SUMPRODUCT((E27:AI27="N")*1)</f>
        <v>19</v>
      </c>
      <c r="AL27" s="88" cm="1">
        <f t="array" ref="AL27">SUMPRODUCT(($E$25:$AI$25="RD")*(E27:AI27=""))+SUMPRODUCT((E27:AI27="RD")*1)</f>
        <v>6</v>
      </c>
      <c r="AM27" s="89" cm="1">
        <f t="array" ref="AM27">SUMPRODUCT((F27:AI27="AL")*1)</f>
        <v>0</v>
      </c>
      <c r="AN27" s="89" cm="1">
        <f t="array" ref="AN27">SUMPRODUCT((F27:AI27="SH")*1)</f>
        <v>2</v>
      </c>
      <c r="AO27" s="89" cm="1">
        <f t="array" ref="AO27">SUMPRODUCT((E27:AI27="SL")*1)</f>
        <v>0</v>
      </c>
      <c r="AP27" s="140" t="e">
        <f>#REF!-AJ27-AK27-AL27-AM27-AN27-AO27</f>
        <v>#REF!</v>
      </c>
    </row>
    <row r="28" spans="1:42" ht="18" customHeight="1">
      <c r="A28" s="1375"/>
      <c r="B28" s="102" t="s">
        <v>29</v>
      </c>
      <c r="C28" s="16" t="s">
        <v>27</v>
      </c>
      <c r="D28" s="22">
        <v>679365</v>
      </c>
      <c r="E28" s="28"/>
      <c r="F28" s="29"/>
      <c r="G28" s="30"/>
      <c r="H28" s="29"/>
      <c r="I28" s="29"/>
      <c r="J28" s="29"/>
      <c r="K28" s="29"/>
      <c r="L28" s="29"/>
      <c r="M28" s="29"/>
      <c r="N28" s="65"/>
      <c r="O28" s="28"/>
      <c r="P28" s="29"/>
      <c r="Q28" s="29"/>
      <c r="R28" s="29" t="s">
        <v>108</v>
      </c>
      <c r="S28" s="29"/>
      <c r="T28" s="29"/>
      <c r="U28" s="30"/>
      <c r="V28" s="29"/>
      <c r="W28" s="29"/>
      <c r="X28" s="29"/>
      <c r="Y28" s="29"/>
      <c r="Z28" s="29"/>
      <c r="AA28" s="29"/>
      <c r="AB28" s="65"/>
      <c r="AC28" s="28"/>
      <c r="AD28" s="29"/>
      <c r="AE28" s="29"/>
      <c r="AF28" s="57" t="s">
        <v>96</v>
      </c>
      <c r="AG28" s="208" t="s">
        <v>96</v>
      </c>
      <c r="AH28" s="29"/>
      <c r="AI28" s="30"/>
      <c r="AJ28" s="89" cm="1">
        <f t="array" ref="AJ28">SUMPRODUCT(($E$25:$AI$25="HR")*(E28:AI28=""))+SUMPRODUCT((E28:AI28="HR")*1)</f>
        <v>4</v>
      </c>
      <c r="AK28" s="89" cm="1">
        <f t="array" ref="AK28">SUMPRODUCT(($E$25:$AI$25="N0")*(E28:AI28=""))+SUMPRODUCT((E28:AI28="N")*1)</f>
        <v>17</v>
      </c>
      <c r="AL28" s="88" cm="1">
        <f t="array" ref="AL28">SUMPRODUCT(($E$25:$AI$25="RD")*(E28:AI28=""))+SUMPRODUCT((E28:AI28="RD")*1)</f>
        <v>7</v>
      </c>
      <c r="AM28" s="89" cm="1">
        <f t="array" ref="AM28">SUMPRODUCT((F28:AI28="AL")*1)</f>
        <v>0</v>
      </c>
      <c r="AN28" s="89" cm="1">
        <f t="array" ref="AN28">SUMPRODUCT((F28:AI28="SH")*1)</f>
        <v>0</v>
      </c>
      <c r="AO28" s="89" cm="1">
        <f t="array" ref="AO28">SUMPRODUCT((E28:AI28="SL")*1)</f>
        <v>2</v>
      </c>
      <c r="AP28" s="140" t="e">
        <f>#REF!-AJ28-AK28-AL28-AM28-AN28-AO28</f>
        <v>#REF!</v>
      </c>
    </row>
    <row r="29" spans="1:42" ht="21.75" customHeight="1">
      <c r="A29" s="1375"/>
      <c r="B29" s="102" t="s">
        <v>114</v>
      </c>
      <c r="C29" s="16" t="s">
        <v>27</v>
      </c>
      <c r="D29" s="22">
        <v>680682</v>
      </c>
      <c r="E29" s="28"/>
      <c r="F29" s="29"/>
      <c r="G29" s="30"/>
      <c r="H29" s="29"/>
      <c r="I29" s="29"/>
      <c r="J29" s="183" t="s">
        <v>81</v>
      </c>
      <c r="K29" s="183" t="s">
        <v>81</v>
      </c>
      <c r="L29" s="183" t="s">
        <v>81</v>
      </c>
      <c r="M29" s="29"/>
      <c r="N29" s="65"/>
      <c r="O29" s="28" t="s">
        <v>107</v>
      </c>
      <c r="P29" s="29" t="s">
        <v>246</v>
      </c>
      <c r="Q29" s="29"/>
      <c r="R29" s="98" t="s">
        <v>108</v>
      </c>
      <c r="S29" s="29"/>
      <c r="T29" s="29"/>
      <c r="U29" s="30" t="s">
        <v>161</v>
      </c>
      <c r="V29" s="29"/>
      <c r="W29" s="29"/>
      <c r="X29" s="29"/>
      <c r="Y29" s="29"/>
      <c r="Z29" s="29"/>
      <c r="AA29" s="29"/>
      <c r="AB29" s="65"/>
      <c r="AC29" s="28"/>
      <c r="AD29" s="29"/>
      <c r="AE29" s="29"/>
      <c r="AF29" s="65"/>
      <c r="AG29" s="29"/>
      <c r="AH29" s="29"/>
      <c r="AI29" s="30"/>
      <c r="AJ29" s="89" cm="1">
        <f t="array" ref="AJ29">SUMPRODUCT(($E$25:$AI$25="HR")*(E29:AI29=""))+SUMPRODUCT((E29:AI29="HR")*1)</f>
        <v>2</v>
      </c>
      <c r="AK29" s="89" cm="1">
        <f t="array" ref="AK29">SUMPRODUCT(($E$25:$AI$25="N0")*(E29:AI29=""))+SUMPRODUCT((E29:AI29="N")*1)</f>
        <v>16</v>
      </c>
      <c r="AL29" s="88" cm="1">
        <f t="array" ref="AL29">SUMPRODUCT(($E$25:$AI$25="RD")*(E29:AI29=""))+SUMPRODUCT((E29:AI29="RD")*1)</f>
        <v>6</v>
      </c>
      <c r="AM29" s="89" cm="1">
        <f t="array" ref="AM29">SUMPRODUCT((F29:AI29="AL")*1)</f>
        <v>3</v>
      </c>
      <c r="AN29" s="89" cm="1">
        <f t="array" ref="AN29">SUMPRODUCT((F29:AI29="SH")*1)</f>
        <v>0</v>
      </c>
      <c r="AO29" s="89" cm="1">
        <f t="array" ref="AO29">SUMPRODUCT((E29:AI29="SL")*1)</f>
        <v>0</v>
      </c>
      <c r="AP29" s="140" t="e">
        <f>#REF!-AJ29-AK29-AL29-AM29-AN29-AO29</f>
        <v>#REF!</v>
      </c>
    </row>
    <row r="30" spans="1:42" ht="18" customHeight="1">
      <c r="A30" s="1375"/>
      <c r="B30" s="849" t="s">
        <v>51</v>
      </c>
      <c r="C30" s="111" t="s">
        <v>27</v>
      </c>
      <c r="D30" s="600">
        <v>685750</v>
      </c>
      <c r="E30" s="28"/>
      <c r="F30" s="29"/>
      <c r="G30" s="30"/>
      <c r="H30" s="29"/>
      <c r="I30" s="29"/>
      <c r="J30" s="29"/>
      <c r="K30" s="29"/>
      <c r="L30" s="29"/>
      <c r="M30" s="29"/>
      <c r="N30" s="65"/>
      <c r="O30" s="28"/>
      <c r="P30" s="29"/>
      <c r="Q30" s="29"/>
      <c r="R30" s="29"/>
      <c r="S30" s="29"/>
      <c r="T30" s="29"/>
      <c r="U30" s="30"/>
      <c r="V30" s="183" t="s">
        <v>81</v>
      </c>
      <c r="W30" s="183" t="s">
        <v>81</v>
      </c>
      <c r="X30" s="183" t="s">
        <v>81</v>
      </c>
      <c r="Y30" s="29"/>
      <c r="Z30" s="29"/>
      <c r="AA30" s="29"/>
      <c r="AB30" s="57" t="s">
        <v>96</v>
      </c>
      <c r="AC30" s="206" t="s">
        <v>96</v>
      </c>
      <c r="AD30" s="29"/>
      <c r="AE30" s="29"/>
      <c r="AF30" s="65"/>
      <c r="AG30" s="29"/>
      <c r="AH30" s="29"/>
      <c r="AI30" s="30"/>
      <c r="AJ30" s="89" cm="1">
        <f t="array" ref="AJ30">SUMPRODUCT(($E$25:$AI$25="HR")*(E30:AI30=""))+SUMPRODUCT((E30:AI30="HR")*1)</f>
        <v>5</v>
      </c>
      <c r="AK30" s="89" cm="1">
        <f t="array" ref="AK30">SUMPRODUCT(($E$25:$AI$25="N0")*(E30:AI30=""))+SUMPRODUCT((E30:AI30="N")*1)</f>
        <v>14</v>
      </c>
      <c r="AL30" s="88" cm="1">
        <f t="array" ref="AL30">SUMPRODUCT(($E$25:$AI$25="RD")*(E30:AI30=""))+SUMPRODUCT((E30:AI30="RD")*1)</f>
        <v>7</v>
      </c>
      <c r="AM30" s="89" cm="1">
        <f t="array" ref="AM30">SUMPRODUCT((F30:AI30="AL")*1)</f>
        <v>3</v>
      </c>
      <c r="AN30" s="89" cm="1">
        <f t="array" ref="AN30">SUMPRODUCT((F30:AI30="SH")*1)</f>
        <v>0</v>
      </c>
      <c r="AO30" s="89" cm="1">
        <f t="array" ref="AO30">SUMPRODUCT((E30:AI30="SL")*1)</f>
        <v>2</v>
      </c>
      <c r="AP30" s="140"/>
    </row>
    <row r="31" spans="1:42" ht="18" customHeight="1">
      <c r="A31" s="1375"/>
      <c r="B31" s="850" t="s">
        <v>116</v>
      </c>
      <c r="C31" s="122" t="s">
        <v>55</v>
      </c>
      <c r="D31" s="158">
        <v>682089</v>
      </c>
      <c r="E31" s="320"/>
      <c r="F31" s="321"/>
      <c r="G31" s="322"/>
      <c r="H31" s="321"/>
      <c r="I31" s="321"/>
      <c r="J31" s="321"/>
      <c r="K31" s="321"/>
      <c r="L31" s="321"/>
      <c r="M31" s="321"/>
      <c r="N31" s="325"/>
      <c r="O31" s="320" t="s">
        <v>72</v>
      </c>
      <c r="P31" s="321" t="s">
        <v>72</v>
      </c>
      <c r="Q31" s="321"/>
      <c r="R31" s="321"/>
      <c r="S31" s="321"/>
      <c r="T31" s="321" t="s">
        <v>95</v>
      </c>
      <c r="U31" s="322"/>
      <c r="V31" s="357"/>
      <c r="W31" s="357"/>
      <c r="X31" s="357" t="s">
        <v>84</v>
      </c>
      <c r="Y31" s="321" t="s">
        <v>95</v>
      </c>
      <c r="Z31" s="321" t="s">
        <v>95</v>
      </c>
      <c r="AA31" s="321"/>
      <c r="AB31" s="325"/>
      <c r="AC31" s="320"/>
      <c r="AD31" s="321"/>
      <c r="AE31" s="321"/>
      <c r="AF31" s="324" t="s">
        <v>81</v>
      </c>
      <c r="AG31" s="357" t="s">
        <v>88</v>
      </c>
      <c r="AH31" s="321"/>
      <c r="AI31" s="1036" t="s">
        <v>88</v>
      </c>
      <c r="AJ31" s="89" cm="1">
        <f t="array" ref="AJ31">SUMPRODUCT(($E$25:$AI$25="HR")*(E31:AI31=""))+SUMPRODUCT((E31:AI31="HR")*1)</f>
        <v>6</v>
      </c>
      <c r="AK31" s="89" cm="1">
        <f t="array" ref="AK31">SUMPRODUCT(($E$25:$AI$25="N0")*(E31:AI31=""))+SUMPRODUCT((E31:AI31="N")*1)</f>
        <v>13</v>
      </c>
      <c r="AL31" s="88" cm="1">
        <f t="array" ref="AL31">SUMPRODUCT(($E$25:$AI$25="RD")*(E31:AI31=""))+SUMPRODUCT((E31:AI31="RD")*1)</f>
        <v>7</v>
      </c>
      <c r="AM31" s="89" cm="1">
        <f t="array" ref="AM31">SUMPRODUCT((F31:AI31="AL")*1)</f>
        <v>1</v>
      </c>
      <c r="AN31" s="89" cm="1">
        <f t="array" ref="AN31">SUMPRODUCT((F31:AI31="SH")*1)</f>
        <v>2</v>
      </c>
      <c r="AO31" s="89" cm="1">
        <f t="array" ref="AO31">SUMPRODUCT((E31:AI31="SL")*1)</f>
        <v>0</v>
      </c>
      <c r="AP31" s="140"/>
    </row>
    <row r="32" spans="1:42" ht="18" customHeight="1">
      <c r="A32" s="1376"/>
      <c r="B32" s="886" t="s">
        <v>52</v>
      </c>
      <c r="C32" s="20" t="s">
        <v>27</v>
      </c>
      <c r="D32" s="23">
        <v>678954</v>
      </c>
      <c r="E32" s="247"/>
      <c r="F32" s="244"/>
      <c r="G32" s="248"/>
      <c r="H32" s="244"/>
      <c r="I32" s="244"/>
      <c r="J32" s="244"/>
      <c r="K32" s="244"/>
      <c r="L32" s="244"/>
      <c r="M32" s="244"/>
      <c r="N32" s="250"/>
      <c r="O32" s="247"/>
      <c r="P32" s="244" t="s">
        <v>140</v>
      </c>
      <c r="Q32" s="244" t="s">
        <v>103</v>
      </c>
      <c r="R32" s="244" t="s">
        <v>248</v>
      </c>
      <c r="S32" s="244" t="s">
        <v>124</v>
      </c>
      <c r="T32" s="244"/>
      <c r="U32" s="248"/>
      <c r="V32" s="244"/>
      <c r="W32" s="244"/>
      <c r="X32" s="244"/>
      <c r="Y32" s="244"/>
      <c r="Z32" s="244"/>
      <c r="AA32" s="244"/>
      <c r="AB32" s="752" t="s">
        <v>81</v>
      </c>
      <c r="AC32" s="243" t="s">
        <v>81</v>
      </c>
      <c r="AD32" s="241" t="s">
        <v>81</v>
      </c>
      <c r="AE32" s="241" t="s">
        <v>88</v>
      </c>
      <c r="AF32" s="752" t="s">
        <v>88</v>
      </c>
      <c r="AG32" s="241" t="s">
        <v>88</v>
      </c>
      <c r="AH32" s="241"/>
      <c r="AI32" s="245" t="s">
        <v>88</v>
      </c>
      <c r="AJ32" s="89" cm="1">
        <f t="array" ref="AJ32">SUMPRODUCT(($E$25:$AI$25="HR")*(E32:AI32=""))+SUMPRODUCT((E32:AI32="HR")*1)</f>
        <v>1</v>
      </c>
      <c r="AK32" s="89" cm="1">
        <f t="array" ref="AK32">SUMPRODUCT(($E$25:$AI$25="N0")*(E32:AI32=""))+SUMPRODUCT((E32:AI32="N")*1)</f>
        <v>12</v>
      </c>
      <c r="AL32" s="88" cm="1">
        <f t="array" ref="AL32">SUMPRODUCT(($E$25:$AI$25="RD")*(E32:AI32=""))+SUMPRODUCT((E32:AI32="RD")*1)</f>
        <v>7</v>
      </c>
      <c r="AM32" s="89" cm="1">
        <f t="array" ref="AM32">SUMPRODUCT((F32:AI32="AL")*1)</f>
        <v>3</v>
      </c>
      <c r="AN32" s="89" cm="1">
        <f t="array" ref="AN32">SUMPRODUCT((F32:AI32="SH")*1)</f>
        <v>4</v>
      </c>
      <c r="AO32" s="89" cm="1">
        <f t="array" ref="AO32">SUMPRODUCT((E32:AI32="SL")*1)</f>
        <v>0</v>
      </c>
      <c r="AP32" s="140" t="e">
        <f>#REF!-AJ32-AK32-AL32-AM32-AN32-AO32</f>
        <v>#REF!</v>
      </c>
    </row>
    <row r="33" spans="1:42" ht="18" customHeight="1">
      <c r="A33" s="1374" t="s">
        <v>117</v>
      </c>
      <c r="B33" s="1332" t="s">
        <v>110</v>
      </c>
      <c r="C33" s="1332"/>
      <c r="D33" s="1332"/>
      <c r="E33" s="773" t="s">
        <v>94</v>
      </c>
      <c r="F33" s="770" t="s">
        <v>84</v>
      </c>
      <c r="G33" s="771" t="s">
        <v>94</v>
      </c>
      <c r="H33" s="772" t="s">
        <v>94</v>
      </c>
      <c r="I33" s="772" t="s">
        <v>94</v>
      </c>
      <c r="J33" s="772" t="s">
        <v>94</v>
      </c>
      <c r="K33" s="772" t="s">
        <v>94</v>
      </c>
      <c r="L33" s="772" t="s">
        <v>94</v>
      </c>
      <c r="M33" s="770" t="s">
        <v>84</v>
      </c>
      <c r="N33" s="776" t="s">
        <v>94</v>
      </c>
      <c r="O33" s="773" t="s">
        <v>94</v>
      </c>
      <c r="P33" s="772" t="s">
        <v>94</v>
      </c>
      <c r="Q33" s="772" t="s">
        <v>94</v>
      </c>
      <c r="R33" s="772" t="s">
        <v>94</v>
      </c>
      <c r="S33" s="772" t="s">
        <v>94</v>
      </c>
      <c r="T33" s="770" t="s">
        <v>84</v>
      </c>
      <c r="U33" s="775" t="s">
        <v>84</v>
      </c>
      <c r="V33" s="769" t="s">
        <v>95</v>
      </c>
      <c r="W33" s="769" t="s">
        <v>95</v>
      </c>
      <c r="X33" s="769" t="s">
        <v>95</v>
      </c>
      <c r="Y33" s="769" t="s">
        <v>95</v>
      </c>
      <c r="Z33" s="769" t="s">
        <v>95</v>
      </c>
      <c r="AA33" s="770" t="s">
        <v>84</v>
      </c>
      <c r="AB33" s="760" t="s">
        <v>84</v>
      </c>
      <c r="AC33" s="773" t="s">
        <v>94</v>
      </c>
      <c r="AD33" s="772" t="s">
        <v>94</v>
      </c>
      <c r="AE33" s="772" t="s">
        <v>94</v>
      </c>
      <c r="AF33" s="776" t="s">
        <v>94</v>
      </c>
      <c r="AG33" s="772" t="s">
        <v>94</v>
      </c>
      <c r="AH33" s="770" t="s">
        <v>84</v>
      </c>
      <c r="AI33" s="771" t="s">
        <v>94</v>
      </c>
      <c r="AJ33" s="137" t="s">
        <v>95</v>
      </c>
      <c r="AK33" s="137" t="s">
        <v>38</v>
      </c>
      <c r="AL33" s="138" t="s">
        <v>84</v>
      </c>
      <c r="AM33" s="137" t="s">
        <v>81</v>
      </c>
      <c r="AN33" s="137" t="s">
        <v>88</v>
      </c>
      <c r="AO33" s="137" t="s">
        <v>96</v>
      </c>
      <c r="AP33" s="139" t="s">
        <v>97</v>
      </c>
    </row>
    <row r="34" spans="1:42" ht="18" customHeight="1">
      <c r="A34" s="1375"/>
      <c r="B34" s="46" t="s">
        <v>17</v>
      </c>
      <c r="C34" s="27" t="s">
        <v>16</v>
      </c>
      <c r="D34" s="21">
        <v>321524</v>
      </c>
      <c r="E34" s="232"/>
      <c r="F34" s="221"/>
      <c r="G34" s="222"/>
      <c r="H34" s="221"/>
      <c r="I34" s="221"/>
      <c r="J34" s="221"/>
      <c r="K34" s="221"/>
      <c r="L34" s="221"/>
      <c r="M34" s="221"/>
      <c r="N34" s="234"/>
      <c r="O34" s="232"/>
      <c r="P34" s="221"/>
      <c r="Q34" s="221"/>
      <c r="R34" s="221"/>
      <c r="S34" s="207" t="s">
        <v>88</v>
      </c>
      <c r="T34" s="221"/>
      <c r="U34" s="222" t="s">
        <v>161</v>
      </c>
      <c r="V34" s="221"/>
      <c r="W34" s="221"/>
      <c r="X34" s="221"/>
      <c r="Y34" s="221"/>
      <c r="Z34" s="207" t="s">
        <v>88</v>
      </c>
      <c r="AA34" s="221"/>
      <c r="AB34" s="234"/>
      <c r="AC34" s="232"/>
      <c r="AD34" s="221"/>
      <c r="AE34" s="221"/>
      <c r="AF34" s="234"/>
      <c r="AG34" s="221"/>
      <c r="AH34" s="221"/>
      <c r="AI34" s="222"/>
      <c r="AJ34" s="89" cm="1">
        <f t="array" ref="AJ34">SUMPRODUCT(($E$33:$AI$33="HR")*(E34:AI34=""))+SUMPRODUCT((E34:AI34="HR")*1)</f>
        <v>4</v>
      </c>
      <c r="AK34" s="89" cm="1">
        <f t="array" ref="AK34">SUMPRODUCT(($E$33:$AI$33="N0")*(E34:AI34=""))+SUMPRODUCT((E34:AI34="N")*1)</f>
        <v>18</v>
      </c>
      <c r="AL34" s="88" cm="1">
        <f t="array" ref="AL34">SUMPRODUCT(($E$33:$AI$33="RD")*(E34:AI34=""))+SUMPRODUCT((E34:AI34="RD")*1)</f>
        <v>6</v>
      </c>
      <c r="AM34" s="89" cm="1">
        <f t="array" ref="AM34">SUMPRODUCT((F34:AI34="AL")*1)</f>
        <v>0</v>
      </c>
      <c r="AN34" s="89" cm="1">
        <f t="array" ref="AN34">SUMPRODUCT((F34:AI34="SH")*1)</f>
        <v>2</v>
      </c>
      <c r="AO34" s="89" cm="1">
        <f t="array" ref="AO34">SUMPRODUCT((E34:AI34="SL")*1)</f>
        <v>0</v>
      </c>
      <c r="AP34" s="140" t="e">
        <f>#REF!-AJ34-AK34-AL34-AM34-AN34-AO34</f>
        <v>#REF!</v>
      </c>
    </row>
    <row r="35" spans="1:42" ht="18" customHeight="1">
      <c r="A35" s="1375"/>
      <c r="B35" s="48" t="s">
        <v>28</v>
      </c>
      <c r="C35" s="16" t="s">
        <v>16</v>
      </c>
      <c r="D35" s="22">
        <v>427616</v>
      </c>
      <c r="E35" s="28"/>
      <c r="F35" s="29"/>
      <c r="G35" s="30"/>
      <c r="H35" s="29"/>
      <c r="I35" s="29"/>
      <c r="J35" s="29"/>
      <c r="K35" s="29"/>
      <c r="L35" s="29"/>
      <c r="M35" s="29"/>
      <c r="N35" s="65"/>
      <c r="O35" s="28"/>
      <c r="P35" s="29"/>
      <c r="Q35" s="29"/>
      <c r="R35" s="29"/>
      <c r="S35" s="29"/>
      <c r="T35" s="29"/>
      <c r="U35" s="30"/>
      <c r="V35" s="29"/>
      <c r="W35" s="29"/>
      <c r="X35" s="183" t="s">
        <v>88</v>
      </c>
      <c r="Y35" s="183" t="s">
        <v>88</v>
      </c>
      <c r="Z35" s="183" t="s">
        <v>88</v>
      </c>
      <c r="AA35" s="29"/>
      <c r="AB35" s="65"/>
      <c r="AC35" s="28"/>
      <c r="AD35" s="29"/>
      <c r="AE35" s="29"/>
      <c r="AF35" s="65"/>
      <c r="AG35" s="29"/>
      <c r="AH35" s="29"/>
      <c r="AI35" s="30"/>
      <c r="AJ35" s="89" cm="1">
        <f t="array" ref="AJ35">SUMPRODUCT(($E$33:$AI$33="HR")*(E35:AI35=""))+SUMPRODUCT((E35:AI35="HR")*1)</f>
        <v>2</v>
      </c>
      <c r="AK35" s="89" cm="1">
        <f t="array" ref="AK35">SUMPRODUCT(($E$33:$AI$33="N0")*(E35:AI35=""))+SUMPRODUCT((E35:AI35="N")*1)</f>
        <v>19</v>
      </c>
      <c r="AL35" s="88" cm="1">
        <f t="array" ref="AL35">SUMPRODUCT(($E$33:$AI$33="RD")*(E35:AI35=""))+SUMPRODUCT((E35:AI35="RD")*1)</f>
        <v>7</v>
      </c>
      <c r="AM35" s="89" cm="1">
        <f t="array" ref="AM35">SUMPRODUCT((F35:AI35="AL")*1)</f>
        <v>0</v>
      </c>
      <c r="AN35" s="89" cm="1">
        <f t="array" ref="AN35">SUMPRODUCT((F35:AI35="SH")*1)</f>
        <v>3</v>
      </c>
      <c r="AO35" s="89" cm="1">
        <f t="array" ref="AO35">SUMPRODUCT((E35:AI35="SL")*1)</f>
        <v>0</v>
      </c>
      <c r="AP35" s="140" t="e">
        <f>#REF!-AJ35-AK35-AL35-AM35-AN35-AO35</f>
        <v>#REF!</v>
      </c>
    </row>
    <row r="36" spans="1:42" ht="18" customHeight="1">
      <c r="A36" s="1375"/>
      <c r="B36" s="50" t="s">
        <v>33</v>
      </c>
      <c r="C36" s="18" t="s">
        <v>27</v>
      </c>
      <c r="D36" s="51">
        <v>672075</v>
      </c>
      <c r="E36" s="28"/>
      <c r="F36" s="29"/>
      <c r="G36" s="36" t="s">
        <v>96</v>
      </c>
      <c r="H36" s="208" t="s">
        <v>96</v>
      </c>
      <c r="I36" s="29"/>
      <c r="J36" s="29"/>
      <c r="K36" s="29"/>
      <c r="L36" s="29"/>
      <c r="M36" s="29"/>
      <c r="N36" s="65"/>
      <c r="O36" s="28"/>
      <c r="P36" s="29"/>
      <c r="Q36" s="29"/>
      <c r="R36" s="29"/>
      <c r="S36" s="29"/>
      <c r="T36" s="29"/>
      <c r="U36" s="30"/>
      <c r="V36" s="183" t="s">
        <v>88</v>
      </c>
      <c r="W36" s="29" t="s">
        <v>122</v>
      </c>
      <c r="X36" s="29" t="s">
        <v>122</v>
      </c>
      <c r="Y36" s="183" t="s">
        <v>88</v>
      </c>
      <c r="Z36" s="29" t="s">
        <v>210</v>
      </c>
      <c r="AA36" s="29"/>
      <c r="AB36" s="65"/>
      <c r="AC36" s="28"/>
      <c r="AD36" s="29"/>
      <c r="AE36" s="29"/>
      <c r="AF36" s="65"/>
      <c r="AG36" s="29"/>
      <c r="AH36" s="29"/>
      <c r="AI36" s="30"/>
      <c r="AJ36" s="89" cm="1">
        <f t="array" ref="AJ36">SUMPRODUCT(($E$33:$AI$33="HR")*(E36:AI36=""))+SUMPRODUCT((E36:AI36="HR")*1)</f>
        <v>0</v>
      </c>
      <c r="AK36" s="89" cm="1">
        <f t="array" ref="AK36">SUMPRODUCT(($E$33:$AI$33="N0")*(E36:AI36=""))+SUMPRODUCT((E36:AI36="N")*1)</f>
        <v>17</v>
      </c>
      <c r="AL36" s="88" cm="1">
        <f t="array" ref="AL36">SUMPRODUCT(($E$33:$AI$33="RD")*(E36:AI36=""))+SUMPRODUCT((E36:AI36="RD")*1)</f>
        <v>7</v>
      </c>
      <c r="AM36" s="89" cm="1">
        <f t="array" ref="AM36">SUMPRODUCT((F36:AI36="AL")*1)</f>
        <v>0</v>
      </c>
      <c r="AN36" s="89" cm="1">
        <f t="array" ref="AN36">SUMPRODUCT((F36:AI36="SH")*1)</f>
        <v>2</v>
      </c>
      <c r="AO36" s="89" cm="1">
        <f t="array" ref="AO36">SUMPRODUCT((E36:AI36="SL")*1)</f>
        <v>2</v>
      </c>
      <c r="AP36" s="140" t="e">
        <f>#REF!-AJ36-AK36-AL36-AM36-AN36-AO36</f>
        <v>#REF!</v>
      </c>
    </row>
    <row r="37" spans="1:42" ht="18" customHeight="1">
      <c r="A37" s="1375"/>
      <c r="B37" s="47" t="s">
        <v>35</v>
      </c>
      <c r="C37" s="16" t="s">
        <v>27</v>
      </c>
      <c r="D37" s="22">
        <v>655180</v>
      </c>
      <c r="E37" s="28"/>
      <c r="F37" s="29"/>
      <c r="G37" s="30"/>
      <c r="H37" s="29"/>
      <c r="I37" s="29"/>
      <c r="J37" s="29"/>
      <c r="K37" s="183" t="s">
        <v>88</v>
      </c>
      <c r="L37" s="183" t="s">
        <v>88</v>
      </c>
      <c r="M37" s="29"/>
      <c r="N37" s="235" t="s">
        <v>88</v>
      </c>
      <c r="O37" s="184" t="s">
        <v>81</v>
      </c>
      <c r="P37" s="183" t="s">
        <v>81</v>
      </c>
      <c r="Q37" s="183" t="s">
        <v>81</v>
      </c>
      <c r="R37" s="29"/>
      <c r="S37" s="29"/>
      <c r="T37" s="29"/>
      <c r="U37" s="30" t="s">
        <v>161</v>
      </c>
      <c r="V37" s="29"/>
      <c r="W37" s="29" t="s">
        <v>122</v>
      </c>
      <c r="X37" s="29" t="s">
        <v>122</v>
      </c>
      <c r="Y37" s="208" t="s">
        <v>96</v>
      </c>
      <c r="Z37" s="29" t="s">
        <v>210</v>
      </c>
      <c r="AA37" s="29"/>
      <c r="AB37" s="65"/>
      <c r="AC37" s="28"/>
      <c r="AD37" s="29"/>
      <c r="AE37" s="29"/>
      <c r="AF37" s="65"/>
      <c r="AG37" s="183" t="s">
        <v>88</v>
      </c>
      <c r="AH37" s="29"/>
      <c r="AI37" s="185" t="s">
        <v>88</v>
      </c>
      <c r="AJ37" s="89" cm="1">
        <f t="array" ref="AJ37">SUMPRODUCT(($E$33:$AI$33="HR")*(E37:AI37=""))+SUMPRODUCT((E37:AI37="HR")*1)</f>
        <v>1</v>
      </c>
      <c r="AK37" s="89" cm="1">
        <f t="array" ref="AK37">SUMPRODUCT(($E$33:$AI$33="N0")*(E37:AI37=""))+SUMPRODUCT((E37:AI37="N")*1)</f>
        <v>11</v>
      </c>
      <c r="AL37" s="88" cm="1">
        <f t="array" ref="AL37">SUMPRODUCT(($E$33:$AI$33="RD")*(E37:AI37=""))+SUMPRODUCT((E37:AI37="RD")*1)</f>
        <v>6</v>
      </c>
      <c r="AM37" s="89" cm="1">
        <f t="array" ref="AM37">SUMPRODUCT((F37:AI37="AL")*1)</f>
        <v>3</v>
      </c>
      <c r="AN37" s="89" cm="1">
        <f t="array" ref="AN37">SUMPRODUCT((F37:AI37="SH")*1)</f>
        <v>5</v>
      </c>
      <c r="AO37" s="89" cm="1">
        <f t="array" ref="AO37">SUMPRODUCT((E37:AI37="SL")*1)</f>
        <v>1</v>
      </c>
      <c r="AP37" s="140" t="e">
        <f>#REF!-AJ37-AK37-AL37-AM37-AN37-AO37</f>
        <v>#REF!</v>
      </c>
    </row>
    <row r="38" spans="1:42" ht="18" customHeight="1">
      <c r="A38" s="1375"/>
      <c r="B38" s="102" t="s">
        <v>34</v>
      </c>
      <c r="C38" s="16" t="s">
        <v>32</v>
      </c>
      <c r="D38" s="22">
        <v>673277</v>
      </c>
      <c r="E38" s="28"/>
      <c r="F38" s="29"/>
      <c r="G38" s="30"/>
      <c r="H38" s="29"/>
      <c r="I38" s="29"/>
      <c r="J38" s="29"/>
      <c r="K38" s="29"/>
      <c r="L38" s="29"/>
      <c r="M38" s="29"/>
      <c r="N38" s="65"/>
      <c r="O38" s="28"/>
      <c r="P38" s="29"/>
      <c r="Q38" s="29"/>
      <c r="R38" s="29"/>
      <c r="S38" s="29"/>
      <c r="T38" s="29"/>
      <c r="U38" s="30"/>
      <c r="V38" s="29" t="s">
        <v>137</v>
      </c>
      <c r="W38" s="29" t="s">
        <v>137</v>
      </c>
      <c r="X38" s="183" t="s">
        <v>88</v>
      </c>
      <c r="Y38" s="183" t="s">
        <v>88</v>
      </c>
      <c r="Z38" s="29" t="s">
        <v>210</v>
      </c>
      <c r="AA38" s="29"/>
      <c r="AB38" s="65"/>
      <c r="AC38" s="28"/>
      <c r="AD38" s="29"/>
      <c r="AE38" s="29"/>
      <c r="AF38" s="57" t="s">
        <v>96</v>
      </c>
      <c r="AG38" s="29"/>
      <c r="AH38" s="29"/>
      <c r="AI38" s="30"/>
      <c r="AJ38" s="89" cm="1">
        <f t="array" ref="AJ38">SUMPRODUCT(($E$33:$AI$33="HR")*(E38:AI38=""))+SUMPRODUCT((E38:AI38="HR")*1)</f>
        <v>0</v>
      </c>
      <c r="AK38" s="89" cm="1">
        <f t="array" ref="AK38">SUMPRODUCT(($E$33:$AI$33="N0")*(E38:AI38=""))+SUMPRODUCT((E38:AI38="N")*1)</f>
        <v>18</v>
      </c>
      <c r="AL38" s="88" cm="1">
        <f t="array" ref="AL38">SUMPRODUCT(($E$33:$AI$33="RD")*(E38:AI38=""))+SUMPRODUCT((E38:AI38="RD")*1)</f>
        <v>7</v>
      </c>
      <c r="AM38" s="89" cm="1">
        <f t="array" ref="AM38">SUMPRODUCT((F38:AI38="AL")*1)</f>
        <v>0</v>
      </c>
      <c r="AN38" s="89" cm="1">
        <f t="array" ref="AN38">SUMPRODUCT((F38:AI38="SH")*1)</f>
        <v>2</v>
      </c>
      <c r="AO38" s="89" cm="1">
        <f t="array" ref="AO38">SUMPRODUCT((E38:AI38="SL")*1)</f>
        <v>1</v>
      </c>
      <c r="AP38" s="140" t="e">
        <f>#REF!-AJ38-AK38-AL38-AM38-AN38-AO38</f>
        <v>#REF!</v>
      </c>
    </row>
    <row r="39" spans="1:42" ht="18" customHeight="1">
      <c r="A39" s="1375"/>
      <c r="B39" s="150" t="s">
        <v>118</v>
      </c>
      <c r="C39" s="133" t="s">
        <v>27</v>
      </c>
      <c r="D39" s="108">
        <v>674432</v>
      </c>
      <c r="E39" s="28"/>
      <c r="F39" s="29"/>
      <c r="G39" s="30"/>
      <c r="H39" s="29"/>
      <c r="I39" s="29"/>
      <c r="J39" s="29"/>
      <c r="K39" s="29"/>
      <c r="L39" s="29"/>
      <c r="M39" s="29"/>
      <c r="N39" s="65"/>
      <c r="O39" s="28"/>
      <c r="P39" s="29"/>
      <c r="Q39" s="29"/>
      <c r="R39" s="29"/>
      <c r="S39" s="29"/>
      <c r="T39" s="29"/>
      <c r="U39" s="30"/>
      <c r="V39" s="29"/>
      <c r="W39" s="29"/>
      <c r="X39" s="29"/>
      <c r="Y39" s="29"/>
      <c r="Z39" s="208" t="s">
        <v>96</v>
      </c>
      <c r="AA39" s="29"/>
      <c r="AB39" s="65"/>
      <c r="AC39" s="28"/>
      <c r="AD39" s="29"/>
      <c r="AE39" s="29"/>
      <c r="AF39" s="65"/>
      <c r="AG39" s="29"/>
      <c r="AH39" s="29"/>
      <c r="AI39" s="185" t="s">
        <v>88</v>
      </c>
      <c r="AJ39" s="89" cm="1">
        <f t="array" ref="AJ39">SUMPRODUCT(($E$33:$AI$33="HR")*(E39:AI39=""))+SUMPRODUCT((E39:AI39="HR")*1)</f>
        <v>4</v>
      </c>
      <c r="AK39" s="89" cm="1">
        <f t="array" ref="AK39">SUMPRODUCT(($E$33:$AI$33="N0")*(E39:AI39=""))+SUMPRODUCT((E39:AI39="N")*1)</f>
        <v>18</v>
      </c>
      <c r="AL39" s="88" cm="1">
        <f t="array" ref="AL39">SUMPRODUCT(($E$33:$AI$33="RD")*(E39:AI39=""))+SUMPRODUCT((E39:AI39="RD")*1)</f>
        <v>7</v>
      </c>
      <c r="AM39" s="89" cm="1">
        <f t="array" ref="AM39">SUMPRODUCT((F39:AI39="AL")*1)</f>
        <v>0</v>
      </c>
      <c r="AN39" s="89" cm="1">
        <f t="array" ref="AN39">SUMPRODUCT((F39:AI39="SH")*1)</f>
        <v>1</v>
      </c>
      <c r="AO39" s="89" cm="1">
        <f t="array" ref="AO39">SUMPRODUCT((E39:AI39="SL")*1)</f>
        <v>1</v>
      </c>
      <c r="AP39" s="140" t="e">
        <f>#REF!-AJ39-AK39-AL39-AM39-AN39-AO39</f>
        <v>#REF!</v>
      </c>
    </row>
    <row r="40" spans="1:42" ht="18" customHeight="1">
      <c r="A40" s="1374" t="s">
        <v>119</v>
      </c>
      <c r="B40" s="1332" t="s">
        <v>110</v>
      </c>
      <c r="C40" s="1332"/>
      <c r="D40" s="1332"/>
      <c r="E40" s="774" t="s">
        <v>95</v>
      </c>
      <c r="F40" s="770" t="s">
        <v>84</v>
      </c>
      <c r="G40" s="775" t="s">
        <v>84</v>
      </c>
      <c r="H40" s="772" t="s">
        <v>94</v>
      </c>
      <c r="I40" s="772" t="s">
        <v>94</v>
      </c>
      <c r="J40" s="772" t="s">
        <v>94</v>
      </c>
      <c r="K40" s="772" t="s">
        <v>94</v>
      </c>
      <c r="L40" s="772" t="s">
        <v>94</v>
      </c>
      <c r="M40" s="770" t="s">
        <v>84</v>
      </c>
      <c r="N40" s="776" t="s">
        <v>94</v>
      </c>
      <c r="O40" s="773" t="s">
        <v>94</v>
      </c>
      <c r="P40" s="772" t="s">
        <v>94</v>
      </c>
      <c r="Q40" s="772" t="s">
        <v>94</v>
      </c>
      <c r="R40" s="772" t="s">
        <v>94</v>
      </c>
      <c r="S40" s="772" t="s">
        <v>94</v>
      </c>
      <c r="T40" s="770" t="s">
        <v>84</v>
      </c>
      <c r="U40" s="771" t="s">
        <v>94</v>
      </c>
      <c r="V40" s="772" t="s">
        <v>94</v>
      </c>
      <c r="W40" s="772" t="s">
        <v>94</v>
      </c>
      <c r="X40" s="772" t="s">
        <v>94</v>
      </c>
      <c r="Y40" s="772" t="s">
        <v>94</v>
      </c>
      <c r="Z40" s="772" t="s">
        <v>94</v>
      </c>
      <c r="AA40" s="770" t="s">
        <v>84</v>
      </c>
      <c r="AB40" s="760" t="s">
        <v>84</v>
      </c>
      <c r="AC40" s="774" t="s">
        <v>95</v>
      </c>
      <c r="AD40" s="769" t="s">
        <v>95</v>
      </c>
      <c r="AE40" s="769" t="s">
        <v>95</v>
      </c>
      <c r="AF40" s="777" t="s">
        <v>95</v>
      </c>
      <c r="AG40" s="769" t="s">
        <v>95</v>
      </c>
      <c r="AH40" s="770" t="s">
        <v>84</v>
      </c>
      <c r="AI40" s="775" t="s">
        <v>84</v>
      </c>
      <c r="AJ40" s="137" t="s">
        <v>95</v>
      </c>
      <c r="AK40" s="137" t="s">
        <v>38</v>
      </c>
      <c r="AL40" s="138" t="s">
        <v>84</v>
      </c>
      <c r="AM40" s="137" t="s">
        <v>81</v>
      </c>
      <c r="AN40" s="137" t="s">
        <v>88</v>
      </c>
      <c r="AO40" s="137" t="s">
        <v>96</v>
      </c>
      <c r="AP40" s="139" t="s">
        <v>97</v>
      </c>
    </row>
    <row r="41" spans="1:42" ht="18" customHeight="1">
      <c r="A41" s="1375"/>
      <c r="B41" s="44" t="s">
        <v>120</v>
      </c>
      <c r="C41" s="17" t="s">
        <v>16</v>
      </c>
      <c r="D41" s="21">
        <v>422380</v>
      </c>
      <c r="E41" s="778" t="s">
        <v>81</v>
      </c>
      <c r="F41" s="207"/>
      <c r="G41" s="222"/>
      <c r="H41" s="221"/>
      <c r="I41" s="221"/>
      <c r="J41" s="221"/>
      <c r="K41" s="221"/>
      <c r="L41" s="221"/>
      <c r="M41" s="221"/>
      <c r="N41" s="234"/>
      <c r="O41" s="232"/>
      <c r="P41" s="221"/>
      <c r="Q41" s="221"/>
      <c r="R41" s="221"/>
      <c r="S41" s="221"/>
      <c r="T41" s="221" t="s">
        <v>161</v>
      </c>
      <c r="U41" s="222"/>
      <c r="V41" s="221"/>
      <c r="W41" s="221"/>
      <c r="X41" s="221"/>
      <c r="Y41" s="221"/>
      <c r="Z41" s="221"/>
      <c r="AA41" s="221"/>
      <c r="AB41" s="234"/>
      <c r="AC41" s="778" t="s">
        <v>81</v>
      </c>
      <c r="AD41" s="207" t="s">
        <v>81</v>
      </c>
      <c r="AE41" s="207" t="s">
        <v>88</v>
      </c>
      <c r="AF41" s="1026" t="s">
        <v>88</v>
      </c>
      <c r="AG41" s="207" t="s">
        <v>88</v>
      </c>
      <c r="AH41" s="221"/>
      <c r="AI41" s="222"/>
      <c r="AJ41" s="89" cm="1">
        <f t="array" ref="AJ41">SUMPRODUCT(($E$40:$AI$40="HR")*(E41:AI41=""))+SUMPRODUCT((E41:AI41="HR")*1)</f>
        <v>0</v>
      </c>
      <c r="AK41" s="89" cm="1">
        <f t="array" ref="AK41">SUMPRODUCT(($E$40:$AI$40="N0")*(E41:AI41=""))+SUMPRODUCT((E41:AI41="N")*1)</f>
        <v>17</v>
      </c>
      <c r="AL41" s="88" cm="1">
        <f t="array" ref="AL41">SUMPRODUCT(($E$40:$AI$40="RD")*(E41:AI41=""))+SUMPRODUCT((E41:AI41="RD")*1)</f>
        <v>7</v>
      </c>
      <c r="AM41" s="89" cm="1">
        <f t="array" ref="AM41">SUMPRODUCT((F41:AI41="AL")*1)</f>
        <v>2</v>
      </c>
      <c r="AN41" s="89" cm="1">
        <f t="array" ref="AN41">SUMPRODUCT((F41:AI41="SH")*1)</f>
        <v>3</v>
      </c>
      <c r="AO41" s="89" cm="1">
        <f t="array" ref="AO41">SUMPRODUCT((E41:AI41="SL")*1)</f>
        <v>0</v>
      </c>
      <c r="AP41" s="140" t="e">
        <f>#REF!-AJ41-AK41-AL41-AM41-AN41-AO41</f>
        <v>#REF!</v>
      </c>
    </row>
    <row r="42" spans="1:42" ht="18" customHeight="1">
      <c r="A42" s="1375"/>
      <c r="B42" s="45" t="s">
        <v>36</v>
      </c>
      <c r="C42" s="16" t="s">
        <v>16</v>
      </c>
      <c r="D42" s="22">
        <v>669557</v>
      </c>
      <c r="E42" s="28"/>
      <c r="F42" s="29"/>
      <c r="G42" s="30"/>
      <c r="H42" s="29"/>
      <c r="I42" s="29"/>
      <c r="J42" s="29"/>
      <c r="K42" s="29"/>
      <c r="L42" s="29"/>
      <c r="M42" s="29"/>
      <c r="N42" s="65"/>
      <c r="O42" s="28"/>
      <c r="P42" s="29"/>
      <c r="Q42" s="29"/>
      <c r="R42" s="29"/>
      <c r="S42" s="29"/>
      <c r="T42" s="29"/>
      <c r="U42" s="30"/>
      <c r="V42" s="29"/>
      <c r="W42" s="29"/>
      <c r="X42" s="29"/>
      <c r="Y42" s="29"/>
      <c r="Z42" s="29"/>
      <c r="AA42" s="29"/>
      <c r="AB42" s="65"/>
      <c r="AC42" s="28"/>
      <c r="AD42" s="29"/>
      <c r="AE42" s="29" t="s">
        <v>245</v>
      </c>
      <c r="AF42" s="65"/>
      <c r="AG42" s="29"/>
      <c r="AH42" s="29"/>
      <c r="AI42" s="30"/>
      <c r="AJ42" s="89" cm="1">
        <f t="array" ref="AJ42">SUMPRODUCT(($E$40:$AI$40="HR")*(E42:AI42=""))+SUMPRODUCT((E42:AI42="HR")*1)</f>
        <v>5</v>
      </c>
      <c r="AK42" s="89" cm="1">
        <f t="array" ref="AK42">SUMPRODUCT(($E$40:$AI$40="N0")*(E42:AI42=""))+SUMPRODUCT((E42:AI42="N")*1)</f>
        <v>17</v>
      </c>
      <c r="AL42" s="88" cm="1">
        <f t="array" ref="AL42">SUMPRODUCT(($E$40:$AI$40="RD")*(E42:AI42=""))+SUMPRODUCT((E42:AI42="RD")*1)</f>
        <v>8</v>
      </c>
      <c r="AM42" s="89" cm="1">
        <f t="array" ref="AM42">SUMPRODUCT((F42:AI42="AL")*1)</f>
        <v>0</v>
      </c>
      <c r="AN42" s="89" cm="1">
        <f t="array" ref="AN42">SUMPRODUCT((F42:AI42="SH")*1)</f>
        <v>0</v>
      </c>
      <c r="AO42" s="89" cm="1">
        <f t="array" ref="AO42">SUMPRODUCT((E42:AI42="SL")*1)</f>
        <v>0</v>
      </c>
      <c r="AP42" s="140" t="e">
        <f>#REF!-AJ42-AK42-AL42-AM42-AN42-AO42</f>
        <v>#REF!</v>
      </c>
    </row>
    <row r="43" spans="1:42" ht="18" customHeight="1">
      <c r="A43" s="1375"/>
      <c r="B43" s="45" t="s">
        <v>121</v>
      </c>
      <c r="C43" s="16" t="s">
        <v>16</v>
      </c>
      <c r="D43" s="22">
        <v>505935</v>
      </c>
      <c r="E43" s="184" t="s">
        <v>88</v>
      </c>
      <c r="F43" s="29"/>
      <c r="G43" s="30"/>
      <c r="H43" s="29"/>
      <c r="I43" s="29"/>
      <c r="J43" s="29"/>
      <c r="K43" s="29"/>
      <c r="L43" s="29"/>
      <c r="M43" s="29"/>
      <c r="N43" s="65"/>
      <c r="O43" s="28"/>
      <c r="P43" s="29"/>
      <c r="Q43" s="29"/>
      <c r="R43" s="29"/>
      <c r="S43" s="29"/>
      <c r="T43" s="29"/>
      <c r="U43" s="30"/>
      <c r="V43" s="29"/>
      <c r="W43" s="29"/>
      <c r="X43" s="29"/>
      <c r="Y43" s="29"/>
      <c r="Z43" s="29"/>
      <c r="AA43" s="29"/>
      <c r="AB43" s="65"/>
      <c r="AC43" s="28"/>
      <c r="AD43" s="29"/>
      <c r="AE43" s="29" t="s">
        <v>245</v>
      </c>
      <c r="AF43" s="235" t="s">
        <v>88</v>
      </c>
      <c r="AG43" s="183" t="s">
        <v>88</v>
      </c>
      <c r="AH43" s="29"/>
      <c r="AI43" s="30"/>
      <c r="AJ43" s="89" cm="1">
        <f t="array" ref="AJ43">SUMPRODUCT(($E$40:$AI$40="HR")*(E43:AI43=""))+SUMPRODUCT((E43:AI43="HR")*1)</f>
        <v>2</v>
      </c>
      <c r="AK43" s="89" cm="1">
        <f t="array" ref="AK43">SUMPRODUCT(($E$40:$AI$40="N0")*(E43:AI43=""))+SUMPRODUCT((E43:AI43="N")*1)</f>
        <v>17</v>
      </c>
      <c r="AL43" s="88" cm="1">
        <f t="array" ref="AL43">SUMPRODUCT(($E$40:$AI$40="RD")*(E43:AI43=""))+SUMPRODUCT((E43:AI43="RD")*1)</f>
        <v>8</v>
      </c>
      <c r="AM43" s="89" cm="1">
        <f t="array" ref="AM43">SUMPRODUCT((F43:AI43="AL")*1)</f>
        <v>0</v>
      </c>
      <c r="AN43" s="89" cm="1">
        <f t="array" ref="AN43">SUMPRODUCT((F43:AI43="SH")*1)</f>
        <v>2</v>
      </c>
      <c r="AO43" s="89" cm="1">
        <f t="array" ref="AO43">SUMPRODUCT((E43:AI43="SL")*1)</f>
        <v>0</v>
      </c>
      <c r="AP43" s="140" t="e">
        <f>#REF!-AJ43-AK43-AL43-AM43-AN43-AO43</f>
        <v>#REF!</v>
      </c>
    </row>
    <row r="44" spans="1:42" ht="18" customHeight="1">
      <c r="A44" s="1375"/>
      <c r="B44" s="45" t="s">
        <v>25</v>
      </c>
      <c r="C44" s="16" t="s">
        <v>27</v>
      </c>
      <c r="D44" s="22">
        <v>580058</v>
      </c>
      <c r="E44" s="184" t="s">
        <v>81</v>
      </c>
      <c r="F44" s="29"/>
      <c r="G44" s="30"/>
      <c r="H44" s="29"/>
      <c r="I44" s="29"/>
      <c r="J44" s="29"/>
      <c r="K44" s="29"/>
      <c r="L44" s="29"/>
      <c r="M44" s="29"/>
      <c r="N44" s="65"/>
      <c r="O44" s="28"/>
      <c r="P44" s="29"/>
      <c r="Q44" s="29"/>
      <c r="R44" s="29"/>
      <c r="S44" s="29"/>
      <c r="T44" s="29"/>
      <c r="U44" s="30"/>
      <c r="V44" s="29"/>
      <c r="W44" s="29"/>
      <c r="X44" s="29"/>
      <c r="Y44" s="29"/>
      <c r="Z44" s="29"/>
      <c r="AA44" s="29"/>
      <c r="AB44" s="65"/>
      <c r="AC44" s="28"/>
      <c r="AD44" s="29" t="s">
        <v>105</v>
      </c>
      <c r="AE44" s="29" t="s">
        <v>245</v>
      </c>
      <c r="AF44" s="65"/>
      <c r="AG44" s="29" t="s">
        <v>235</v>
      </c>
      <c r="AH44" s="29"/>
      <c r="AI44" s="30"/>
      <c r="AJ44" s="89" cm="1">
        <f t="array" ref="AJ44">SUMPRODUCT(($E$40:$AI$40="HR")*(E44:AI44=""))+SUMPRODUCT((E44:AI44="HR")*1)</f>
        <v>2</v>
      </c>
      <c r="AK44" s="89" cm="1">
        <f t="array" ref="AK44">SUMPRODUCT(($E$40:$AI$40="N0")*(E44:AI44=""))+SUMPRODUCT((E44:AI44="N")*1)</f>
        <v>17</v>
      </c>
      <c r="AL44" s="88" cm="1">
        <f t="array" ref="AL44">SUMPRODUCT(($E$40:$AI$40="RD")*(E44:AI44=""))+SUMPRODUCT((E44:AI44="RD")*1)</f>
        <v>8</v>
      </c>
      <c r="AM44" s="89" cm="1">
        <f t="array" ref="AM44">SUMPRODUCT((F44:AI44="AL")*1)</f>
        <v>0</v>
      </c>
      <c r="AN44" s="89" cm="1">
        <f t="array" ref="AN44">SUMPRODUCT((F44:AI44="SH")*1)</f>
        <v>0</v>
      </c>
      <c r="AO44" s="89" cm="1">
        <f t="array" ref="AO44">SUMPRODUCT((E44:AI44="SL")*1)</f>
        <v>0</v>
      </c>
      <c r="AP44" s="140" t="e">
        <f>#REF!-AJ44-AK44-AL44-AM44-AN44-AO44</f>
        <v>#REF!</v>
      </c>
    </row>
    <row r="45" spans="1:42" ht="18" customHeight="1">
      <c r="A45" s="1375"/>
      <c r="B45" s="45" t="s">
        <v>37</v>
      </c>
      <c r="C45" s="16" t="s">
        <v>27</v>
      </c>
      <c r="D45" s="22">
        <v>680417</v>
      </c>
      <c r="E45" s="28"/>
      <c r="F45" s="29"/>
      <c r="G45" s="30"/>
      <c r="H45" s="29"/>
      <c r="I45" s="29"/>
      <c r="J45" s="29"/>
      <c r="K45" s="29"/>
      <c r="L45" s="29"/>
      <c r="M45" s="29"/>
      <c r="N45" s="65"/>
      <c r="O45" s="28"/>
      <c r="P45" s="29"/>
      <c r="Q45" s="29"/>
      <c r="R45" s="29"/>
      <c r="S45" s="29"/>
      <c r="T45" s="29"/>
      <c r="U45" s="30"/>
      <c r="V45" s="29"/>
      <c r="W45" s="29"/>
      <c r="X45" s="29"/>
      <c r="Y45" s="29"/>
      <c r="Z45" s="29"/>
      <c r="AA45" s="29" t="s">
        <v>247</v>
      </c>
      <c r="AB45" s="65"/>
      <c r="AC45" s="184" t="s">
        <v>88</v>
      </c>
      <c r="AD45" s="29" t="s">
        <v>105</v>
      </c>
      <c r="AE45" s="29" t="s">
        <v>149</v>
      </c>
      <c r="AF45" s="235" t="s">
        <v>88</v>
      </c>
      <c r="AG45" s="183" t="s">
        <v>88</v>
      </c>
      <c r="AH45" s="29"/>
      <c r="AI45" s="30"/>
      <c r="AJ45" s="89" cm="1">
        <f t="array" ref="AJ45">SUMPRODUCT(($E$40:$AI$40="HR")*(E45:AI45=""))+SUMPRODUCT((E45:AI45="HR")*1)</f>
        <v>1</v>
      </c>
      <c r="AK45" s="89" cm="1">
        <f t="array" ref="AK45">SUMPRODUCT(($E$40:$AI$40="N0")*(E45:AI45=""))+SUMPRODUCT((E45:AI45="N")*1)</f>
        <v>17</v>
      </c>
      <c r="AL45" s="88" cm="1">
        <f t="array" ref="AL45">SUMPRODUCT(($E$40:$AI$40="RD")*(E45:AI45=""))+SUMPRODUCT((E45:AI45="RD")*1)</f>
        <v>7</v>
      </c>
      <c r="AM45" s="89" cm="1">
        <f t="array" ref="AM45">SUMPRODUCT((F45:AI45="AL")*1)</f>
        <v>0</v>
      </c>
      <c r="AN45" s="89" cm="1">
        <f t="array" ref="AN45">SUMPRODUCT((F45:AI45="SH")*1)</f>
        <v>3</v>
      </c>
      <c r="AO45" s="89" cm="1">
        <f t="array" ref="AO45">SUMPRODUCT((E45:AI45="SL")*1)</f>
        <v>0</v>
      </c>
      <c r="AP45" s="140" t="e">
        <f>#REF!-AJ45-AK45-AL45-AM45-AN45-AO45</f>
        <v>#REF!</v>
      </c>
    </row>
    <row r="46" spans="1:42" ht="18" customHeight="1">
      <c r="A46" s="1375"/>
      <c r="B46" s="120" t="s">
        <v>49</v>
      </c>
      <c r="C46" s="16" t="s">
        <v>27</v>
      </c>
      <c r="D46" s="22">
        <v>684119</v>
      </c>
      <c r="E46" s="28"/>
      <c r="F46" s="29"/>
      <c r="G46" s="30"/>
      <c r="H46" s="29"/>
      <c r="I46" s="29"/>
      <c r="J46" s="29"/>
      <c r="K46" s="29"/>
      <c r="L46" s="29"/>
      <c r="M46" s="29"/>
      <c r="N46" s="65"/>
      <c r="O46" s="28"/>
      <c r="P46" s="29"/>
      <c r="Q46" s="29"/>
      <c r="R46" s="29"/>
      <c r="S46" s="29"/>
      <c r="T46" s="29"/>
      <c r="U46" s="30"/>
      <c r="V46" s="29"/>
      <c r="W46" s="29"/>
      <c r="X46" s="29"/>
      <c r="Y46" s="29"/>
      <c r="Z46" s="29"/>
      <c r="AA46" s="29"/>
      <c r="AB46" s="65"/>
      <c r="AC46" s="184" t="s">
        <v>88</v>
      </c>
      <c r="AD46" s="183" t="s">
        <v>88</v>
      </c>
      <c r="AE46" s="183" t="s">
        <v>88</v>
      </c>
      <c r="AF46" s="235" t="s">
        <v>88</v>
      </c>
      <c r="AG46" s="183" t="s">
        <v>88</v>
      </c>
      <c r="AH46" s="29"/>
      <c r="AI46" s="30"/>
      <c r="AJ46" s="89" cm="1">
        <f t="array" ref="AJ46">SUMPRODUCT(($E$40:$AI$40="HR")*(E46:AI46=""))+SUMPRODUCT((E46:AI46="HR")*1)</f>
        <v>1</v>
      </c>
      <c r="AK46" s="89" cm="1">
        <f t="array" ref="AK46">SUMPRODUCT(($E$40:$AI$40="N0")*(E46:AI46=""))+SUMPRODUCT((E46:AI46="N")*1)</f>
        <v>17</v>
      </c>
      <c r="AL46" s="88" cm="1">
        <f t="array" ref="AL46">SUMPRODUCT(($E$40:$AI$40="RD")*(E46:AI46=""))+SUMPRODUCT((E46:AI46="RD")*1)</f>
        <v>8</v>
      </c>
      <c r="AM46" s="89" cm="1">
        <f t="array" ref="AM46">SUMPRODUCT((F46:AI46="AL")*1)</f>
        <v>0</v>
      </c>
      <c r="AN46" s="89" cm="1">
        <f t="array" ref="AN46">SUMPRODUCT((F46:AI46="SH")*1)</f>
        <v>5</v>
      </c>
      <c r="AO46" s="89" cm="1">
        <f t="array" ref="AO46">SUMPRODUCT((E46:AI46="SL")*1)</f>
        <v>0</v>
      </c>
      <c r="AP46" s="140" t="e">
        <f>#REF!-AJ46-AK46-AL46-AM46-AN46-AO46</f>
        <v>#REF!</v>
      </c>
    </row>
    <row r="47" spans="1:42" ht="18" customHeight="1">
      <c r="A47" s="1376"/>
      <c r="B47" s="117" t="s">
        <v>57</v>
      </c>
      <c r="C47" s="104" t="s">
        <v>58</v>
      </c>
      <c r="D47" s="105">
        <v>676140</v>
      </c>
      <c r="E47" s="246"/>
      <c r="F47" s="244"/>
      <c r="G47" s="248"/>
      <c r="H47" s="244"/>
      <c r="I47" s="244"/>
      <c r="J47" s="244"/>
      <c r="K47" s="244"/>
      <c r="L47" s="244"/>
      <c r="M47" s="244"/>
      <c r="N47" s="752" t="s">
        <v>88</v>
      </c>
      <c r="O47" s="247" t="s">
        <v>72</v>
      </c>
      <c r="P47" s="244" t="s">
        <v>95</v>
      </c>
      <c r="Q47" s="244" t="s">
        <v>95</v>
      </c>
      <c r="R47" s="244" t="s">
        <v>95</v>
      </c>
      <c r="S47" s="244" t="s">
        <v>95</v>
      </c>
      <c r="T47" s="240"/>
      <c r="U47" s="238"/>
      <c r="V47" s="240"/>
      <c r="W47" s="240"/>
      <c r="X47" s="240"/>
      <c r="Y47" s="240"/>
      <c r="Z47" s="240"/>
      <c r="AA47" s="240"/>
      <c r="AB47" s="242"/>
      <c r="AC47" s="243" t="s">
        <v>88</v>
      </c>
      <c r="AD47" s="240"/>
      <c r="AE47" s="240"/>
      <c r="AF47" s="242"/>
      <c r="AG47" s="240"/>
      <c r="AH47" s="240"/>
      <c r="AI47" s="238"/>
      <c r="AJ47" s="89" cm="1">
        <f t="array" ref="AJ47">SUMPRODUCT(($E$40:$AI$40="HR")*(E47:AI47=""))+SUMPRODUCT((E47:AI47="HR")*1)</f>
        <v>9</v>
      </c>
      <c r="AK47" s="89" cm="1">
        <f t="array" ref="AK47">SUMPRODUCT(($E$40:$AI$40="N0")*(E47:AI47=""))+SUMPRODUCT((E47:AI47="N")*1)</f>
        <v>11</v>
      </c>
      <c r="AL47" s="88" cm="1">
        <f t="array" ref="AL47">SUMPRODUCT(($E$40:$AI$40="RD")*(E47:AI47=""))+SUMPRODUCT((E47:AI47="RD")*1)</f>
        <v>8</v>
      </c>
      <c r="AM47" s="89" cm="1">
        <f t="array" ref="AM47">SUMPRODUCT((F47:AI47="AL")*1)</f>
        <v>0</v>
      </c>
      <c r="AN47" s="89" cm="1">
        <f t="array" ref="AN47">SUMPRODUCT((F47:AI47="SH")*1)</f>
        <v>2</v>
      </c>
      <c r="AO47" s="89" cm="1">
        <f t="array" ref="AO47">SUMPRODUCT((E47:AI47="SL")*1)</f>
        <v>0</v>
      </c>
      <c r="AP47" s="140" t="e">
        <f>#REF!-AJ47-AK47-AL47-AM47-AN47-AO47</f>
        <v>#REF!</v>
      </c>
    </row>
    <row r="48" spans="1:42" ht="18" customHeight="1">
      <c r="A48" s="1374" t="s">
        <v>125</v>
      </c>
      <c r="B48" s="1332" t="s">
        <v>93</v>
      </c>
      <c r="C48" s="1332"/>
      <c r="D48" s="1332"/>
      <c r="E48" s="773" t="s">
        <v>87</v>
      </c>
      <c r="F48" s="770" t="s">
        <v>84</v>
      </c>
      <c r="G48" s="775" t="s">
        <v>84</v>
      </c>
      <c r="H48" s="772" t="s">
        <v>87</v>
      </c>
      <c r="I48" s="772" t="s">
        <v>87</v>
      </c>
      <c r="J48" s="772" t="s">
        <v>87</v>
      </c>
      <c r="K48" s="772" t="s">
        <v>87</v>
      </c>
      <c r="L48" s="772" t="s">
        <v>87</v>
      </c>
      <c r="M48" s="770" t="s">
        <v>84</v>
      </c>
      <c r="N48" s="760" t="s">
        <v>84</v>
      </c>
      <c r="O48" s="773" t="s">
        <v>87</v>
      </c>
      <c r="P48" s="772" t="s">
        <v>87</v>
      </c>
      <c r="Q48" s="772" t="s">
        <v>87</v>
      </c>
      <c r="R48" s="772" t="s">
        <v>87</v>
      </c>
      <c r="S48" s="772" t="s">
        <v>87</v>
      </c>
      <c r="T48" s="770" t="s">
        <v>84</v>
      </c>
      <c r="U48" s="775" t="s">
        <v>84</v>
      </c>
      <c r="V48" s="779" t="s">
        <v>87</v>
      </c>
      <c r="W48" s="779" t="s">
        <v>87</v>
      </c>
      <c r="X48" s="779" t="s">
        <v>87</v>
      </c>
      <c r="Y48" s="779" t="s">
        <v>87</v>
      </c>
      <c r="Z48" s="779" t="s">
        <v>87</v>
      </c>
      <c r="AA48" s="770" t="s">
        <v>84</v>
      </c>
      <c r="AB48" s="760" t="s">
        <v>84</v>
      </c>
      <c r="AC48" s="773" t="s">
        <v>87</v>
      </c>
      <c r="AD48" s="772" t="s">
        <v>87</v>
      </c>
      <c r="AE48" s="772" t="s">
        <v>87</v>
      </c>
      <c r="AF48" s="776" t="s">
        <v>87</v>
      </c>
      <c r="AG48" s="772" t="s">
        <v>87</v>
      </c>
      <c r="AH48" s="770" t="s">
        <v>84</v>
      </c>
      <c r="AI48" s="775" t="s">
        <v>84</v>
      </c>
    </row>
    <row r="49" spans="1:41" ht="18" customHeight="1">
      <c r="A49" s="1377"/>
      <c r="B49" s="753" t="s">
        <v>43</v>
      </c>
      <c r="C49" s="754" t="s">
        <v>45</v>
      </c>
      <c r="D49" s="755">
        <v>555851</v>
      </c>
      <c r="E49" s="780"/>
      <c r="F49" s="646"/>
      <c r="G49" s="647"/>
      <c r="H49" s="646"/>
      <c r="I49" s="646"/>
      <c r="J49" s="646"/>
      <c r="K49" s="646"/>
      <c r="L49" s="646"/>
      <c r="M49" s="646"/>
      <c r="N49" s="762"/>
      <c r="O49" s="645"/>
      <c r="P49" s="646"/>
      <c r="Q49" s="646"/>
      <c r="R49" s="646"/>
      <c r="S49" s="646"/>
      <c r="T49" s="646"/>
      <c r="U49" s="647"/>
      <c r="V49" s="646"/>
      <c r="W49" s="646"/>
      <c r="X49" s="646"/>
      <c r="Y49" s="646"/>
      <c r="Z49" s="646"/>
      <c r="AA49" s="646"/>
      <c r="AB49" s="762"/>
      <c r="AC49" s="645"/>
      <c r="AD49" s="646"/>
      <c r="AE49" s="943" t="s">
        <v>126</v>
      </c>
      <c r="AF49" s="943" t="s">
        <v>126</v>
      </c>
      <c r="AG49" s="762"/>
      <c r="AH49" s="646"/>
      <c r="AI49" s="647"/>
    </row>
    <row r="50" spans="1:41" ht="18" customHeight="1">
      <c r="A50" s="1378" t="s">
        <v>165</v>
      </c>
      <c r="B50" s="753" t="s">
        <v>249</v>
      </c>
      <c r="C50" s="754" t="s">
        <v>194</v>
      </c>
      <c r="D50" s="755">
        <v>685733</v>
      </c>
      <c r="E50" s="1084"/>
      <c r="F50" s="1085"/>
      <c r="G50" s="1086"/>
      <c r="H50" s="1085"/>
      <c r="I50" s="1085"/>
      <c r="J50" s="1085"/>
      <c r="K50" s="1085"/>
      <c r="L50" s="1085"/>
      <c r="M50" s="1085"/>
      <c r="N50" s="1087"/>
      <c r="O50" s="833" t="s">
        <v>87</v>
      </c>
      <c r="P50" s="834" t="s">
        <v>87</v>
      </c>
      <c r="Q50" s="834" t="s">
        <v>87</v>
      </c>
      <c r="R50" s="834" t="s">
        <v>87</v>
      </c>
      <c r="S50" s="834" t="s">
        <v>87</v>
      </c>
      <c r="T50" s="1088" t="s">
        <v>84</v>
      </c>
      <c r="U50" s="836" t="s">
        <v>94</v>
      </c>
      <c r="V50" s="834" t="s">
        <v>94</v>
      </c>
      <c r="W50" s="834" t="s">
        <v>94</v>
      </c>
      <c r="X50" s="834" t="s">
        <v>94</v>
      </c>
      <c r="Y50" s="834" t="s">
        <v>94</v>
      </c>
      <c r="Z50" s="834" t="s">
        <v>94</v>
      </c>
      <c r="AA50" s="1088" t="s">
        <v>84</v>
      </c>
      <c r="AB50" s="1089" t="s">
        <v>84</v>
      </c>
      <c r="AC50" s="1090"/>
      <c r="AD50" s="1085"/>
      <c r="AE50" s="1085"/>
      <c r="AF50" s="1087"/>
      <c r="AG50" s="1085"/>
      <c r="AH50" s="1085"/>
      <c r="AI50" s="1086"/>
    </row>
    <row r="51" spans="1:41" ht="18" customHeight="1">
      <c r="A51" s="1376"/>
      <c r="B51" s="753" t="s">
        <v>250</v>
      </c>
      <c r="C51" s="754" t="s">
        <v>251</v>
      </c>
      <c r="D51" s="755">
        <v>685687</v>
      </c>
      <c r="E51" s="1038"/>
      <c r="F51" s="1039"/>
      <c r="G51" s="1040"/>
      <c r="H51" s="1039"/>
      <c r="I51" s="1039"/>
      <c r="J51" s="1039"/>
      <c r="K51" s="1039"/>
      <c r="L51" s="1039"/>
      <c r="M51" s="1039"/>
      <c r="N51" s="1041"/>
      <c r="O51" s="1042"/>
      <c r="P51" s="1039"/>
      <c r="Q51" s="1039"/>
      <c r="R51" s="1039"/>
      <c r="S51" s="1039"/>
      <c r="T51" s="1083"/>
      <c r="U51" s="1040"/>
      <c r="V51" s="646" t="s">
        <v>87</v>
      </c>
      <c r="W51" s="1092" t="s">
        <v>131</v>
      </c>
      <c r="X51" s="646" t="s">
        <v>87</v>
      </c>
      <c r="Y51" s="646" t="s">
        <v>87</v>
      </c>
      <c r="Z51" s="646" t="s">
        <v>87</v>
      </c>
      <c r="AA51" s="1091" t="s">
        <v>87</v>
      </c>
      <c r="AB51" s="943" t="s">
        <v>84</v>
      </c>
      <c r="AC51" s="780" t="s">
        <v>88</v>
      </c>
      <c r="AD51" s="1092" t="s">
        <v>131</v>
      </c>
      <c r="AE51" s="646" t="s">
        <v>87</v>
      </c>
      <c r="AF51" s="762" t="s">
        <v>87</v>
      </c>
      <c r="AG51" s="646" t="s">
        <v>215</v>
      </c>
      <c r="AH51" s="794" t="s">
        <v>84</v>
      </c>
      <c r="AI51" s="1093" t="s">
        <v>84</v>
      </c>
    </row>
    <row r="53" spans="1:41" ht="18" customHeight="1">
      <c r="D53" s="124" t="s">
        <v>123</v>
      </c>
      <c r="E53" s="123"/>
      <c r="F53" s="123" t="s">
        <v>252</v>
      </c>
      <c r="G53" s="123"/>
      <c r="H53" s="123"/>
      <c r="I53" s="123"/>
      <c r="J53" s="123"/>
      <c r="K53" s="123"/>
      <c r="L53" s="123"/>
      <c r="M53" s="123"/>
      <c r="N53" s="145"/>
      <c r="O53" s="145"/>
      <c r="U53" s="124" t="s">
        <v>135</v>
      </c>
      <c r="V53" s="123"/>
      <c r="W53" s="123" t="s">
        <v>253</v>
      </c>
      <c r="X53" s="123"/>
      <c r="Y53" s="123"/>
      <c r="Z53" s="123"/>
      <c r="AA53" s="123"/>
      <c r="AB53" s="123"/>
      <c r="AC53" s="123"/>
      <c r="AD53" s="123"/>
      <c r="AE53" s="135"/>
      <c r="AF53" s="135"/>
      <c r="AG53" s="135"/>
      <c r="AH53" s="135"/>
      <c r="AI53" s="135"/>
    </row>
    <row r="54" spans="1:41" ht="18" customHeight="1"/>
    <row r="55" spans="1:41" ht="18" customHeight="1">
      <c r="D55" s="124" t="s">
        <v>137</v>
      </c>
      <c r="E55" s="123"/>
      <c r="F55" s="123" t="s">
        <v>254</v>
      </c>
      <c r="G55" s="123"/>
      <c r="H55" s="123"/>
      <c r="I55" s="123"/>
      <c r="J55" s="123"/>
      <c r="K55" s="123"/>
      <c r="L55" s="123"/>
      <c r="M55" s="123"/>
      <c r="U55" s="124" t="s">
        <v>124</v>
      </c>
      <c r="V55" s="123"/>
      <c r="W55" s="123" t="s">
        <v>217</v>
      </c>
      <c r="X55" s="123"/>
      <c r="Y55" s="123"/>
      <c r="Z55" s="123"/>
      <c r="AA55" s="123"/>
      <c r="AB55" s="123"/>
      <c r="AC55" s="123"/>
      <c r="AD55" s="123"/>
    </row>
    <row r="56" spans="1:41" ht="18" customHeight="1"/>
    <row r="57" spans="1:41" ht="18" customHeight="1">
      <c r="D57" s="124" t="s">
        <v>107</v>
      </c>
      <c r="F57" s="123" t="s">
        <v>255</v>
      </c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U57" s="124" t="s">
        <v>140</v>
      </c>
      <c r="W57" s="123" t="s">
        <v>256</v>
      </c>
      <c r="X57" s="123"/>
      <c r="Y57" s="123"/>
      <c r="Z57" s="123"/>
      <c r="AA57" s="123"/>
      <c r="AB57" s="123"/>
      <c r="AC57" s="123"/>
    </row>
    <row r="58" spans="1:41" ht="18" customHeight="1"/>
    <row r="59" spans="1:41" ht="18" customHeight="1">
      <c r="D59" s="124" t="s">
        <v>108</v>
      </c>
      <c r="F59" s="123" t="s">
        <v>257</v>
      </c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U59" s="124" t="s">
        <v>103</v>
      </c>
      <c r="W59" s="123" t="s">
        <v>144</v>
      </c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</row>
    <row r="60" spans="1:41" ht="18" customHeight="1"/>
    <row r="61" spans="1:41" ht="18" customHeight="1">
      <c r="D61" s="124" t="s">
        <v>105</v>
      </c>
      <c r="F61" s="123" t="s">
        <v>219</v>
      </c>
      <c r="U61" s="124" t="s">
        <v>145</v>
      </c>
      <c r="W61" s="123" t="s">
        <v>221</v>
      </c>
    </row>
    <row r="62" spans="1:41" ht="18" customHeight="1"/>
    <row r="63" spans="1:41" ht="18" customHeight="1">
      <c r="A63" s="123"/>
      <c r="B63" s="123"/>
      <c r="C63" s="123"/>
      <c r="D63" s="124" t="s">
        <v>122</v>
      </c>
      <c r="E63" s="123"/>
      <c r="F63" s="123" t="s">
        <v>198</v>
      </c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4" t="s">
        <v>115</v>
      </c>
      <c r="W63" s="123" t="s">
        <v>258</v>
      </c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</row>
    <row r="64" spans="1:41" ht="18" customHeight="1"/>
    <row r="65" spans="4:39" ht="18" customHeight="1">
      <c r="D65" s="124" t="s">
        <v>149</v>
      </c>
      <c r="F65" s="123" t="s">
        <v>222</v>
      </c>
      <c r="U65" s="124" t="s">
        <v>208</v>
      </c>
      <c r="W65" s="123" t="s">
        <v>228</v>
      </c>
    </row>
    <row r="67" spans="4:39" ht="18">
      <c r="D67" s="124" t="s">
        <v>230</v>
      </c>
      <c r="F67" s="123" t="s">
        <v>236</v>
      </c>
      <c r="U67" s="124" t="s">
        <v>210</v>
      </c>
      <c r="W67" s="123" t="s">
        <v>232</v>
      </c>
    </row>
    <row r="69" spans="4:39" ht="18">
      <c r="D69" s="124" t="s">
        <v>212</v>
      </c>
      <c r="F69" s="123" t="s">
        <v>234</v>
      </c>
      <c r="U69" s="124" t="s">
        <v>235</v>
      </c>
      <c r="W69" s="123" t="s">
        <v>259</v>
      </c>
    </row>
    <row r="70" spans="4:39" ht="18">
      <c r="D70" s="750"/>
      <c r="F70" s="123"/>
      <c r="U70" s="750"/>
      <c r="W70" s="123"/>
    </row>
    <row r="71" spans="4:39" ht="18">
      <c r="D71" s="124" t="s">
        <v>211</v>
      </c>
      <c r="F71" s="123" t="s">
        <v>226</v>
      </c>
      <c r="U71" s="124" t="s">
        <v>245</v>
      </c>
      <c r="W71" s="1315" t="s">
        <v>260</v>
      </c>
      <c r="X71" s="1315"/>
      <c r="Y71" s="1315"/>
      <c r="Z71" s="1315"/>
      <c r="AA71" s="1315"/>
      <c r="AB71" s="1315"/>
      <c r="AC71" s="1315"/>
      <c r="AD71" s="1315"/>
      <c r="AE71" s="1315"/>
      <c r="AF71" s="1315"/>
      <c r="AG71" s="1315"/>
      <c r="AH71" s="1315"/>
      <c r="AI71" s="1315"/>
      <c r="AJ71" s="1315"/>
      <c r="AK71" s="1315"/>
      <c r="AL71" s="1315"/>
      <c r="AM71" s="123"/>
    </row>
    <row r="72" spans="4:39" ht="18">
      <c r="D72" s="750"/>
      <c r="F72" s="123"/>
      <c r="U72" s="750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23"/>
    </row>
    <row r="73" spans="4:39" ht="18">
      <c r="D73" s="124" t="s">
        <v>261</v>
      </c>
      <c r="F73" s="123" t="s">
        <v>262</v>
      </c>
      <c r="U73" s="750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23"/>
    </row>
    <row r="75" spans="4:39" ht="18" thickTop="1" thickBot="1">
      <c r="D75" s="141" t="s">
        <v>150</v>
      </c>
      <c r="E75" s="62" t="s">
        <v>94</v>
      </c>
      <c r="F75" s="60" t="s">
        <v>94</v>
      </c>
      <c r="G75" s="60" t="s">
        <v>94</v>
      </c>
      <c r="H75" s="60" t="s">
        <v>94</v>
      </c>
      <c r="I75" s="60" t="s">
        <v>94</v>
      </c>
      <c r="J75" s="73" t="s">
        <v>84</v>
      </c>
      <c r="K75" s="61" t="s">
        <v>94</v>
      </c>
      <c r="L75" s="62" t="s">
        <v>94</v>
      </c>
      <c r="M75" s="60" t="s">
        <v>94</v>
      </c>
      <c r="N75" s="60" t="s">
        <v>94</v>
      </c>
      <c r="O75" s="60" t="s">
        <v>94</v>
      </c>
      <c r="P75" s="60" t="s">
        <v>94</v>
      </c>
      <c r="Q75" s="63" t="s">
        <v>84</v>
      </c>
      <c r="R75" s="64" t="s">
        <v>84</v>
      </c>
      <c r="S75" s="129" t="s">
        <v>95</v>
      </c>
      <c r="T75" s="129" t="s">
        <v>95</v>
      </c>
      <c r="U75" s="129" t="s">
        <v>95</v>
      </c>
      <c r="V75" s="129" t="s">
        <v>95</v>
      </c>
      <c r="W75" s="129" t="s">
        <v>95</v>
      </c>
      <c r="X75" s="68" t="s">
        <v>84</v>
      </c>
      <c r="Y75" s="59" t="s">
        <v>84</v>
      </c>
      <c r="Z75" s="62" t="s">
        <v>94</v>
      </c>
      <c r="AA75" s="60" t="s">
        <v>94</v>
      </c>
      <c r="AB75" s="60" t="s">
        <v>94</v>
      </c>
      <c r="AC75" s="60" t="s">
        <v>94</v>
      </c>
      <c r="AD75" s="60" t="s">
        <v>94</v>
      </c>
      <c r="AE75" s="63" t="s">
        <v>84</v>
      </c>
      <c r="AF75" s="60" t="s">
        <v>94</v>
      </c>
      <c r="AG75" s="60" t="s">
        <v>94</v>
      </c>
      <c r="AH75" s="74"/>
      <c r="AI75" s="63" t="s">
        <v>84</v>
      </c>
    </row>
    <row r="76" spans="4:39" ht="17.5" thickBot="1">
      <c r="D76" s="142" t="s">
        <v>151</v>
      </c>
      <c r="E76" s="311">
        <f>COUNTBLANK(E19:E24)</f>
        <v>6</v>
      </c>
      <c r="F76" s="311">
        <f t="shared" ref="F76:AI76" si="0">COUNTBLANK(F19:F24)</f>
        <v>6</v>
      </c>
      <c r="G76" s="311">
        <f t="shared" si="0"/>
        <v>6</v>
      </c>
      <c r="H76" s="311">
        <f t="shared" si="0"/>
        <v>3</v>
      </c>
      <c r="I76" s="311">
        <f t="shared" si="0"/>
        <v>4</v>
      </c>
      <c r="J76" s="311">
        <f t="shared" si="0"/>
        <v>4</v>
      </c>
      <c r="K76" s="311">
        <f t="shared" si="0"/>
        <v>5</v>
      </c>
      <c r="L76" s="311">
        <f>COUNTBLANK(L19:L24)</f>
        <v>4</v>
      </c>
      <c r="M76" s="311">
        <f t="shared" si="0"/>
        <v>4</v>
      </c>
      <c r="N76" s="311">
        <f t="shared" si="0"/>
        <v>6</v>
      </c>
      <c r="O76" s="311">
        <f t="shared" si="0"/>
        <v>5</v>
      </c>
      <c r="P76" s="311">
        <f t="shared" si="0"/>
        <v>5</v>
      </c>
      <c r="Q76" s="311">
        <f t="shared" si="0"/>
        <v>5</v>
      </c>
      <c r="R76" s="311">
        <f t="shared" si="0"/>
        <v>5</v>
      </c>
      <c r="S76" s="311">
        <f t="shared" si="0"/>
        <v>5</v>
      </c>
      <c r="T76" s="311">
        <f t="shared" si="0"/>
        <v>5</v>
      </c>
      <c r="U76" s="311">
        <f t="shared" si="0"/>
        <v>5</v>
      </c>
      <c r="V76" s="311">
        <f t="shared" si="0"/>
        <v>5</v>
      </c>
      <c r="W76" s="311">
        <f t="shared" si="0"/>
        <v>5</v>
      </c>
      <c r="X76" s="311">
        <f t="shared" si="0"/>
        <v>5</v>
      </c>
      <c r="Y76" s="311">
        <f t="shared" si="0"/>
        <v>4</v>
      </c>
      <c r="Z76" s="311">
        <f t="shared" si="0"/>
        <v>3</v>
      </c>
      <c r="AA76" s="311">
        <f t="shared" si="0"/>
        <v>6</v>
      </c>
      <c r="AB76" s="311">
        <f t="shared" si="0"/>
        <v>4</v>
      </c>
      <c r="AC76" s="311">
        <f t="shared" si="0"/>
        <v>3</v>
      </c>
      <c r="AD76" s="311">
        <f t="shared" si="0"/>
        <v>4</v>
      </c>
      <c r="AE76" s="311">
        <f t="shared" si="0"/>
        <v>5</v>
      </c>
      <c r="AF76" s="311">
        <f t="shared" si="0"/>
        <v>5</v>
      </c>
      <c r="AG76" s="311">
        <f t="shared" si="0"/>
        <v>4</v>
      </c>
      <c r="AH76" s="311"/>
      <c r="AI76" s="311">
        <f t="shared" si="0"/>
        <v>6</v>
      </c>
    </row>
    <row r="77" spans="4:39" ht="18" thickTop="1" thickBot="1">
      <c r="D77" s="143" t="s">
        <v>150</v>
      </c>
      <c r="E77" s="128" t="s">
        <v>94</v>
      </c>
      <c r="F77" s="70" t="s">
        <v>94</v>
      </c>
      <c r="G77" s="70" t="s">
        <v>94</v>
      </c>
      <c r="H77" s="70" t="s">
        <v>94</v>
      </c>
      <c r="I77" s="70" t="s">
        <v>94</v>
      </c>
      <c r="J77" s="71" t="s">
        <v>84</v>
      </c>
      <c r="K77" s="69" t="s">
        <v>94</v>
      </c>
      <c r="L77" s="77" t="s">
        <v>94</v>
      </c>
      <c r="M77" s="70" t="s">
        <v>94</v>
      </c>
      <c r="N77" s="70" t="s">
        <v>94</v>
      </c>
      <c r="O77" s="70" t="s">
        <v>94</v>
      </c>
      <c r="P77" s="70" t="s">
        <v>94</v>
      </c>
      <c r="Q77" s="68" t="s">
        <v>84</v>
      </c>
      <c r="R77" s="69" t="s">
        <v>94</v>
      </c>
      <c r="S77" s="77" t="s">
        <v>94</v>
      </c>
      <c r="T77" s="70" t="s">
        <v>94</v>
      </c>
      <c r="U77" s="70" t="s">
        <v>94</v>
      </c>
      <c r="V77" s="70" t="s">
        <v>94</v>
      </c>
      <c r="W77" s="70" t="s">
        <v>94</v>
      </c>
      <c r="X77" s="76" t="s">
        <v>84</v>
      </c>
      <c r="Y77" s="59" t="s">
        <v>84</v>
      </c>
      <c r="Z77" s="129" t="s">
        <v>95</v>
      </c>
      <c r="AA77" s="129" t="s">
        <v>95</v>
      </c>
      <c r="AB77" s="129" t="s">
        <v>95</v>
      </c>
      <c r="AC77" s="129" t="s">
        <v>95</v>
      </c>
      <c r="AD77" s="129" t="s">
        <v>95</v>
      </c>
      <c r="AE77" s="68" t="s">
        <v>84</v>
      </c>
      <c r="AF77" s="129" t="s">
        <v>95</v>
      </c>
      <c r="AG77" s="129" t="s">
        <v>95</v>
      </c>
      <c r="AH77" s="129"/>
      <c r="AI77" s="68" t="s">
        <v>84</v>
      </c>
    </row>
    <row r="78" spans="4:39" ht="17.5" thickBot="1">
      <c r="D78" s="142" t="s">
        <v>152</v>
      </c>
      <c r="E78" s="311">
        <f>COUNTBLANK(E26:E32)</f>
        <v>7</v>
      </c>
      <c r="F78" s="311">
        <f t="shared" ref="F78:AI78" si="1">COUNTBLANK(F26:F32)</f>
        <v>7</v>
      </c>
      <c r="G78" s="311">
        <f t="shared" si="1"/>
        <v>7</v>
      </c>
      <c r="H78" s="311">
        <f t="shared" si="1"/>
        <v>7</v>
      </c>
      <c r="I78" s="311">
        <f t="shared" si="1"/>
        <v>7</v>
      </c>
      <c r="J78" s="311">
        <f t="shared" si="1"/>
        <v>6</v>
      </c>
      <c r="K78" s="311">
        <f t="shared" si="1"/>
        <v>6</v>
      </c>
      <c r="L78" s="311">
        <f t="shared" si="1"/>
        <v>6</v>
      </c>
      <c r="M78" s="311">
        <f t="shared" si="1"/>
        <v>7</v>
      </c>
      <c r="N78" s="311">
        <f t="shared" si="1"/>
        <v>7</v>
      </c>
      <c r="O78" s="311">
        <f t="shared" si="1"/>
        <v>4</v>
      </c>
      <c r="P78" s="311">
        <f t="shared" si="1"/>
        <v>4</v>
      </c>
      <c r="Q78" s="311">
        <f t="shared" si="1"/>
        <v>6</v>
      </c>
      <c r="R78" s="311">
        <f t="shared" si="1"/>
        <v>3</v>
      </c>
      <c r="S78" s="311">
        <f t="shared" si="1"/>
        <v>4</v>
      </c>
      <c r="T78" s="311">
        <f t="shared" si="1"/>
        <v>6</v>
      </c>
      <c r="U78" s="311">
        <f t="shared" si="1"/>
        <v>4</v>
      </c>
      <c r="V78" s="311">
        <f t="shared" si="1"/>
        <v>5</v>
      </c>
      <c r="W78" s="311">
        <f t="shared" si="1"/>
        <v>6</v>
      </c>
      <c r="X78" s="311">
        <f t="shared" si="1"/>
        <v>5</v>
      </c>
      <c r="Y78" s="311">
        <f t="shared" si="1"/>
        <v>6</v>
      </c>
      <c r="Z78" s="311">
        <f t="shared" si="1"/>
        <v>6</v>
      </c>
      <c r="AA78" s="311">
        <f t="shared" si="1"/>
        <v>7</v>
      </c>
      <c r="AB78" s="311">
        <f t="shared" si="1"/>
        <v>5</v>
      </c>
      <c r="AC78" s="311">
        <f t="shared" si="1"/>
        <v>5</v>
      </c>
      <c r="AD78" s="311">
        <f t="shared" si="1"/>
        <v>6</v>
      </c>
      <c r="AE78" s="311">
        <f t="shared" si="1"/>
        <v>6</v>
      </c>
      <c r="AF78" s="311">
        <f t="shared" si="1"/>
        <v>4</v>
      </c>
      <c r="AG78" s="311">
        <f t="shared" si="1"/>
        <v>4</v>
      </c>
      <c r="AH78" s="311"/>
      <c r="AI78" s="311">
        <f t="shared" si="1"/>
        <v>5</v>
      </c>
    </row>
    <row r="79" spans="4:39" ht="18" thickTop="1" thickBot="1">
      <c r="D79" s="143" t="s">
        <v>150</v>
      </c>
      <c r="E79" s="129" t="s">
        <v>95</v>
      </c>
      <c r="F79" s="129" t="s">
        <v>95</v>
      </c>
      <c r="G79" s="129" t="s">
        <v>95</v>
      </c>
      <c r="H79" s="129" t="s">
        <v>95</v>
      </c>
      <c r="I79" s="129" t="s">
        <v>95</v>
      </c>
      <c r="J79" s="76" t="s">
        <v>84</v>
      </c>
      <c r="K79" s="59" t="s">
        <v>84</v>
      </c>
      <c r="L79" s="128" t="s">
        <v>94</v>
      </c>
      <c r="M79" s="70" t="s">
        <v>94</v>
      </c>
      <c r="N79" s="70" t="s">
        <v>94</v>
      </c>
      <c r="O79" s="70" t="s">
        <v>94</v>
      </c>
      <c r="P79" s="70" t="s">
        <v>94</v>
      </c>
      <c r="Q79" s="71" t="s">
        <v>84</v>
      </c>
      <c r="R79" s="69" t="s">
        <v>94</v>
      </c>
      <c r="S79" s="77" t="s">
        <v>94</v>
      </c>
      <c r="T79" s="70" t="s">
        <v>94</v>
      </c>
      <c r="U79" s="70" t="s">
        <v>94</v>
      </c>
      <c r="V79" s="70" t="s">
        <v>94</v>
      </c>
      <c r="W79" s="70" t="s">
        <v>94</v>
      </c>
      <c r="X79" s="76" t="s">
        <v>84</v>
      </c>
      <c r="Y79" s="69" t="s">
        <v>94</v>
      </c>
      <c r="Z79" s="77" t="s">
        <v>94</v>
      </c>
      <c r="AA79" s="70" t="s">
        <v>94</v>
      </c>
      <c r="AB79" s="70" t="s">
        <v>94</v>
      </c>
      <c r="AC79" s="70" t="s">
        <v>94</v>
      </c>
      <c r="AD79" s="70" t="s">
        <v>94</v>
      </c>
      <c r="AE79" s="76" t="s">
        <v>84</v>
      </c>
      <c r="AF79" s="70" t="s">
        <v>94</v>
      </c>
      <c r="AG79" s="70" t="s">
        <v>94</v>
      </c>
      <c r="AH79" s="77"/>
      <c r="AI79" s="76" t="s">
        <v>84</v>
      </c>
    </row>
    <row r="80" spans="4:39" ht="17.5" thickBot="1">
      <c r="D80" s="142" t="s">
        <v>117</v>
      </c>
      <c r="E80" s="311">
        <f t="shared" ref="E80:AG80" si="2">COUNTBLANK(E34:E39)</f>
        <v>6</v>
      </c>
      <c r="F80" s="311">
        <f t="shared" si="2"/>
        <v>6</v>
      </c>
      <c r="G80" s="311">
        <f t="shared" si="2"/>
        <v>5</v>
      </c>
      <c r="H80" s="311">
        <f t="shared" si="2"/>
        <v>5</v>
      </c>
      <c r="I80" s="311">
        <f t="shared" si="2"/>
        <v>6</v>
      </c>
      <c r="J80" s="311">
        <f t="shared" si="2"/>
        <v>6</v>
      </c>
      <c r="K80" s="311">
        <f t="shared" si="2"/>
        <v>5</v>
      </c>
      <c r="L80" s="311">
        <f t="shared" si="2"/>
        <v>5</v>
      </c>
      <c r="M80" s="311">
        <f t="shared" si="2"/>
        <v>6</v>
      </c>
      <c r="N80" s="311">
        <f t="shared" si="2"/>
        <v>5</v>
      </c>
      <c r="O80" s="311">
        <f t="shared" si="2"/>
        <v>5</v>
      </c>
      <c r="P80" s="311">
        <f t="shared" si="2"/>
        <v>5</v>
      </c>
      <c r="Q80" s="311">
        <f t="shared" si="2"/>
        <v>5</v>
      </c>
      <c r="R80" s="311">
        <f t="shared" si="2"/>
        <v>6</v>
      </c>
      <c r="S80" s="311">
        <f t="shared" si="2"/>
        <v>5</v>
      </c>
      <c r="T80" s="311">
        <f t="shared" si="2"/>
        <v>6</v>
      </c>
      <c r="U80" s="311">
        <f t="shared" si="2"/>
        <v>4</v>
      </c>
      <c r="V80" s="311">
        <f t="shared" si="2"/>
        <v>4</v>
      </c>
      <c r="W80" s="311">
        <f t="shared" si="2"/>
        <v>3</v>
      </c>
      <c r="X80" s="311">
        <f t="shared" si="2"/>
        <v>2</v>
      </c>
      <c r="Y80" s="311">
        <f t="shared" si="2"/>
        <v>2</v>
      </c>
      <c r="Z80" s="311">
        <f t="shared" si="2"/>
        <v>0</v>
      </c>
      <c r="AA80" s="311">
        <f t="shared" si="2"/>
        <v>6</v>
      </c>
      <c r="AB80" s="311">
        <f t="shared" si="2"/>
        <v>6</v>
      </c>
      <c r="AC80" s="311">
        <f t="shared" si="2"/>
        <v>6</v>
      </c>
      <c r="AD80" s="311">
        <f t="shared" si="2"/>
        <v>6</v>
      </c>
      <c r="AE80" s="311">
        <f t="shared" si="2"/>
        <v>6</v>
      </c>
      <c r="AF80" s="311">
        <f t="shared" si="2"/>
        <v>5</v>
      </c>
      <c r="AG80" s="311">
        <f t="shared" si="2"/>
        <v>5</v>
      </c>
      <c r="AH80" s="311"/>
      <c r="AI80" s="311">
        <f>COUNTBLANK(AI34:AI39)</f>
        <v>4</v>
      </c>
    </row>
    <row r="81" spans="4:35" ht="18" thickTop="1" thickBot="1">
      <c r="D81" s="144" t="s">
        <v>150</v>
      </c>
      <c r="E81" s="109" t="s">
        <v>94</v>
      </c>
      <c r="F81" s="110" t="s">
        <v>84</v>
      </c>
      <c r="G81" s="59" t="s">
        <v>84</v>
      </c>
      <c r="H81" s="129" t="s">
        <v>95</v>
      </c>
      <c r="I81" s="129" t="s">
        <v>95</v>
      </c>
      <c r="J81" s="129" t="s">
        <v>95</v>
      </c>
      <c r="K81" s="129" t="s">
        <v>95</v>
      </c>
      <c r="L81" s="129" t="s">
        <v>95</v>
      </c>
      <c r="M81" s="76" t="s">
        <v>84</v>
      </c>
      <c r="N81" s="59" t="s">
        <v>84</v>
      </c>
      <c r="O81" s="128" t="s">
        <v>94</v>
      </c>
      <c r="P81" s="70" t="s">
        <v>94</v>
      </c>
      <c r="Q81" s="70" t="s">
        <v>94</v>
      </c>
      <c r="R81" s="70" t="s">
        <v>94</v>
      </c>
      <c r="S81" s="70" t="s">
        <v>94</v>
      </c>
      <c r="T81" s="71" t="s">
        <v>84</v>
      </c>
      <c r="U81" s="69" t="s">
        <v>94</v>
      </c>
      <c r="V81" s="77" t="s">
        <v>94</v>
      </c>
      <c r="W81" s="70" t="s">
        <v>94</v>
      </c>
      <c r="X81" s="70" t="s">
        <v>94</v>
      </c>
      <c r="Y81" s="70" t="s">
        <v>94</v>
      </c>
      <c r="Z81" s="70" t="s">
        <v>94</v>
      </c>
      <c r="AA81" s="76" t="s">
        <v>84</v>
      </c>
      <c r="AB81" s="69" t="s">
        <v>94</v>
      </c>
      <c r="AC81" s="77" t="s">
        <v>94</v>
      </c>
      <c r="AD81" s="70" t="s">
        <v>94</v>
      </c>
      <c r="AE81" s="69" t="s">
        <v>94</v>
      </c>
      <c r="AF81" s="77" t="s">
        <v>94</v>
      </c>
      <c r="AG81" s="70" t="s">
        <v>94</v>
      </c>
      <c r="AH81" s="66"/>
      <c r="AI81" s="69" t="s">
        <v>94</v>
      </c>
    </row>
    <row r="82" spans="4:35" ht="17.5" thickBot="1">
      <c r="D82" s="142" t="s">
        <v>119</v>
      </c>
      <c r="E82" s="311">
        <f>COUNTBLANK(E41:E47)</f>
        <v>4</v>
      </c>
      <c r="F82" s="311">
        <f t="shared" ref="F82:AI82" si="3">COUNTBLANK(F41:F47)</f>
        <v>7</v>
      </c>
      <c r="G82" s="311">
        <f t="shared" si="3"/>
        <v>7</v>
      </c>
      <c r="H82" s="311">
        <f t="shared" si="3"/>
        <v>7</v>
      </c>
      <c r="I82" s="311">
        <f t="shared" si="3"/>
        <v>7</v>
      </c>
      <c r="J82" s="311">
        <f t="shared" si="3"/>
        <v>7</v>
      </c>
      <c r="K82" s="311">
        <f t="shared" si="3"/>
        <v>7</v>
      </c>
      <c r="L82" s="311">
        <f t="shared" si="3"/>
        <v>7</v>
      </c>
      <c r="M82" s="311">
        <f t="shared" si="3"/>
        <v>7</v>
      </c>
      <c r="N82" s="311">
        <f t="shared" si="3"/>
        <v>6</v>
      </c>
      <c r="O82" s="311">
        <f t="shared" si="3"/>
        <v>6</v>
      </c>
      <c r="P82" s="311">
        <f t="shared" si="3"/>
        <v>6</v>
      </c>
      <c r="Q82" s="311">
        <f t="shared" si="3"/>
        <v>6</v>
      </c>
      <c r="R82" s="311">
        <f t="shared" si="3"/>
        <v>6</v>
      </c>
      <c r="S82" s="311">
        <f t="shared" si="3"/>
        <v>6</v>
      </c>
      <c r="T82" s="311">
        <f t="shared" si="3"/>
        <v>6</v>
      </c>
      <c r="U82" s="311">
        <f t="shared" si="3"/>
        <v>7</v>
      </c>
      <c r="V82" s="311">
        <f t="shared" si="3"/>
        <v>7</v>
      </c>
      <c r="W82" s="311">
        <f t="shared" si="3"/>
        <v>7</v>
      </c>
      <c r="X82" s="311">
        <f t="shared" si="3"/>
        <v>7</v>
      </c>
      <c r="Y82" s="311">
        <f t="shared" si="3"/>
        <v>7</v>
      </c>
      <c r="Z82" s="311">
        <f t="shared" si="3"/>
        <v>7</v>
      </c>
      <c r="AA82" s="311">
        <f t="shared" si="3"/>
        <v>6</v>
      </c>
      <c r="AB82" s="311">
        <f t="shared" si="3"/>
        <v>7</v>
      </c>
      <c r="AC82" s="311">
        <f t="shared" si="3"/>
        <v>3</v>
      </c>
      <c r="AD82" s="311">
        <f t="shared" si="3"/>
        <v>3</v>
      </c>
      <c r="AE82" s="311">
        <f t="shared" si="3"/>
        <v>1</v>
      </c>
      <c r="AF82" s="311">
        <f t="shared" si="3"/>
        <v>3</v>
      </c>
      <c r="AG82" s="311">
        <f t="shared" si="3"/>
        <v>2</v>
      </c>
      <c r="AH82" s="311"/>
      <c r="AI82" s="311">
        <f t="shared" si="3"/>
        <v>7</v>
      </c>
    </row>
  </sheetData>
  <sheetProtection algorithmName="SHA-512" hashValue="YmVFaJ+fd4M9pV878r4DxIaxP5JpBVMhYKsjEF2miwFyhgXI1mw4Sf+GGRB1CK4oSGjFaENh9NAL4pZ/SVK6DA==" saltValue="zGzgBZfIw2Jt4UByPBq7bw==" spinCount="100000" sheet="1" objects="1" scenarios="1"/>
  <mergeCells count="27">
    <mergeCell ref="A50:A51"/>
    <mergeCell ref="W71:AL71"/>
    <mergeCell ref="A8:A9"/>
    <mergeCell ref="A10:A11"/>
    <mergeCell ref="A12:A13"/>
    <mergeCell ref="B12:D12"/>
    <mergeCell ref="A14:A15"/>
    <mergeCell ref="B14:D14"/>
    <mergeCell ref="A16:A17"/>
    <mergeCell ref="B16:D16"/>
    <mergeCell ref="A18:A24"/>
    <mergeCell ref="B18:D18"/>
    <mergeCell ref="A25:A32"/>
    <mergeCell ref="B25:D25"/>
    <mergeCell ref="A33:A39"/>
    <mergeCell ref="B33:D33"/>
    <mergeCell ref="A40:A47"/>
    <mergeCell ref="B40:D40"/>
    <mergeCell ref="B48:D48"/>
    <mergeCell ref="V4:AB4"/>
    <mergeCell ref="AC4:AI4"/>
    <mergeCell ref="A48:A49"/>
    <mergeCell ref="E2:AI2"/>
    <mergeCell ref="E3:AI3"/>
    <mergeCell ref="H4:N4"/>
    <mergeCell ref="E4:G4"/>
    <mergeCell ref="O4:U4"/>
  </mergeCells>
  <phoneticPr fontId="18" type="noConversion"/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2DD5763E-C2E6-4352-888D-04B8AE2968E9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3D4F9583-665B-4A90-BC4E-B86637EC1533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4E7329F5-A9B0-48A4-BE6D-2AB1E7EC0993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33CC6127-4B9F-4A9A-84E3-B2A7CF5FBF90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BE5A4D20-DB73-425D-BAE3-F8DCF6717BCD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A2F2A33E-F768-45D8-AE12-59781EC5011B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0A17B888-2917-4633-ACB1-AE768974FC58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004B07D0-3C29-4B9C-9806-8C68C5247CC8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398F17A3-3DC3-4292-B8E0-615CEB233220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A97F89F3-A3B9-4E69-81C7-23C15887572D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BEFB09CC-B7A7-4F8C-A7DD-8AADC64B29FD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AC2DF7AC-6464-4BCC-AB8B-33085CB9FE6A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AD5D5639-203B-4872-8D07-D6C8E7CD50BC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E0AA071D-22DF-45F7-AEC0-438F6B85BA7A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C10D07D0-104C-4176-A333-88765D063C42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C2C02517-EF6F-45F4-A143-33475B1A7979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50CD9E12-53DB-45A0-AFCA-D54FF0DC5CE9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E4D772E8-63A2-4746-8194-6330682FB022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C552CEF7-6241-4303-96CE-817A04FD9FF1}">
            <xm:f>'OHLR DUAT'!$F$18&gt;2</xm:f>
            <x14:dxf/>
          </x14:cfRule>
          <x14:cfRule type="expression" priority="21" stopIfTrue="1" id="{2E2A6524-E5DE-4F14-B0E9-1C941BCE57C4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ECBDE418-6B7D-4770-9E5F-9873D6B1EA60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B94905ED-8C2B-4696-AE7C-B78372AA06DE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D6B6398C-F76A-4777-8171-4C054F95FFBF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57F3C372-B6BB-40C9-B254-BD99E14CEFD0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E7D2344E-B22C-4B8B-9249-1DDCB9E1FD1D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B3605932-6DC1-4867-B1E6-2CBF0A7AEAFE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B80069A7-72A5-4B8F-AF36-02224896B60B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0BF80EA9-6328-47CC-8AD3-7D91E72616FE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3DE2DF81-910C-4552-B38C-759103CE4DB3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364CB1EF-AF15-4A88-B4A2-81ECF9D1681F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21FE19A7-70A8-407E-802B-D63CFB493C2D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80A45F64-793E-4A64-AE2F-78EDC3417243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12D2E036-D2B6-48EC-B50B-44545434DDCD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3FC2F389-1EFA-490E-9071-56DA3C420FBD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DB564C65-7693-48B1-930D-B546EA78D403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0" id="{5ACBB20A-72EB-4414-BAD5-29521F7FAA62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D906664F-09AD-4C86-AF33-F5D3BE91D4BC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F9EC98CF-7D3F-4C08-BF6D-907358016F76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" id="{8F65C80F-867B-43B5-BE36-E48581EAA48D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FA54D05F-A338-43C7-A90A-29695921098E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4944B1AB-71A9-4014-9FB3-9C600AC6AE05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" id="{089E32E5-5FC5-4C96-B8E4-94AFC93C4F8F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B4E4524C-D714-4246-9078-6033934FEFE6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EC245C6F-E49E-4E8D-8B5C-6AFC3D570AD7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2" stopIfTrue="1" id="{E76FCA84-2692-452E-B338-D7EBA36E5B27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E7C87874-EF58-4DFB-A9AC-ABC417AD914A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EA2EBF79-7B58-414A-A549-4F232375FA99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9AEE3CA9-B951-44ED-BC2F-EC1CC36A2D4B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5312A91B-333A-4BD8-96A4-B4C4F9BCD26B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5C76E295-EBB8-4B55-A3A1-0BA22F088FA0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6839DA2C-B71E-44C8-8868-427511A328EB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05F1ED2E-19CE-452F-A27C-4220A1210F2C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A607C6F2-6ECD-4224-8546-8334729E5A8F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DBCCFDD4-37AD-4455-BF10-233B65DEE092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63153E3F-1405-4633-883B-8D714D3499C0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5983AA09-A0DA-4D5B-BB99-4B380E91F4E7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43E53323-0FC6-4450-9002-9E566EB7FAC3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0F5B0F09-7DA6-4CC2-8ACE-709C0B6C33D0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8F1AE763-3C78-41F5-AD29-1355394D0373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94BD45ED-B1D9-46AA-A83D-58D203078DBC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B4774050-1559-4587-80DD-7D9B6939F84D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D3CD65B5-7F4F-46A9-832C-C9C4B6F2EF7F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777D92B1-D0D0-4C53-9D04-EA39CF0A677A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631FD825-8BE1-4B8E-A894-2B85EF04679A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5AEDD853-327F-4063-B46A-22F156A629E1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99C5314B-EEB5-4299-B188-B9A310F3576C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77CE5D8F-B716-4202-AC62-A4193841CCE5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DE89D21E-7228-462A-ABBA-3D3CE394691F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19414432-B105-4167-9075-FF6DB3A18B5D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1320C250-A1E0-4691-A4CC-8B56886C45D0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6C4B1625-8564-4BE7-A593-3BCBC8777618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A7541C83-45A1-40E7-A36C-334B46C2D68A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BCD32199-7C8A-4EFB-8B9B-961318EEE4F3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3378755E-CB35-4AD0-AD33-364B558AA57B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597D4D89-8186-4A39-BD05-ACC4D652C437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4FA47B19-22DD-4EE5-B15B-F95242C29EEA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5C1EFFFC-106F-4C80-B2E5-D1DF148C889A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145B52F7-11A8-4B7E-A854-0CB64A013EB0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35" id="{5290D472-211E-474B-B60B-24D42819A79B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3" id="{80417D9C-415D-4091-98E1-3B8B0F813EFA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6" id="{8216CBB1-72EF-4C85-B257-50071B82BE93}">
            <xm:f>VLOOKUP(#REF!,'OHLR DUAT'!$B$4:$E$15,4,FALSE)</xm:f>
            <x14:dxf/>
          </x14:cfRule>
          <xm:sqref>E8:AI9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C8A8-954B-48D2-9EAD-D81DBD1DEA6E}">
  <dimension ref="A1:AO83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V27" sqref="V27"/>
    </sheetView>
  </sheetViews>
  <sheetFormatPr defaultRowHeight="17"/>
  <cols>
    <col min="1" max="1" width="11.453125" bestFit="1" customWidth="1"/>
    <col min="2" max="2" width="23.26953125" style="49" bestFit="1" customWidth="1"/>
    <col min="3" max="4" width="10.6328125" customWidth="1"/>
    <col min="5" max="5" width="8.90625" bestFit="1" customWidth="1"/>
    <col min="6" max="27" width="6.6328125" customWidth="1"/>
    <col min="28" max="28" width="10.08984375" bestFit="1" customWidth="1"/>
    <col min="29" max="34" width="6.6328125" customWidth="1"/>
  </cols>
  <sheetData>
    <row r="1" spans="1:41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41" ht="20.5" thickBot="1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</row>
    <row r="3" spans="1:41" ht="18" customHeight="1" thickBot="1">
      <c r="A3" s="19"/>
      <c r="B3" s="43"/>
      <c r="C3" s="19"/>
      <c r="D3" s="19"/>
      <c r="E3" s="1384" t="s">
        <v>263</v>
      </c>
      <c r="F3" s="1301"/>
      <c r="G3" s="1301"/>
      <c r="H3" s="1301"/>
      <c r="I3" s="1301"/>
      <c r="J3" s="1301"/>
      <c r="K3" s="1301"/>
      <c r="L3" s="1301"/>
      <c r="M3" s="1301"/>
      <c r="N3" s="1301"/>
      <c r="O3" s="1301"/>
      <c r="P3" s="1301"/>
      <c r="Q3" s="1301"/>
      <c r="R3" s="1301"/>
      <c r="S3" s="1301"/>
      <c r="T3" s="1301"/>
      <c r="U3" s="1301"/>
      <c r="V3" s="1301"/>
      <c r="W3" s="1301"/>
      <c r="X3" s="1301"/>
      <c r="Y3" s="1301"/>
      <c r="Z3" s="1301"/>
      <c r="AA3" s="1301"/>
      <c r="AB3" s="1301"/>
      <c r="AC3" s="1301"/>
      <c r="AD3" s="1301"/>
      <c r="AE3" s="1301"/>
      <c r="AF3" s="1301"/>
      <c r="AG3" s="1301"/>
      <c r="AH3" s="1302"/>
    </row>
    <row r="4" spans="1:41" s="31" customFormat="1" ht="18" customHeight="1" thickBot="1">
      <c r="A4" s="19"/>
      <c r="B4" s="43"/>
      <c r="C4" s="19"/>
      <c r="D4" s="19"/>
      <c r="E4" s="1385" t="s">
        <v>264</v>
      </c>
      <c r="F4" s="1386"/>
      <c r="G4" s="1386"/>
      <c r="H4" s="1386"/>
      <c r="I4" s="1386"/>
      <c r="J4" s="1386"/>
      <c r="K4" s="1387"/>
      <c r="L4" s="1385" t="s">
        <v>265</v>
      </c>
      <c r="M4" s="1386"/>
      <c r="N4" s="1386"/>
      <c r="O4" s="1386"/>
      <c r="P4" s="1386"/>
      <c r="Q4" s="1386"/>
      <c r="R4" s="1388"/>
      <c r="S4" s="1389" t="s">
        <v>266</v>
      </c>
      <c r="T4" s="1386"/>
      <c r="U4" s="1386"/>
      <c r="V4" s="1386"/>
      <c r="W4" s="1386"/>
      <c r="X4" s="1386"/>
      <c r="Y4" s="1387"/>
      <c r="Z4" s="1385" t="s">
        <v>267</v>
      </c>
      <c r="AA4" s="1386"/>
      <c r="AB4" s="1386"/>
      <c r="AC4" s="1386"/>
      <c r="AD4" s="1386"/>
      <c r="AE4" s="1386"/>
      <c r="AF4" s="1388"/>
      <c r="AG4" s="1389" t="s">
        <v>268</v>
      </c>
      <c r="AH4" s="1388"/>
    </row>
    <row r="5" spans="1:41" s="31" customFormat="1" ht="18" customHeight="1">
      <c r="A5" s="14"/>
      <c r="B5" s="42"/>
      <c r="C5" s="15"/>
      <c r="D5" s="15"/>
      <c r="E5" s="178">
        <v>1</v>
      </c>
      <c r="F5" s="179">
        <v>2</v>
      </c>
      <c r="G5" s="179">
        <v>3</v>
      </c>
      <c r="H5" s="179">
        <v>4</v>
      </c>
      <c r="I5" s="179">
        <v>5</v>
      </c>
      <c r="J5" s="179">
        <v>6</v>
      </c>
      <c r="K5" s="180">
        <v>7</v>
      </c>
      <c r="L5" s="178">
        <v>8</v>
      </c>
      <c r="M5" s="1097">
        <v>9</v>
      </c>
      <c r="N5" s="179">
        <v>10</v>
      </c>
      <c r="O5" s="179">
        <v>11</v>
      </c>
      <c r="P5" s="179">
        <v>12</v>
      </c>
      <c r="Q5" s="179">
        <v>13</v>
      </c>
      <c r="R5" s="181">
        <v>14</v>
      </c>
      <c r="S5" s="182">
        <v>15</v>
      </c>
      <c r="T5" s="179">
        <v>16</v>
      </c>
      <c r="U5" s="179">
        <v>17</v>
      </c>
      <c r="V5" s="1097">
        <v>18</v>
      </c>
      <c r="W5" s="207">
        <v>19</v>
      </c>
      <c r="X5" s="179">
        <v>20</v>
      </c>
      <c r="Y5" s="180">
        <v>21</v>
      </c>
      <c r="Z5" s="178">
        <v>22</v>
      </c>
      <c r="AA5" s="179">
        <v>23</v>
      </c>
      <c r="AB5" s="179">
        <v>24</v>
      </c>
      <c r="AC5" s="179">
        <v>25</v>
      </c>
      <c r="AD5" s="179">
        <v>26</v>
      </c>
      <c r="AE5" s="179">
        <v>27</v>
      </c>
      <c r="AF5" s="181">
        <v>28</v>
      </c>
      <c r="AG5" s="182">
        <v>29</v>
      </c>
      <c r="AH5" s="181">
        <v>30</v>
      </c>
    </row>
    <row r="6" spans="1:41" s="31" customFormat="1" ht="18" customHeight="1">
      <c r="A6" s="19"/>
      <c r="B6" s="43"/>
      <c r="C6" s="19"/>
      <c r="D6" s="19"/>
      <c r="E6" s="37" t="s">
        <v>71</v>
      </c>
      <c r="F6" s="35" t="s">
        <v>72</v>
      </c>
      <c r="G6" s="35" t="s">
        <v>73</v>
      </c>
      <c r="H6" s="35" t="s">
        <v>67</v>
      </c>
      <c r="I6" s="35" t="s">
        <v>68</v>
      </c>
      <c r="J6" s="35" t="s">
        <v>69</v>
      </c>
      <c r="K6" s="57" t="s">
        <v>70</v>
      </c>
      <c r="L6" s="37" t="s">
        <v>71</v>
      </c>
      <c r="M6" s="35" t="s">
        <v>72</v>
      </c>
      <c r="N6" s="35" t="s">
        <v>73</v>
      </c>
      <c r="O6" s="35" t="s">
        <v>67</v>
      </c>
      <c r="P6" s="35" t="s">
        <v>68</v>
      </c>
      <c r="Q6" s="35" t="s">
        <v>69</v>
      </c>
      <c r="R6" s="36" t="s">
        <v>70</v>
      </c>
      <c r="S6" s="41" t="s">
        <v>71</v>
      </c>
      <c r="T6" s="35" t="s">
        <v>72</v>
      </c>
      <c r="U6" s="35" t="s">
        <v>73</v>
      </c>
      <c r="V6" s="35" t="s">
        <v>67</v>
      </c>
      <c r="W6" s="208" t="s">
        <v>68</v>
      </c>
      <c r="X6" s="35" t="s">
        <v>69</v>
      </c>
      <c r="Y6" s="57" t="s">
        <v>70</v>
      </c>
      <c r="Z6" s="37" t="s">
        <v>71</v>
      </c>
      <c r="AA6" s="35" t="s">
        <v>72</v>
      </c>
      <c r="AB6" s="35" t="s">
        <v>73</v>
      </c>
      <c r="AC6" s="35" t="s">
        <v>67</v>
      </c>
      <c r="AD6" s="35" t="s">
        <v>68</v>
      </c>
      <c r="AE6" s="35" t="s">
        <v>69</v>
      </c>
      <c r="AF6" s="36" t="s">
        <v>70</v>
      </c>
      <c r="AG6" s="41" t="s">
        <v>71</v>
      </c>
      <c r="AH6" s="38" t="s">
        <v>72</v>
      </c>
    </row>
    <row r="7" spans="1:41" ht="18" customHeight="1" thickBot="1">
      <c r="A7" s="875" t="s">
        <v>74</v>
      </c>
      <c r="B7" s="225" t="s">
        <v>75</v>
      </c>
      <c r="C7" s="25" t="s">
        <v>76</v>
      </c>
      <c r="D7" s="26" t="s">
        <v>77</v>
      </c>
      <c r="E7" s="170"/>
      <c r="F7" s="167"/>
      <c r="G7" s="167"/>
      <c r="H7" s="167"/>
      <c r="I7" s="167"/>
      <c r="J7" s="167"/>
      <c r="K7" s="168"/>
      <c r="L7" s="170"/>
      <c r="M7" s="167"/>
      <c r="N7" s="167"/>
      <c r="O7" s="167"/>
      <c r="P7" s="167"/>
      <c r="Q7" s="167"/>
      <c r="R7" s="171"/>
      <c r="S7" s="169"/>
      <c r="T7" s="167"/>
      <c r="U7" s="167"/>
      <c r="V7" s="167"/>
      <c r="W7" s="167"/>
      <c r="X7" s="167"/>
      <c r="Y7" s="168"/>
      <c r="Z7" s="170"/>
      <c r="AA7" s="167"/>
      <c r="AB7" s="167"/>
      <c r="AC7" s="167"/>
      <c r="AD7" s="167"/>
      <c r="AE7" s="167"/>
      <c r="AF7" s="171"/>
      <c r="AG7" s="169"/>
      <c r="AH7" s="171"/>
    </row>
    <row r="8" spans="1:41" ht="18" customHeight="1">
      <c r="A8" s="1379" t="s">
        <v>78</v>
      </c>
      <c r="B8" s="44" t="s">
        <v>79</v>
      </c>
      <c r="C8" s="17" t="s">
        <v>80</v>
      </c>
      <c r="D8" s="21">
        <v>300179</v>
      </c>
      <c r="E8" s="28"/>
      <c r="F8" s="29"/>
      <c r="G8" s="29"/>
      <c r="H8" s="29"/>
      <c r="I8" s="29" t="s">
        <v>38</v>
      </c>
      <c r="J8" s="29"/>
      <c r="K8" s="65"/>
      <c r="L8" s="28"/>
      <c r="M8" s="29"/>
      <c r="N8" s="29"/>
      <c r="O8" s="29" t="s">
        <v>83</v>
      </c>
      <c r="P8" s="183" t="s">
        <v>84</v>
      </c>
      <c r="Q8" s="29"/>
      <c r="R8" s="30"/>
      <c r="S8" s="75"/>
      <c r="T8" s="29"/>
      <c r="U8" s="29"/>
      <c r="V8" s="29"/>
      <c r="W8" s="29"/>
      <c r="X8" s="29"/>
      <c r="Y8" s="65"/>
      <c r="Z8" s="28"/>
      <c r="AA8" s="29"/>
      <c r="AB8" s="183" t="s">
        <v>244</v>
      </c>
      <c r="AC8" s="29"/>
      <c r="AD8" s="183" t="s">
        <v>83</v>
      </c>
      <c r="AE8" s="29"/>
      <c r="AF8" s="30"/>
      <c r="AG8" s="75"/>
      <c r="AH8" s="185" t="s">
        <v>81</v>
      </c>
    </row>
    <row r="9" spans="1:41" ht="18" customHeight="1">
      <c r="A9" s="1380"/>
      <c r="B9" s="115" t="s">
        <v>82</v>
      </c>
      <c r="C9" s="20" t="s">
        <v>80</v>
      </c>
      <c r="D9" s="156">
        <v>668695</v>
      </c>
      <c r="E9" s="247"/>
      <c r="F9" s="244"/>
      <c r="G9" s="244"/>
      <c r="H9" s="244"/>
      <c r="I9" s="244"/>
      <c r="J9" s="244"/>
      <c r="K9" s="250"/>
      <c r="L9" s="247"/>
      <c r="M9" s="244"/>
      <c r="N9" s="244"/>
      <c r="O9" s="244"/>
      <c r="P9" s="241" t="s">
        <v>81</v>
      </c>
      <c r="Q9" s="244"/>
      <c r="R9" s="248"/>
      <c r="S9" s="249"/>
      <c r="T9" s="244"/>
      <c r="U9" s="244"/>
      <c r="V9" s="244" t="s">
        <v>87</v>
      </c>
      <c r="W9" s="244"/>
      <c r="X9" s="244"/>
      <c r="Y9" s="250"/>
      <c r="Z9" s="247"/>
      <c r="AA9" s="244"/>
      <c r="AB9" s="244"/>
      <c r="AC9" s="244"/>
      <c r="AD9" s="244"/>
      <c r="AE9" s="244"/>
      <c r="AF9" s="248"/>
      <c r="AG9" s="249"/>
      <c r="AH9" s="1099" t="s">
        <v>180</v>
      </c>
    </row>
    <row r="10" spans="1:41" ht="18" customHeight="1">
      <c r="A10" s="1375" t="s">
        <v>85</v>
      </c>
      <c r="B10" s="44" t="s">
        <v>86</v>
      </c>
      <c r="C10" s="17" t="s">
        <v>13</v>
      </c>
      <c r="D10" s="21">
        <v>231061</v>
      </c>
      <c r="E10" s="592" t="s">
        <v>88</v>
      </c>
      <c r="F10" s="255" t="s">
        <v>88</v>
      </c>
      <c r="G10" s="255" t="s">
        <v>88</v>
      </c>
      <c r="H10" s="255" t="s">
        <v>88</v>
      </c>
      <c r="I10" s="255" t="s">
        <v>84</v>
      </c>
      <c r="J10" s="255" t="s">
        <v>84</v>
      </c>
      <c r="K10" s="258" t="s">
        <v>38</v>
      </c>
      <c r="L10" s="253" t="s">
        <v>38</v>
      </c>
      <c r="M10" s="254" t="s">
        <v>38</v>
      </c>
      <c r="N10" s="254" t="s">
        <v>38</v>
      </c>
      <c r="O10" s="254" t="s">
        <v>38</v>
      </c>
      <c r="P10" s="254" t="s">
        <v>38</v>
      </c>
      <c r="Q10" s="255" t="s">
        <v>84</v>
      </c>
      <c r="R10" s="256" t="s">
        <v>38</v>
      </c>
      <c r="S10" s="257" t="s">
        <v>38</v>
      </c>
      <c r="T10" s="254" t="s">
        <v>38</v>
      </c>
      <c r="U10" s="254" t="s">
        <v>38</v>
      </c>
      <c r="V10" s="254" t="s">
        <v>38</v>
      </c>
      <c r="W10" s="254" t="s">
        <v>38</v>
      </c>
      <c r="X10" s="255" t="s">
        <v>84</v>
      </c>
      <c r="Y10" s="260" t="s">
        <v>84</v>
      </c>
      <c r="Z10" s="253" t="s">
        <v>87</v>
      </c>
      <c r="AA10" s="254" t="s">
        <v>87</v>
      </c>
      <c r="AB10" s="254" t="s">
        <v>87</v>
      </c>
      <c r="AC10" s="254" t="s">
        <v>87</v>
      </c>
      <c r="AD10" s="254" t="s">
        <v>87</v>
      </c>
      <c r="AE10" s="255" t="s">
        <v>84</v>
      </c>
      <c r="AF10" s="259" t="s">
        <v>84</v>
      </c>
      <c r="AG10" s="735" t="s">
        <v>81</v>
      </c>
      <c r="AH10" s="259" t="s">
        <v>81</v>
      </c>
    </row>
    <row r="11" spans="1:41" ht="18" customHeight="1">
      <c r="A11" s="1376"/>
      <c r="B11" s="872" t="s">
        <v>24</v>
      </c>
      <c r="C11" s="20" t="s">
        <v>13</v>
      </c>
      <c r="D11" s="261" t="s">
        <v>89</v>
      </c>
      <c r="E11" s="262" t="s">
        <v>87</v>
      </c>
      <c r="F11" s="267" t="s">
        <v>87</v>
      </c>
      <c r="G11" s="267" t="s">
        <v>87</v>
      </c>
      <c r="H11" s="267" t="s">
        <v>87</v>
      </c>
      <c r="I11" s="263" t="s">
        <v>87</v>
      </c>
      <c r="J11" s="264" t="s">
        <v>84</v>
      </c>
      <c r="K11" s="268" t="s">
        <v>84</v>
      </c>
      <c r="L11" s="262" t="s">
        <v>87</v>
      </c>
      <c r="M11" s="267" t="s">
        <v>269</v>
      </c>
      <c r="N11" s="795" t="s">
        <v>88</v>
      </c>
      <c r="O11" s="267" t="s">
        <v>87</v>
      </c>
      <c r="P11" s="263" t="s">
        <v>87</v>
      </c>
      <c r="Q11" s="795" t="s">
        <v>84</v>
      </c>
      <c r="R11" s="265" t="s">
        <v>84</v>
      </c>
      <c r="S11" s="266" t="s">
        <v>87</v>
      </c>
      <c r="T11" s="267" t="s">
        <v>180</v>
      </c>
      <c r="U11" s="267" t="s">
        <v>87</v>
      </c>
      <c r="V11" s="267" t="s">
        <v>87</v>
      </c>
      <c r="W11" s="264" t="s">
        <v>81</v>
      </c>
      <c r="X11" s="264" t="s">
        <v>84</v>
      </c>
      <c r="Y11" s="268" t="s">
        <v>84</v>
      </c>
      <c r="Z11" s="262" t="s">
        <v>87</v>
      </c>
      <c r="AA11" s="267" t="s">
        <v>87</v>
      </c>
      <c r="AB11" s="267" t="s">
        <v>87</v>
      </c>
      <c r="AC11" s="267" t="s">
        <v>87</v>
      </c>
      <c r="AD11" s="263" t="s">
        <v>87</v>
      </c>
      <c r="AE11" s="264" t="s">
        <v>270</v>
      </c>
      <c r="AF11" s="265" t="s">
        <v>84</v>
      </c>
      <c r="AG11" s="266" t="s">
        <v>87</v>
      </c>
      <c r="AH11" s="412" t="s">
        <v>87</v>
      </c>
    </row>
    <row r="12" spans="1:41" ht="18" customHeight="1">
      <c r="A12" s="1375" t="s">
        <v>92</v>
      </c>
      <c r="B12" s="1361" t="s">
        <v>93</v>
      </c>
      <c r="C12" s="1361"/>
      <c r="D12" s="1361"/>
      <c r="E12" s="756" t="s">
        <v>95</v>
      </c>
      <c r="F12" s="759" t="s">
        <v>95</v>
      </c>
      <c r="G12" s="759" t="s">
        <v>95</v>
      </c>
      <c r="H12" s="759" t="s">
        <v>95</v>
      </c>
      <c r="I12" s="759" t="s">
        <v>95</v>
      </c>
      <c r="J12" s="759" t="s">
        <v>95</v>
      </c>
      <c r="K12" s="760" t="s">
        <v>84</v>
      </c>
      <c r="L12" s="756" t="s">
        <v>95</v>
      </c>
      <c r="M12" s="759" t="s">
        <v>95</v>
      </c>
      <c r="N12" s="759" t="s">
        <v>95</v>
      </c>
      <c r="O12" s="759" t="s">
        <v>95</v>
      </c>
      <c r="P12" s="759" t="s">
        <v>95</v>
      </c>
      <c r="Q12" s="757" t="s">
        <v>84</v>
      </c>
      <c r="R12" s="758" t="s">
        <v>84</v>
      </c>
      <c r="S12" s="817" t="s">
        <v>94</v>
      </c>
      <c r="T12" s="759" t="s">
        <v>94</v>
      </c>
      <c r="U12" s="759" t="s">
        <v>94</v>
      </c>
      <c r="V12" s="759" t="s">
        <v>94</v>
      </c>
      <c r="W12" s="759" t="s">
        <v>94</v>
      </c>
      <c r="X12" s="757" t="s">
        <v>84</v>
      </c>
      <c r="Y12" s="761" t="s">
        <v>94</v>
      </c>
      <c r="Z12" s="756" t="s">
        <v>94</v>
      </c>
      <c r="AA12" s="759" t="s">
        <v>94</v>
      </c>
      <c r="AB12" s="759" t="s">
        <v>94</v>
      </c>
      <c r="AC12" s="759" t="s">
        <v>94</v>
      </c>
      <c r="AD12" s="759" t="s">
        <v>94</v>
      </c>
      <c r="AE12" s="757" t="s">
        <v>84</v>
      </c>
      <c r="AF12" s="758" t="s">
        <v>84</v>
      </c>
      <c r="AG12" s="817" t="s">
        <v>95</v>
      </c>
      <c r="AH12" s="791" t="s">
        <v>95</v>
      </c>
      <c r="AI12" s="137" t="s">
        <v>95</v>
      </c>
      <c r="AJ12" s="137" t="s">
        <v>38</v>
      </c>
      <c r="AK12" s="138" t="s">
        <v>84</v>
      </c>
      <c r="AL12" s="137" t="s">
        <v>81</v>
      </c>
      <c r="AM12" s="137" t="s">
        <v>88</v>
      </c>
      <c r="AN12" s="137" t="s">
        <v>96</v>
      </c>
      <c r="AO12" s="139" t="s">
        <v>97</v>
      </c>
    </row>
    <row r="13" spans="1:41" ht="18" customHeight="1">
      <c r="A13" s="1376"/>
      <c r="B13" s="847" t="s">
        <v>22</v>
      </c>
      <c r="C13" s="356" t="s">
        <v>16</v>
      </c>
      <c r="D13" s="23">
        <v>517968</v>
      </c>
      <c r="E13" s="645"/>
      <c r="F13" s="646"/>
      <c r="G13" s="646"/>
      <c r="H13" s="646"/>
      <c r="I13" s="646"/>
      <c r="J13" s="646"/>
      <c r="K13" s="762"/>
      <c r="L13" s="645"/>
      <c r="M13" s="646"/>
      <c r="N13" s="646"/>
      <c r="O13" s="646"/>
      <c r="P13" s="646" t="s">
        <v>94</v>
      </c>
      <c r="Q13" s="646"/>
      <c r="R13" s="647"/>
      <c r="S13" s="648"/>
      <c r="T13" s="646"/>
      <c r="U13" s="646"/>
      <c r="V13" s="646"/>
      <c r="W13" s="646"/>
      <c r="X13" s="646"/>
      <c r="Y13" s="762"/>
      <c r="Z13" s="645"/>
      <c r="AA13" s="646"/>
      <c r="AB13" s="646"/>
      <c r="AC13" s="646"/>
      <c r="AD13" s="646"/>
      <c r="AE13" s="646" t="s">
        <v>38</v>
      </c>
      <c r="AF13" s="647"/>
      <c r="AG13" s="828" t="s">
        <v>88</v>
      </c>
      <c r="AH13" s="647" t="s">
        <v>208</v>
      </c>
      <c r="AI13" s="89" cm="1">
        <f t="array" ref="AI13">SUMPRODUCT(($E$12:$AH$12="HR")*($E$13:$AH$13=""))+SUMPRODUCT(($E$13:$AH$13="HR")*1)</f>
        <v>10</v>
      </c>
      <c r="AJ13" s="89" cm="1">
        <f t="array" ref="AJ13">SUMPRODUCT(($E$12:$AH$12="N0")*($E$13:$AH$13=""))+SUMPRODUCT(($E$13:$AH$13="N")*1)</f>
        <v>12</v>
      </c>
      <c r="AK13" s="89" cm="1">
        <f t="array" ref="AK13">SUMPRODUCT(($E$12:$AH$12="RD")*($E$13:$AH$13=""))+SUMPRODUCT(($E$13:$AH$13="RD")*1)</f>
        <v>5</v>
      </c>
      <c r="AL13" s="89" cm="1">
        <f t="array" ref="AL13">SUMPRODUCT(($E$13:$AH$13="AL")*1)</f>
        <v>0</v>
      </c>
      <c r="AM13" s="89" cm="1">
        <f t="array" ref="AM13">SUMPRODUCT(($E$13:$AH$13="SH")*1)</f>
        <v>1</v>
      </c>
      <c r="AN13" s="89" cm="1">
        <f t="array" ref="AN13">SUMPRODUCT(($E$13:$AH$13="SL")*1)</f>
        <v>0</v>
      </c>
      <c r="AO13" s="140" t="e">
        <f>#REF!-AI13-AJ13-AK13-AL13-AM13-AN13</f>
        <v>#REF!</v>
      </c>
    </row>
    <row r="14" spans="1:41" ht="18" customHeight="1">
      <c r="A14" s="1374" t="s">
        <v>98</v>
      </c>
      <c r="B14" s="1390" t="s">
        <v>93</v>
      </c>
      <c r="C14" s="1390"/>
      <c r="D14" s="1390"/>
      <c r="E14" s="855" t="s">
        <v>94</v>
      </c>
      <c r="F14" s="856" t="s">
        <v>94</v>
      </c>
      <c r="G14" s="856" t="s">
        <v>94</v>
      </c>
      <c r="H14" s="856" t="s">
        <v>94</v>
      </c>
      <c r="I14" s="856" t="s">
        <v>94</v>
      </c>
      <c r="J14" s="861" t="s">
        <v>84</v>
      </c>
      <c r="K14" s="857" t="s">
        <v>94</v>
      </c>
      <c r="L14" s="855" t="s">
        <v>94</v>
      </c>
      <c r="M14" s="856" t="s">
        <v>94</v>
      </c>
      <c r="N14" s="856" t="s">
        <v>94</v>
      </c>
      <c r="O14" s="856" t="s">
        <v>94</v>
      </c>
      <c r="P14" s="856" t="s">
        <v>94</v>
      </c>
      <c r="Q14" s="861" t="s">
        <v>84</v>
      </c>
      <c r="R14" s="862" t="s">
        <v>84</v>
      </c>
      <c r="S14" s="859" t="s">
        <v>95</v>
      </c>
      <c r="T14" s="856" t="s">
        <v>95</v>
      </c>
      <c r="U14" s="856" t="s">
        <v>95</v>
      </c>
      <c r="V14" s="856" t="s">
        <v>95</v>
      </c>
      <c r="W14" s="856" t="s">
        <v>95</v>
      </c>
      <c r="X14" s="856" t="s">
        <v>95</v>
      </c>
      <c r="Y14" s="863" t="s">
        <v>84</v>
      </c>
      <c r="Z14" s="855" t="s">
        <v>95</v>
      </c>
      <c r="AA14" s="856" t="s">
        <v>95</v>
      </c>
      <c r="AB14" s="856" t="s">
        <v>95</v>
      </c>
      <c r="AC14" s="856" t="s">
        <v>95</v>
      </c>
      <c r="AD14" s="856" t="s">
        <v>95</v>
      </c>
      <c r="AE14" s="861" t="s">
        <v>84</v>
      </c>
      <c r="AF14" s="862" t="s">
        <v>84</v>
      </c>
      <c r="AG14" s="859" t="s">
        <v>94</v>
      </c>
      <c r="AH14" s="858" t="s">
        <v>94</v>
      </c>
      <c r="AI14" s="137" t="s">
        <v>95</v>
      </c>
      <c r="AJ14" s="137" t="s">
        <v>38</v>
      </c>
      <c r="AK14" s="138" t="s">
        <v>84</v>
      </c>
      <c r="AL14" s="137" t="s">
        <v>81</v>
      </c>
      <c r="AM14" s="137" t="s">
        <v>88</v>
      </c>
      <c r="AN14" s="137" t="s">
        <v>96</v>
      </c>
      <c r="AO14" s="139" t="s">
        <v>97</v>
      </c>
    </row>
    <row r="15" spans="1:41" ht="18" customHeight="1">
      <c r="A15" s="1376"/>
      <c r="B15" s="852" t="s">
        <v>46</v>
      </c>
      <c r="C15" s="853" t="s">
        <v>16</v>
      </c>
      <c r="D15" s="854">
        <v>673706</v>
      </c>
      <c r="E15" s="855"/>
      <c r="F15" s="856"/>
      <c r="G15" s="856"/>
      <c r="H15" s="856"/>
      <c r="I15" s="856"/>
      <c r="J15" s="856"/>
      <c r="K15" s="857"/>
      <c r="L15" s="855"/>
      <c r="M15" s="856"/>
      <c r="N15" s="856"/>
      <c r="O15" s="856"/>
      <c r="P15" s="856"/>
      <c r="Q15" s="856"/>
      <c r="R15" s="858"/>
      <c r="S15" s="859"/>
      <c r="T15" s="856"/>
      <c r="U15" s="856"/>
      <c r="V15" s="856"/>
      <c r="W15" s="856"/>
      <c r="X15" s="856"/>
      <c r="Y15" s="857"/>
      <c r="Z15" s="855"/>
      <c r="AA15" s="860"/>
      <c r="AB15" s="856"/>
      <c r="AC15" s="856"/>
      <c r="AD15" s="861" t="s">
        <v>88</v>
      </c>
      <c r="AE15" s="856"/>
      <c r="AF15" s="858"/>
      <c r="AG15" s="1100" t="s">
        <v>88</v>
      </c>
      <c r="AH15" s="858"/>
      <c r="AI15" s="89" cm="1">
        <f t="array" ref="AI15">SUMPRODUCT(($E$14:$AH$14="HR")*($E$15:$AH$15=""))+SUMPRODUCT(($E$15:$AH$15="HR")*1)</f>
        <v>10</v>
      </c>
      <c r="AJ15" s="89" cm="1">
        <f t="array" ref="AJ15">SUMPRODUCT(($E$14:$AH$14="N0")*($E$15:$AH$15=""))+SUMPRODUCT(($E$15:$AH$15="N")*1)</f>
        <v>12</v>
      </c>
      <c r="AK15" s="89" cm="1">
        <f t="array" ref="AK15">SUMPRODUCT(($E$14:$AH$14="RD")*($E$15:$AH$15=""))+SUMPRODUCT(($E$15:$AH$15="RD")*1)</f>
        <v>6</v>
      </c>
      <c r="AL15" s="89" cm="1">
        <f t="array" ref="AL15">SUMPRODUCT(($E$15:$AH$15="AL")*1)</f>
        <v>0</v>
      </c>
      <c r="AM15" s="89" cm="1">
        <f t="array" ref="AM15">SUMPRODUCT(($E$15:$AH$15="SH")*1)</f>
        <v>2</v>
      </c>
      <c r="AN15" s="89" cm="1">
        <f t="array" ref="AN15">SUMPRODUCT(($E$15:$AH$15="SL")*1)</f>
        <v>0</v>
      </c>
      <c r="AO15" s="140" t="e">
        <f>#REF!-AI15-AJ15-AK15-AL15-AM15-AN15</f>
        <v>#REF!</v>
      </c>
    </row>
    <row r="16" spans="1:41" ht="18" customHeight="1">
      <c r="A16" s="1374" t="s">
        <v>99</v>
      </c>
      <c r="B16" s="1390" t="s">
        <v>93</v>
      </c>
      <c r="C16" s="1390"/>
      <c r="D16" s="1390"/>
      <c r="E16" s="855" t="s">
        <v>95</v>
      </c>
      <c r="F16" s="856" t="s">
        <v>95</v>
      </c>
      <c r="G16" s="856" t="s">
        <v>95</v>
      </c>
      <c r="H16" s="856" t="s">
        <v>95</v>
      </c>
      <c r="I16" s="856" t="s">
        <v>95</v>
      </c>
      <c r="J16" s="856" t="s">
        <v>95</v>
      </c>
      <c r="K16" s="864" t="s">
        <v>84</v>
      </c>
      <c r="L16" s="855" t="s">
        <v>95</v>
      </c>
      <c r="M16" s="856" t="s">
        <v>95</v>
      </c>
      <c r="N16" s="856" t="s">
        <v>95</v>
      </c>
      <c r="O16" s="856" t="s">
        <v>95</v>
      </c>
      <c r="P16" s="856" t="s">
        <v>95</v>
      </c>
      <c r="Q16" s="861" t="s">
        <v>84</v>
      </c>
      <c r="R16" s="862" t="s">
        <v>84</v>
      </c>
      <c r="S16" s="859" t="s">
        <v>95</v>
      </c>
      <c r="T16" s="856" t="s">
        <v>95</v>
      </c>
      <c r="U16" s="856" t="s">
        <v>95</v>
      </c>
      <c r="V16" s="856" t="s">
        <v>95</v>
      </c>
      <c r="W16" s="856" t="s">
        <v>95</v>
      </c>
      <c r="X16" s="856" t="s">
        <v>95</v>
      </c>
      <c r="Y16" s="864" t="s">
        <v>84</v>
      </c>
      <c r="Z16" s="855" t="s">
        <v>95</v>
      </c>
      <c r="AA16" s="856" t="s">
        <v>95</v>
      </c>
      <c r="AB16" s="856" t="s">
        <v>95</v>
      </c>
      <c r="AC16" s="856" t="s">
        <v>95</v>
      </c>
      <c r="AD16" s="856" t="s">
        <v>95</v>
      </c>
      <c r="AE16" s="861" t="s">
        <v>84</v>
      </c>
      <c r="AF16" s="862" t="s">
        <v>84</v>
      </c>
      <c r="AG16" s="859" t="s">
        <v>95</v>
      </c>
      <c r="AH16" s="858" t="s">
        <v>95</v>
      </c>
      <c r="AI16" s="137" t="s">
        <v>95</v>
      </c>
      <c r="AJ16" s="137" t="s">
        <v>38</v>
      </c>
      <c r="AK16" s="138" t="s">
        <v>84</v>
      </c>
      <c r="AL16" s="137" t="s">
        <v>81</v>
      </c>
      <c r="AM16" s="137" t="s">
        <v>88</v>
      </c>
      <c r="AN16" s="137" t="s">
        <v>96</v>
      </c>
      <c r="AO16" s="139" t="s">
        <v>97</v>
      </c>
    </row>
    <row r="17" spans="1:41" ht="18" customHeight="1">
      <c r="A17" s="1376"/>
      <c r="B17" s="827" t="s">
        <v>100</v>
      </c>
      <c r="C17" s="356" t="s">
        <v>16</v>
      </c>
      <c r="D17" s="23">
        <v>469319</v>
      </c>
      <c r="E17" s="645"/>
      <c r="F17" s="646"/>
      <c r="G17" s="646"/>
      <c r="H17" s="1037" t="s">
        <v>96</v>
      </c>
      <c r="I17" s="646"/>
      <c r="J17" s="646"/>
      <c r="K17" s="762"/>
      <c r="L17" s="645"/>
      <c r="M17" s="646"/>
      <c r="N17" s="646"/>
      <c r="O17" s="646"/>
      <c r="P17" s="646"/>
      <c r="Q17" s="646" t="s">
        <v>95</v>
      </c>
      <c r="R17" s="647"/>
      <c r="S17" s="648"/>
      <c r="T17" s="646"/>
      <c r="U17" s="794" t="s">
        <v>88</v>
      </c>
      <c r="V17" s="646"/>
      <c r="W17" s="646"/>
      <c r="X17" s="794" t="s">
        <v>84</v>
      </c>
      <c r="Y17" s="762"/>
      <c r="Z17" s="645"/>
      <c r="AA17" s="646"/>
      <c r="AB17" s="646"/>
      <c r="AC17" s="646"/>
      <c r="AD17" s="646"/>
      <c r="AE17" s="646"/>
      <c r="AF17" s="647"/>
      <c r="AG17" s="648"/>
      <c r="AH17" s="1098" t="s">
        <v>180</v>
      </c>
      <c r="AI17" s="89" cm="1">
        <f t="array" ref="AI17">SUMPRODUCT(($E$16:$AH$16="HR")*($E$17:$AH$17=""))+SUMPRODUCT(($E$17:$AH$17="HR")*1)</f>
        <v>21</v>
      </c>
      <c r="AJ17" s="89" cm="1">
        <f t="array" ref="AJ17">SUMPRODUCT(($E$16:$AH$16="N0")*($E$17:$AH$17=""))+SUMPRODUCT(($E$17:$AH$17="N")*1)</f>
        <v>0</v>
      </c>
      <c r="AK17" s="89" cm="1">
        <f t="array" ref="AK17">SUMPRODUCT(($E$16:$AH$16="RD")*($E$17:$AH$17=""))+SUMPRODUCT(($E$17:$AH$17="RD")*1)</f>
        <v>6</v>
      </c>
      <c r="AL17" s="89" cm="1">
        <f t="array" ref="AL17">SUMPRODUCT(($E$17:$AH$17="AL")*1)</f>
        <v>0</v>
      </c>
      <c r="AM17" s="89" cm="1">
        <f t="array" ref="AM17">SUMPRODUCT(($E$17:$AH$17="SH")*1)</f>
        <v>1</v>
      </c>
      <c r="AN17" s="89" cm="1">
        <f t="array" ref="AN17">SUMPRODUCT(($E$17:$AH$17="SL")*1)</f>
        <v>1</v>
      </c>
      <c r="AO17" s="140" t="e">
        <f>#REF!-AI17-AJ17-AK17-AL17-AM17-AN17</f>
        <v>#REF!</v>
      </c>
    </row>
    <row r="18" spans="1:41" ht="18" customHeight="1">
      <c r="A18" s="1391" t="s">
        <v>101</v>
      </c>
      <c r="B18" s="1392" t="s">
        <v>93</v>
      </c>
      <c r="C18" s="1393"/>
      <c r="D18" s="1394"/>
      <c r="E18" s="865" t="s">
        <v>95</v>
      </c>
      <c r="F18" s="866" t="s">
        <v>95</v>
      </c>
      <c r="G18" s="866" t="s">
        <v>95</v>
      </c>
      <c r="H18" s="866" t="s">
        <v>95</v>
      </c>
      <c r="I18" s="866" t="s">
        <v>95</v>
      </c>
      <c r="J18" s="867" t="s">
        <v>84</v>
      </c>
      <c r="K18" s="863" t="s">
        <v>84</v>
      </c>
      <c r="L18" s="855" t="s">
        <v>94</v>
      </c>
      <c r="M18" s="856" t="s">
        <v>94</v>
      </c>
      <c r="N18" s="856" t="s">
        <v>94</v>
      </c>
      <c r="O18" s="856" t="s">
        <v>94</v>
      </c>
      <c r="P18" s="856" t="s">
        <v>94</v>
      </c>
      <c r="Q18" s="861" t="s">
        <v>84</v>
      </c>
      <c r="R18" s="868" t="s">
        <v>94</v>
      </c>
      <c r="S18" s="869" t="s">
        <v>94</v>
      </c>
      <c r="T18" s="860" t="s">
        <v>94</v>
      </c>
      <c r="U18" s="860" t="s">
        <v>94</v>
      </c>
      <c r="V18" s="860" t="s">
        <v>94</v>
      </c>
      <c r="W18" s="860" t="s">
        <v>94</v>
      </c>
      <c r="X18" s="861" t="s">
        <v>84</v>
      </c>
      <c r="Y18" s="857" t="s">
        <v>94</v>
      </c>
      <c r="Z18" s="855" t="s">
        <v>94</v>
      </c>
      <c r="AA18" s="856" t="s">
        <v>94</v>
      </c>
      <c r="AB18" s="856" t="s">
        <v>94</v>
      </c>
      <c r="AC18" s="856" t="s">
        <v>94</v>
      </c>
      <c r="AD18" s="856" t="s">
        <v>94</v>
      </c>
      <c r="AE18" s="861" t="s">
        <v>84</v>
      </c>
      <c r="AF18" s="862" t="s">
        <v>84</v>
      </c>
      <c r="AG18" s="870" t="s">
        <v>95</v>
      </c>
      <c r="AH18" s="871" t="s">
        <v>95</v>
      </c>
      <c r="AI18" s="137" t="s">
        <v>95</v>
      </c>
      <c r="AJ18" s="137" t="s">
        <v>38</v>
      </c>
      <c r="AK18" s="138" t="s">
        <v>84</v>
      </c>
      <c r="AL18" s="137" t="s">
        <v>81</v>
      </c>
      <c r="AM18" s="137" t="s">
        <v>88</v>
      </c>
      <c r="AN18" s="137" t="s">
        <v>96</v>
      </c>
      <c r="AO18" s="139" t="s">
        <v>97</v>
      </c>
    </row>
    <row r="19" spans="1:41" ht="18" customHeight="1">
      <c r="A19" s="1382"/>
      <c r="B19" s="876" t="s">
        <v>14</v>
      </c>
      <c r="C19" s="877" t="s">
        <v>16</v>
      </c>
      <c r="D19" s="878">
        <v>321508</v>
      </c>
      <c r="E19" s="879" t="s">
        <v>81</v>
      </c>
      <c r="F19" s="880" t="s">
        <v>81</v>
      </c>
      <c r="G19" s="880" t="s">
        <v>81</v>
      </c>
      <c r="H19" s="880" t="s">
        <v>81</v>
      </c>
      <c r="I19" s="880" t="s">
        <v>81</v>
      </c>
      <c r="J19" s="881"/>
      <c r="K19" s="882"/>
      <c r="L19" s="883"/>
      <c r="M19" s="881"/>
      <c r="N19" s="881"/>
      <c r="O19" s="881"/>
      <c r="P19" s="881"/>
      <c r="Q19" s="881"/>
      <c r="R19" s="1177" t="s">
        <v>88</v>
      </c>
      <c r="S19" s="885"/>
      <c r="T19" s="881"/>
      <c r="U19" s="881"/>
      <c r="V19" s="881"/>
      <c r="W19" s="881"/>
      <c r="X19" s="881"/>
      <c r="Y19" s="882"/>
      <c r="Z19" s="1191" t="s">
        <v>96</v>
      </c>
      <c r="AA19" s="1192" t="s">
        <v>96</v>
      </c>
      <c r="AB19" s="881"/>
      <c r="AC19" s="881"/>
      <c r="AD19" s="881"/>
      <c r="AE19" s="881"/>
      <c r="AF19" s="884"/>
      <c r="AG19" s="1105" t="s">
        <v>88</v>
      </c>
      <c r="AH19" s="884" t="s">
        <v>208</v>
      </c>
      <c r="AI19" s="89" cm="1">
        <f t="array" ref="AI19">SUMPRODUCT(($E$18:$AH$18="HR")*(E19:AH19=""))+SUMPRODUCT((E19:AH19="HR")*1)</f>
        <v>0</v>
      </c>
      <c r="AJ19" s="89" cm="1">
        <f t="array" ref="AJ19">SUMPRODUCT(($E$18:$AH$18="N0")*(E19:AH19=""))+SUMPRODUCT((E19:AH19="N")*1)</f>
        <v>14</v>
      </c>
      <c r="AK19" s="88" cm="1">
        <f t="array" ref="AK19">SUMPRODUCT(($E$18:$AH$18="RD")*(E19:AH19=""))+SUMPRODUCT((E19:AH19="RD")*1)</f>
        <v>6</v>
      </c>
      <c r="AL19" s="89" cm="1">
        <f t="array" ref="AL19">SUMPRODUCT((F19:AH19="AL")*1)</f>
        <v>4</v>
      </c>
      <c r="AM19" s="89" cm="1">
        <f t="array" ref="AM19">SUMPRODUCT((F19:AH19="SH")*1)</f>
        <v>2</v>
      </c>
      <c r="AN19" s="89" cm="1">
        <f t="array" ref="AN19">SUMPRODUCT((E19:AH19="SL")*1)</f>
        <v>2</v>
      </c>
      <c r="AO19" s="140" t="e">
        <f>#REF!-AI19-AJ19-AK19-AL19-AM19-AN19</f>
        <v>#REF!</v>
      </c>
    </row>
    <row r="20" spans="1:41" ht="18" customHeight="1">
      <c r="A20" s="1382"/>
      <c r="B20" s="121" t="s">
        <v>102</v>
      </c>
      <c r="C20" s="111" t="s">
        <v>16</v>
      </c>
      <c r="D20" s="112">
        <v>461865</v>
      </c>
      <c r="E20" s="778" t="s">
        <v>81</v>
      </c>
      <c r="F20" s="207" t="s">
        <v>81</v>
      </c>
      <c r="G20" s="207" t="s">
        <v>81</v>
      </c>
      <c r="H20" s="207" t="s">
        <v>81</v>
      </c>
      <c r="I20" s="207" t="s">
        <v>81</v>
      </c>
      <c r="J20" s="221"/>
      <c r="K20" s="234"/>
      <c r="L20" s="232"/>
      <c r="M20" s="221"/>
      <c r="N20" s="221"/>
      <c r="O20" s="221"/>
      <c r="P20" s="221"/>
      <c r="Q20" s="221"/>
      <c r="R20" s="222"/>
      <c r="S20" s="230"/>
      <c r="T20" s="221"/>
      <c r="U20" s="221"/>
      <c r="V20" s="221"/>
      <c r="W20" s="221"/>
      <c r="X20" s="221"/>
      <c r="Y20" s="234"/>
      <c r="Z20" s="232"/>
      <c r="AA20" s="221"/>
      <c r="AB20" s="221"/>
      <c r="AC20" s="221" t="s">
        <v>214</v>
      </c>
      <c r="AD20" s="221"/>
      <c r="AE20" s="221"/>
      <c r="AF20" s="222"/>
      <c r="AG20" s="230"/>
      <c r="AH20" s="222" t="s">
        <v>208</v>
      </c>
      <c r="AI20" s="89" cm="1">
        <f t="array" ref="AI20">SUMPRODUCT(($E$18:$AH$18="HR")*(E20:AH20=""))+SUMPRODUCT((E20:AH20="HR")*1)</f>
        <v>1</v>
      </c>
      <c r="AJ20" s="89" cm="1">
        <f t="array" ref="AJ20">SUMPRODUCT(($E$18:$AH$18="N0")*(E20:AH20=""))+SUMPRODUCT((E20:AH20="N")*1)</f>
        <v>16</v>
      </c>
      <c r="AK20" s="88" cm="1">
        <f t="array" ref="AK20">SUMPRODUCT(($E$18:$AH$18="RD")*(E20:AH20=""))+SUMPRODUCT((E20:AH20="RD")*1)</f>
        <v>6</v>
      </c>
      <c r="AL20" s="89" cm="1">
        <f t="array" ref="AL20">SUMPRODUCT((F20:AH20="AL")*1)</f>
        <v>4</v>
      </c>
      <c r="AM20" s="89" cm="1">
        <f t="array" ref="AM20">SUMPRODUCT((F20:AH20="SH")*1)</f>
        <v>0</v>
      </c>
      <c r="AN20" s="89" cm="1">
        <f t="array" ref="AN20">SUMPRODUCT((E20:AH20="SL")*1)</f>
        <v>0</v>
      </c>
      <c r="AO20" s="140" t="e">
        <f>#REF!-AI20-AJ20-AK20-AL20-AM20-AN20</f>
        <v>#REF!</v>
      </c>
    </row>
    <row r="21" spans="1:41" ht="18" customHeight="1">
      <c r="A21" s="1382"/>
      <c r="B21" s="101" t="s">
        <v>41</v>
      </c>
      <c r="C21" s="99" t="s">
        <v>27</v>
      </c>
      <c r="D21" s="103">
        <v>676095</v>
      </c>
      <c r="E21" s="28"/>
      <c r="F21" s="29"/>
      <c r="G21" s="29"/>
      <c r="H21" s="29"/>
      <c r="I21" s="29" t="s">
        <v>140</v>
      </c>
      <c r="J21" s="29" t="s">
        <v>95</v>
      </c>
      <c r="K21" s="65"/>
      <c r="L21" s="28"/>
      <c r="M21" s="29"/>
      <c r="N21" s="29"/>
      <c r="O21" s="29"/>
      <c r="P21" s="183"/>
      <c r="Q21" s="29"/>
      <c r="R21" s="185"/>
      <c r="S21" s="186"/>
      <c r="T21" s="183"/>
      <c r="U21" s="29"/>
      <c r="V21" s="29"/>
      <c r="W21" s="29"/>
      <c r="X21" s="29"/>
      <c r="Y21" s="65"/>
      <c r="Z21" s="28"/>
      <c r="AA21" s="183" t="s">
        <v>84</v>
      </c>
      <c r="AB21" s="29" t="s">
        <v>103</v>
      </c>
      <c r="AC21" s="29" t="s">
        <v>103</v>
      </c>
      <c r="AD21" s="29" t="s">
        <v>103</v>
      </c>
      <c r="AE21" s="29"/>
      <c r="AF21" s="30"/>
      <c r="AG21" s="75"/>
      <c r="AH21" s="30"/>
      <c r="AI21" s="89" cm="1">
        <f t="array" ref="AI21">SUMPRODUCT(($E$18:$AH$18="HR")*(E21:AH21=""))+SUMPRODUCT((E21:AH21="HR")*1)</f>
        <v>7</v>
      </c>
      <c r="AJ21" s="89" cm="1">
        <f t="array" ref="AJ21">SUMPRODUCT(($E$18:$AH$18="N0")*(E21:AH21=""))+SUMPRODUCT((E21:AH21="N")*1)</f>
        <v>13</v>
      </c>
      <c r="AK21" s="88" cm="1">
        <f t="array" ref="AK21">SUMPRODUCT(($E$18:$AH$18="RD")*(E21:AH21=""))+SUMPRODUCT((E21:AH21="RD")*1)</f>
        <v>6</v>
      </c>
      <c r="AL21" s="89" cm="1">
        <f t="array" ref="AL21">SUMPRODUCT((F21:AH21="AL")*1)</f>
        <v>0</v>
      </c>
      <c r="AM21" s="89" cm="1">
        <f t="array" ref="AM21">SUMPRODUCT((F21:AH21="SH")*1)</f>
        <v>0</v>
      </c>
      <c r="AN21" s="89" cm="1">
        <f t="array" ref="AN21">SUMPRODUCT((E21:AH21="SL")*1)</f>
        <v>0</v>
      </c>
      <c r="AO21" s="140" t="e">
        <f>#REF!-AI21-AJ21-AK21-AL21-AM21-AN21</f>
        <v>#REF!</v>
      </c>
    </row>
    <row r="22" spans="1:41" ht="18" customHeight="1">
      <c r="A22" s="1382"/>
      <c r="B22" s="118" t="s">
        <v>104</v>
      </c>
      <c r="C22" s="99" t="s">
        <v>27</v>
      </c>
      <c r="D22" s="103">
        <v>681383</v>
      </c>
      <c r="E22" s="28" t="s">
        <v>124</v>
      </c>
      <c r="F22" s="29"/>
      <c r="G22" s="29"/>
      <c r="H22" s="208" t="s">
        <v>96</v>
      </c>
      <c r="I22" s="29" t="s">
        <v>140</v>
      </c>
      <c r="J22" s="29"/>
      <c r="K22" s="65"/>
      <c r="L22" s="28"/>
      <c r="M22" s="29"/>
      <c r="N22" s="29"/>
      <c r="O22" s="29"/>
      <c r="P22" s="29"/>
      <c r="Q22" s="29"/>
      <c r="R22" s="30"/>
      <c r="S22" s="75"/>
      <c r="T22" s="29"/>
      <c r="U22" s="29"/>
      <c r="V22" s="29"/>
      <c r="W22" s="29"/>
      <c r="X22" s="29"/>
      <c r="Y22" s="65"/>
      <c r="Z22" s="28"/>
      <c r="AA22" s="183" t="s">
        <v>81</v>
      </c>
      <c r="AB22" s="183" t="s">
        <v>81</v>
      </c>
      <c r="AC22" s="183" t="s">
        <v>88</v>
      </c>
      <c r="AD22" s="183" t="s">
        <v>88</v>
      </c>
      <c r="AE22" s="29"/>
      <c r="AF22" s="30"/>
      <c r="AG22" s="75"/>
      <c r="AH22" s="30"/>
      <c r="AI22" s="89" cm="1">
        <f t="array" ref="AI22">SUMPRODUCT(($E$18:$AH$18="HR")*(E22:AH22=""))+SUMPRODUCT((E22:AH22="HR")*1)</f>
        <v>4</v>
      </c>
      <c r="AJ22" s="89" cm="1">
        <f t="array" ref="AJ22">SUMPRODUCT(($E$18:$AH$18="N0")*(E22:AH22=""))+SUMPRODUCT((E22:AH22="N")*1)</f>
        <v>13</v>
      </c>
      <c r="AK22" s="88" cm="1">
        <f t="array" ref="AK22">SUMPRODUCT(($E$18:$AH$18="RD")*(E22:AH22=""))+SUMPRODUCT((E22:AH22="RD")*1)</f>
        <v>6</v>
      </c>
      <c r="AL22" s="89" cm="1">
        <f t="array" ref="AL22">SUMPRODUCT((F22:AH22="AL")*1)</f>
        <v>2</v>
      </c>
      <c r="AM22" s="89" cm="1">
        <f t="array" ref="AM22">SUMPRODUCT((F22:AH22="SH")*1)</f>
        <v>2</v>
      </c>
      <c r="AN22" s="89" cm="1">
        <f t="array" ref="AN22">SUMPRODUCT((E22:AH22="SL")*1)</f>
        <v>1</v>
      </c>
      <c r="AO22" s="140" t="e">
        <f>#REF!-AI22-AJ22-AK22-AL22-AM22-AN22</f>
        <v>#REF!</v>
      </c>
    </row>
    <row r="23" spans="1:41" ht="18" customHeight="1">
      <c r="A23" s="1382"/>
      <c r="B23" s="100" t="s">
        <v>30</v>
      </c>
      <c r="C23" s="99" t="s">
        <v>32</v>
      </c>
      <c r="D23" s="103">
        <v>679417</v>
      </c>
      <c r="E23" s="184" t="s">
        <v>88</v>
      </c>
      <c r="F23" s="183" t="s">
        <v>88</v>
      </c>
      <c r="G23" s="29"/>
      <c r="H23" s="29"/>
      <c r="I23" s="29"/>
      <c r="J23" s="29"/>
      <c r="K23" s="65"/>
      <c r="L23" s="28"/>
      <c r="M23" s="29"/>
      <c r="N23" s="29"/>
      <c r="O23" s="29"/>
      <c r="P23" s="29"/>
      <c r="Q23" s="29"/>
      <c r="R23" s="30"/>
      <c r="S23" s="75"/>
      <c r="T23" s="29"/>
      <c r="U23" s="29"/>
      <c r="V23" s="29"/>
      <c r="W23" s="29"/>
      <c r="X23" s="29"/>
      <c r="Y23" s="65"/>
      <c r="Z23" s="28"/>
      <c r="AA23" s="29"/>
      <c r="AB23" s="29"/>
      <c r="AC23" s="29"/>
      <c r="AD23" s="29"/>
      <c r="AE23" s="29"/>
      <c r="AF23" s="30"/>
      <c r="AG23" s="75"/>
      <c r="AH23" s="30"/>
      <c r="AI23" s="89" cm="1">
        <f t="array" ref="AI23">SUMPRODUCT(($E$18:$AH$18="HR")*(E23:AH23=""))+SUMPRODUCT((E23:AH23="HR")*1)</f>
        <v>5</v>
      </c>
      <c r="AJ23" s="89" cm="1">
        <f t="array" ref="AJ23">SUMPRODUCT(($E$18:$AH$18="N0")*(E23:AH23=""))+SUMPRODUCT((E23:AH23="N")*1)</f>
        <v>17</v>
      </c>
      <c r="AK23" s="88" cm="1">
        <f t="array" ref="AK23">SUMPRODUCT(($E$18:$AH$18="RD")*(E23:AH23=""))+SUMPRODUCT((E23:AH23="RD")*1)</f>
        <v>6</v>
      </c>
      <c r="AL23" s="89" cm="1">
        <f t="array" ref="AL23">SUMPRODUCT((F23:AH23="AL")*1)</f>
        <v>0</v>
      </c>
      <c r="AM23" s="89" cm="1">
        <f t="array" ref="AM23">SUMPRODUCT((F23:AH23="SH")*1)</f>
        <v>1</v>
      </c>
      <c r="AN23" s="89" cm="1">
        <f t="array" ref="AN23">SUMPRODUCT((E23:AH23="SL")*1)</f>
        <v>0</v>
      </c>
      <c r="AO23" s="140" t="e">
        <f>#REF!-AI23-AJ23-AK23-AL23-AM23-AN23</f>
        <v>#REF!</v>
      </c>
    </row>
    <row r="24" spans="1:41" ht="18" customHeight="1">
      <c r="A24" s="1383"/>
      <c r="B24" s="119" t="s">
        <v>48</v>
      </c>
      <c r="C24" s="106" t="s">
        <v>27</v>
      </c>
      <c r="D24" s="157">
        <v>684061</v>
      </c>
      <c r="E24" s="1145" t="s">
        <v>96</v>
      </c>
      <c r="F24" s="244" t="s">
        <v>115</v>
      </c>
      <c r="G24" s="244" t="s">
        <v>115</v>
      </c>
      <c r="H24" s="244" t="s">
        <v>115</v>
      </c>
      <c r="I24" s="244"/>
      <c r="J24" s="244"/>
      <c r="K24" s="250"/>
      <c r="L24" s="247"/>
      <c r="M24" s="244"/>
      <c r="N24" s="244"/>
      <c r="O24" s="244"/>
      <c r="P24" s="244"/>
      <c r="Q24" s="244"/>
      <c r="R24" s="248"/>
      <c r="S24" s="249"/>
      <c r="T24" s="244"/>
      <c r="U24" s="244"/>
      <c r="V24" s="244"/>
      <c r="W24" s="244"/>
      <c r="X24" s="244"/>
      <c r="Y24" s="250"/>
      <c r="Z24" s="247"/>
      <c r="AA24" s="244"/>
      <c r="AB24" s="244"/>
      <c r="AC24" s="244"/>
      <c r="AD24" s="244"/>
      <c r="AE24" s="244"/>
      <c r="AF24" s="248"/>
      <c r="AG24" s="249"/>
      <c r="AH24" s="248"/>
      <c r="AI24" s="89" cm="1">
        <f t="array" ref="AI24">SUMPRODUCT(($E$18:$AH$18="HR")*(E24:AH24=""))+SUMPRODUCT((E24:AH24="HR")*1)</f>
        <v>3</v>
      </c>
      <c r="AJ24" s="89" cm="1">
        <f t="array" ref="AJ24">SUMPRODUCT(($E$18:$AH$18="N0")*(E24:AH24=""))+SUMPRODUCT((E24:AH24="N")*1)</f>
        <v>17</v>
      </c>
      <c r="AK24" s="88" cm="1">
        <f t="array" ref="AK24">SUMPRODUCT(($E$18:$AH$18="RD")*(E24:AH24=""))+SUMPRODUCT((E24:AH24="RD")*1)</f>
        <v>6</v>
      </c>
      <c r="AL24" s="89" cm="1">
        <f t="array" ref="AL24">SUMPRODUCT((F24:AH24="AL")*1)</f>
        <v>0</v>
      </c>
      <c r="AM24" s="89" cm="1">
        <f t="array" ref="AM24">SUMPRODUCT((F24:AH24="SH")*1)</f>
        <v>0</v>
      </c>
      <c r="AN24" s="89" cm="1">
        <f t="array" ref="AN24">SUMPRODUCT((E24:AH24="SL")*1)</f>
        <v>1</v>
      </c>
      <c r="AO24" s="140" t="e">
        <f>#REF!-AI24-AJ24-AK24-AL24-AM24-AN24</f>
        <v>#REF!</v>
      </c>
    </row>
    <row r="25" spans="1:41" ht="18" customHeight="1">
      <c r="A25" s="1374" t="s">
        <v>109</v>
      </c>
      <c r="B25" s="1361" t="s">
        <v>110</v>
      </c>
      <c r="C25" s="1361"/>
      <c r="D25" s="1361"/>
      <c r="E25" s="773" t="s">
        <v>94</v>
      </c>
      <c r="F25" s="772" t="s">
        <v>94</v>
      </c>
      <c r="G25" s="772" t="s">
        <v>94</v>
      </c>
      <c r="H25" s="772" t="s">
        <v>94</v>
      </c>
      <c r="I25" s="772" t="s">
        <v>94</v>
      </c>
      <c r="J25" s="770" t="s">
        <v>84</v>
      </c>
      <c r="K25" s="760" t="s">
        <v>84</v>
      </c>
      <c r="L25" s="774" t="s">
        <v>95</v>
      </c>
      <c r="M25" s="769" t="s">
        <v>95</v>
      </c>
      <c r="N25" s="769" t="s">
        <v>95</v>
      </c>
      <c r="O25" s="769" t="s">
        <v>95</v>
      </c>
      <c r="P25" s="769" t="s">
        <v>95</v>
      </c>
      <c r="Q25" s="770" t="s">
        <v>84</v>
      </c>
      <c r="R25" s="775" t="s">
        <v>84</v>
      </c>
      <c r="S25" s="831" t="s">
        <v>94</v>
      </c>
      <c r="T25" s="772" t="s">
        <v>94</v>
      </c>
      <c r="U25" s="772" t="s">
        <v>94</v>
      </c>
      <c r="V25" s="772" t="s">
        <v>94</v>
      </c>
      <c r="W25" s="772" t="s">
        <v>94</v>
      </c>
      <c r="X25" s="770" t="s">
        <v>84</v>
      </c>
      <c r="Y25" s="776" t="s">
        <v>94</v>
      </c>
      <c r="Z25" s="773" t="s">
        <v>94</v>
      </c>
      <c r="AA25" s="772" t="s">
        <v>94</v>
      </c>
      <c r="AB25" s="772" t="s">
        <v>94</v>
      </c>
      <c r="AC25" s="772" t="s">
        <v>94</v>
      </c>
      <c r="AD25" s="772" t="s">
        <v>94</v>
      </c>
      <c r="AE25" s="770" t="s">
        <v>84</v>
      </c>
      <c r="AF25" s="771" t="s">
        <v>94</v>
      </c>
      <c r="AG25" s="831" t="s">
        <v>94</v>
      </c>
      <c r="AH25" s="771" t="s">
        <v>94</v>
      </c>
      <c r="AI25" s="137" t="s">
        <v>95</v>
      </c>
      <c r="AJ25" s="137" t="s">
        <v>38</v>
      </c>
      <c r="AK25" s="138" t="s">
        <v>84</v>
      </c>
      <c r="AL25" s="137" t="s">
        <v>81</v>
      </c>
      <c r="AM25" s="137" t="s">
        <v>88</v>
      </c>
      <c r="AN25" s="137" t="s">
        <v>96</v>
      </c>
      <c r="AO25" s="139" t="s">
        <v>97</v>
      </c>
    </row>
    <row r="26" spans="1:41" ht="18" customHeight="1">
      <c r="A26" s="1375"/>
      <c r="B26" s="46" t="s">
        <v>111</v>
      </c>
      <c r="C26" s="17" t="s">
        <v>16</v>
      </c>
      <c r="D26" s="21">
        <v>265691</v>
      </c>
      <c r="E26" s="232"/>
      <c r="F26" s="221"/>
      <c r="G26" s="221"/>
      <c r="H26" s="221"/>
      <c r="I26" s="207" t="s">
        <v>88</v>
      </c>
      <c r="J26" s="221"/>
      <c r="K26" s="234"/>
      <c r="L26" s="232"/>
      <c r="M26" s="221" t="s">
        <v>208</v>
      </c>
      <c r="N26" s="221"/>
      <c r="O26" s="221"/>
      <c r="P26" s="221"/>
      <c r="Q26" s="221"/>
      <c r="R26" s="222"/>
      <c r="S26" s="230"/>
      <c r="T26" s="221"/>
      <c r="U26" s="221"/>
      <c r="V26" s="221"/>
      <c r="W26" s="221"/>
      <c r="X26" s="221"/>
      <c r="Y26" s="234"/>
      <c r="Z26" s="232"/>
      <c r="AA26" s="221"/>
      <c r="AB26" s="221"/>
      <c r="AC26" s="221"/>
      <c r="AD26" s="221"/>
      <c r="AE26" s="221"/>
      <c r="AF26" s="222"/>
      <c r="AG26" s="230"/>
      <c r="AH26" s="222"/>
      <c r="AI26" s="89" cm="1">
        <f t="array" ref="AI26">SUMPRODUCT(($E$25:$AH$25="HR")*(E26:AH26=""))+SUMPRODUCT((E26:AH26="HR")*1)</f>
        <v>4</v>
      </c>
      <c r="AJ26" s="89" cm="1">
        <f t="array" ref="AJ26">SUMPRODUCT(($E$25:$AH$25="N0")*(E26:AH26=""))+SUMPRODUCT((E26:AH26="N")*1)</f>
        <v>18</v>
      </c>
      <c r="AK26" s="88" cm="1">
        <f t="array" ref="AK26">SUMPRODUCT(($E$25:$AH$25="RD")*(E26:AH26=""))+SUMPRODUCT((E26:AH26="RD")*1)</f>
        <v>6</v>
      </c>
      <c r="AL26" s="89" cm="1">
        <f t="array" ref="AL26">SUMPRODUCT((F26:AH26="AL")*1)</f>
        <v>0</v>
      </c>
      <c r="AM26" s="89" cm="1">
        <f t="array" ref="AM26">SUMPRODUCT((F26:AH26="SH")*1)</f>
        <v>1</v>
      </c>
      <c r="AN26" s="89" cm="1">
        <f t="array" ref="AN26">SUMPRODUCT((E26:AH26="SL")*1)</f>
        <v>0</v>
      </c>
      <c r="AO26" s="140" t="e">
        <f>#REF!-AI26-AJ26-AK26-AL26-AM26-AN26</f>
        <v>#REF!</v>
      </c>
    </row>
    <row r="27" spans="1:41" ht="18" customHeight="1">
      <c r="A27" s="1375"/>
      <c r="B27" s="125" t="s">
        <v>113</v>
      </c>
      <c r="C27" s="16" t="s">
        <v>16</v>
      </c>
      <c r="D27" s="22">
        <v>422401</v>
      </c>
      <c r="E27" s="28"/>
      <c r="F27" s="29"/>
      <c r="G27" s="29"/>
      <c r="H27" s="183" t="s">
        <v>88</v>
      </c>
      <c r="I27" s="183" t="s">
        <v>88</v>
      </c>
      <c r="J27" s="29"/>
      <c r="K27" s="65"/>
      <c r="L27" s="28"/>
      <c r="M27" s="29" t="s">
        <v>208</v>
      </c>
      <c r="N27" s="29"/>
      <c r="O27" s="183" t="s">
        <v>81</v>
      </c>
      <c r="P27" s="183" t="s">
        <v>88</v>
      </c>
      <c r="Q27" s="29"/>
      <c r="R27" s="30"/>
      <c r="S27" s="75"/>
      <c r="T27" s="29"/>
      <c r="U27" s="29"/>
      <c r="V27" s="29"/>
      <c r="W27" s="29"/>
      <c r="X27" s="29"/>
      <c r="Y27" s="65"/>
      <c r="Z27" s="28"/>
      <c r="AA27" s="29"/>
      <c r="AB27" s="29"/>
      <c r="AC27" s="29"/>
      <c r="AD27" s="29"/>
      <c r="AE27" s="29"/>
      <c r="AF27" s="185" t="s">
        <v>81</v>
      </c>
      <c r="AG27" s="75"/>
      <c r="AH27" s="30"/>
      <c r="AI27" s="89" cm="1">
        <f t="array" ref="AI27">SUMPRODUCT(($E$25:$AH$25="HR")*(E27:AH27=""))+SUMPRODUCT((E27:AH27="HR")*1)</f>
        <v>2</v>
      </c>
      <c r="AJ27" s="89" cm="1">
        <f t="array" ref="AJ27">SUMPRODUCT(($E$25:$AH$25="N0")*(E27:AH27=""))+SUMPRODUCT((E27:AH27="N")*1)</f>
        <v>16</v>
      </c>
      <c r="AK27" s="88" cm="1">
        <f t="array" ref="AK27">SUMPRODUCT(($E$25:$AH$25="RD")*(E27:AH27=""))+SUMPRODUCT((E27:AH27="RD")*1)</f>
        <v>6</v>
      </c>
      <c r="AL27" s="89" cm="1">
        <f t="array" ref="AL27">SUMPRODUCT((F27:AH27="AL")*1)</f>
        <v>2</v>
      </c>
      <c r="AM27" s="89" cm="1">
        <f t="array" ref="AM27">SUMPRODUCT((F27:AH27="SH")*1)</f>
        <v>3</v>
      </c>
      <c r="AN27" s="89" cm="1">
        <f t="array" ref="AN27">SUMPRODUCT((E27:AH27="SL")*1)</f>
        <v>0</v>
      </c>
      <c r="AO27" s="140" t="e">
        <f>#REF!-AI27-AJ27-AK27-AL27-AM27-AN27</f>
        <v>#REF!</v>
      </c>
    </row>
    <row r="28" spans="1:41" ht="18" customHeight="1">
      <c r="A28" s="1375"/>
      <c r="B28" s="102" t="s">
        <v>29</v>
      </c>
      <c r="C28" s="16" t="s">
        <v>27</v>
      </c>
      <c r="D28" s="22">
        <v>679365</v>
      </c>
      <c r="E28" s="28"/>
      <c r="F28" s="29"/>
      <c r="G28" s="29"/>
      <c r="H28" s="29"/>
      <c r="I28" s="29"/>
      <c r="J28" s="29"/>
      <c r="K28" s="65"/>
      <c r="L28" s="28"/>
      <c r="M28" s="29"/>
      <c r="N28" s="29" t="s">
        <v>164</v>
      </c>
      <c r="O28" s="29"/>
      <c r="P28" s="29"/>
      <c r="Q28" s="29"/>
      <c r="R28" s="30"/>
      <c r="S28" s="75"/>
      <c r="T28" s="29"/>
      <c r="U28" s="29"/>
      <c r="V28" s="29"/>
      <c r="W28" s="29"/>
      <c r="X28" s="29"/>
      <c r="Y28" s="65"/>
      <c r="Z28" s="28"/>
      <c r="AA28" s="29"/>
      <c r="AB28" s="29"/>
      <c r="AC28" s="29"/>
      <c r="AD28" s="29"/>
      <c r="AE28" s="29"/>
      <c r="AF28" s="185" t="s">
        <v>88</v>
      </c>
      <c r="AG28" s="186" t="s">
        <v>88</v>
      </c>
      <c r="AH28" s="185" t="s">
        <v>81</v>
      </c>
      <c r="AI28" s="89" cm="1">
        <f t="array" ref="AI28">SUMPRODUCT(($E$25:$AH$25="HR")*(E28:AH28=""))+SUMPRODUCT((E28:AH28="HR")*1)</f>
        <v>4</v>
      </c>
      <c r="AJ28" s="89" cm="1">
        <f t="array" ref="AJ28">SUMPRODUCT(($E$25:$AH$25="N0")*(E28:AH28=""))+SUMPRODUCT((E28:AH28="N")*1)</f>
        <v>16</v>
      </c>
      <c r="AK28" s="88" cm="1">
        <f t="array" ref="AK28">SUMPRODUCT(($E$25:$AH$25="RD")*(E28:AH28=""))+SUMPRODUCT((E28:AH28="RD")*1)</f>
        <v>6</v>
      </c>
      <c r="AL28" s="89" cm="1">
        <f t="array" ref="AL28">SUMPRODUCT((F28:AH28="AL")*1)</f>
        <v>1</v>
      </c>
      <c r="AM28" s="89" cm="1">
        <f t="array" ref="AM28">SUMPRODUCT((F28:AH28="SH")*1)</f>
        <v>2</v>
      </c>
      <c r="AN28" s="89" cm="1">
        <f t="array" ref="AN28">SUMPRODUCT((E28:AH28="SL")*1)</f>
        <v>0</v>
      </c>
      <c r="AO28" s="140" t="e">
        <f>#REF!-AI28-AJ28-AK28-AL28-AM28-AN28</f>
        <v>#REF!</v>
      </c>
    </row>
    <row r="29" spans="1:41" ht="18" customHeight="1">
      <c r="A29" s="1375"/>
      <c r="B29" s="873" t="s">
        <v>271</v>
      </c>
      <c r="C29" s="18" t="s">
        <v>27</v>
      </c>
      <c r="D29" s="747">
        <v>680682</v>
      </c>
      <c r="E29" s="580"/>
      <c r="F29" s="29"/>
      <c r="G29" s="29"/>
      <c r="H29" s="29"/>
      <c r="I29" s="29"/>
      <c r="J29" s="29"/>
      <c r="K29" s="65"/>
      <c r="L29" s="28" t="s">
        <v>94</v>
      </c>
      <c r="M29" s="29" t="s">
        <v>94</v>
      </c>
      <c r="N29" s="29" t="s">
        <v>94</v>
      </c>
      <c r="O29" s="29" t="s">
        <v>94</v>
      </c>
      <c r="P29" s="29" t="s">
        <v>94</v>
      </c>
      <c r="Q29" s="29"/>
      <c r="R29" s="30"/>
      <c r="S29" s="75"/>
      <c r="T29" s="29"/>
      <c r="U29" s="29"/>
      <c r="V29" s="29"/>
      <c r="W29" s="29"/>
      <c r="X29" s="29"/>
      <c r="Y29" s="65"/>
      <c r="Z29" s="28"/>
      <c r="AA29" s="29"/>
      <c r="AB29" s="29"/>
      <c r="AC29" s="29"/>
      <c r="AD29" s="183" t="s">
        <v>88</v>
      </c>
      <c r="AE29" s="29"/>
      <c r="AF29" s="185" t="s">
        <v>88</v>
      </c>
      <c r="AG29" s="75"/>
      <c r="AH29" s="30"/>
      <c r="AI29" s="89" cm="1">
        <f t="array" ref="AI29">SUMPRODUCT(($E$25:$AH$25="HR")*(E29:AH29=""))+SUMPRODUCT((E29:AH29="HR")*1)</f>
        <v>0</v>
      </c>
      <c r="AJ29" s="89" cm="1">
        <f t="array" ref="AJ29">SUMPRODUCT(($E$25:$AH$25="N0")*(E29:AH29=""))+SUMPRODUCT((E29:AH29="N")*1)</f>
        <v>17</v>
      </c>
      <c r="AK29" s="88" cm="1">
        <f t="array" ref="AK29">SUMPRODUCT(($E$25:$AH$25="RD")*(E29:AH29=""))+SUMPRODUCT((E29:AH29="RD")*1)</f>
        <v>6</v>
      </c>
      <c r="AL29" s="89" cm="1">
        <f t="array" ref="AL29">SUMPRODUCT((F29:AH29="AL")*1)</f>
        <v>0</v>
      </c>
      <c r="AM29" s="89" cm="1">
        <f t="array" ref="AM29">SUMPRODUCT((F29:AH29="SH")*1)</f>
        <v>2</v>
      </c>
      <c r="AN29" s="89" cm="1">
        <f t="array" ref="AN29">SUMPRODUCT((E29:AH29="SL")*1)</f>
        <v>0</v>
      </c>
      <c r="AO29" s="140" t="e">
        <f>#REF!-AI29-AJ29-AK29-AL29-AM29-AN29</f>
        <v>#REF!</v>
      </c>
    </row>
    <row r="30" spans="1:41" ht="18" customHeight="1">
      <c r="A30" s="1375"/>
      <c r="B30" s="874" t="s">
        <v>52</v>
      </c>
      <c r="C30" s="99" t="s">
        <v>27</v>
      </c>
      <c r="D30" s="103">
        <v>678954</v>
      </c>
      <c r="E30" s="562"/>
      <c r="F30" s="560"/>
      <c r="G30" s="29"/>
      <c r="H30" s="29"/>
      <c r="I30" s="29"/>
      <c r="J30" s="29"/>
      <c r="K30" s="65"/>
      <c r="L30" s="28"/>
      <c r="M30" s="29"/>
      <c r="N30" s="29" t="s">
        <v>137</v>
      </c>
      <c r="O30" s="29" t="s">
        <v>137</v>
      </c>
      <c r="P30" s="183" t="s">
        <v>88</v>
      </c>
      <c r="Q30" s="29"/>
      <c r="R30" s="30"/>
      <c r="S30" s="75"/>
      <c r="T30" s="29"/>
      <c r="U30" s="29"/>
      <c r="V30" s="29"/>
      <c r="W30" s="29"/>
      <c r="X30" s="29"/>
      <c r="Y30" s="65"/>
      <c r="Z30" s="28"/>
      <c r="AA30" s="29"/>
      <c r="AB30" s="29"/>
      <c r="AC30" s="29"/>
      <c r="AD30" s="29"/>
      <c r="AE30" s="29"/>
      <c r="AF30" s="30"/>
      <c r="AG30" s="75"/>
      <c r="AH30" s="30"/>
      <c r="AI30" s="89" cm="1">
        <f t="array" ref="AI30">SUMPRODUCT(($E$25:$AH$25="HR")*(E30:AH30=""))+SUMPRODUCT((E30:AH30="HR")*1)</f>
        <v>2</v>
      </c>
      <c r="AJ30" s="89" cm="1">
        <f t="array" ref="AJ30">SUMPRODUCT(($E$25:$AH$25="N0")*(E30:AH30=""))+SUMPRODUCT((E30:AH30="N")*1)</f>
        <v>19</v>
      </c>
      <c r="AK30" s="88" cm="1">
        <f t="array" ref="AK30">SUMPRODUCT(($E$25:$AH$25="RD")*(E30:AH30=""))+SUMPRODUCT((E30:AH30="RD")*1)</f>
        <v>6</v>
      </c>
      <c r="AL30" s="89" cm="1">
        <f t="array" ref="AL30">SUMPRODUCT((F30:AH30="AL")*1)</f>
        <v>0</v>
      </c>
      <c r="AM30" s="89" cm="1">
        <f t="array" ref="AM30">SUMPRODUCT((F30:AH30="SH")*1)</f>
        <v>1</v>
      </c>
      <c r="AN30" s="89" cm="1">
        <f t="array" ref="AN30">SUMPRODUCT((E30:AH30="SL")*1)</f>
        <v>0</v>
      </c>
      <c r="AO30" s="140" t="e">
        <f>#REF!-AI30-AJ30-AK30-AL30-AM30-AN30</f>
        <v>#REF!</v>
      </c>
    </row>
    <row r="31" spans="1:41" ht="18" customHeight="1">
      <c r="A31" s="1375"/>
      <c r="B31" s="849" t="s">
        <v>51</v>
      </c>
      <c r="C31" s="111" t="s">
        <v>32</v>
      </c>
      <c r="D31" s="112">
        <v>685750</v>
      </c>
      <c r="E31" s="1151"/>
      <c r="F31" s="29"/>
      <c r="G31" s="29"/>
      <c r="H31" s="29"/>
      <c r="I31" s="29"/>
      <c r="J31" s="29"/>
      <c r="K31" s="65"/>
      <c r="L31" s="28"/>
      <c r="M31" s="29"/>
      <c r="N31" s="29"/>
      <c r="O31" s="29"/>
      <c r="P31" s="29"/>
      <c r="Q31" s="29"/>
      <c r="R31" s="30"/>
      <c r="S31" s="75"/>
      <c r="T31" s="29"/>
      <c r="U31" s="29"/>
      <c r="V31" s="29"/>
      <c r="W31" s="29"/>
      <c r="X31" s="29"/>
      <c r="Y31" s="65"/>
      <c r="Z31" s="28"/>
      <c r="AA31" s="29"/>
      <c r="AB31" s="29"/>
      <c r="AC31" s="29"/>
      <c r="AD31" s="29"/>
      <c r="AE31" s="29"/>
      <c r="AF31" s="185" t="s">
        <v>88</v>
      </c>
      <c r="AG31" s="186" t="s">
        <v>88</v>
      </c>
      <c r="AH31" s="185" t="s">
        <v>81</v>
      </c>
      <c r="AI31" s="89" cm="1">
        <f t="array" ref="AI31">SUMPRODUCT(($E$25:$AH$25="HR")*(E31:AH31=""))+SUMPRODUCT((E31:AH31="HR")*1)</f>
        <v>5</v>
      </c>
      <c r="AJ31" s="89" cm="1">
        <f t="array" ref="AJ31">SUMPRODUCT(($E$25:$AH$25="N0")*(E31:AH31=""))+SUMPRODUCT((E31:AH31="N")*1)</f>
        <v>16</v>
      </c>
      <c r="AK31" s="88" cm="1">
        <f t="array" ref="AK31">SUMPRODUCT(($E$25:$AH$25="RD")*(E31:AH31=""))+SUMPRODUCT((E31:AH31="RD")*1)</f>
        <v>6</v>
      </c>
      <c r="AL31" s="89" cm="1">
        <f t="array" ref="AL31">SUMPRODUCT((F31:AH31="AL")*1)</f>
        <v>1</v>
      </c>
      <c r="AM31" s="89" cm="1">
        <f t="array" ref="AM31">SUMPRODUCT((F31:AH31="SH")*1)</f>
        <v>2</v>
      </c>
      <c r="AN31" s="89" cm="1">
        <f t="array" ref="AN31">SUMPRODUCT((E31:AH31="SL")*1)</f>
        <v>0</v>
      </c>
      <c r="AO31" s="140" t="e">
        <f>#REF!-AI31-AJ31-AK31-AL31-AM31-AN31</f>
        <v>#REF!</v>
      </c>
    </row>
    <row r="32" spans="1:41" ht="18" customHeight="1">
      <c r="A32" s="1376"/>
      <c r="B32" s="117" t="s">
        <v>116</v>
      </c>
      <c r="C32" s="754" t="s">
        <v>55</v>
      </c>
      <c r="D32" s="755">
        <v>682089</v>
      </c>
      <c r="E32" s="1152" t="s">
        <v>88</v>
      </c>
      <c r="F32" s="688" t="s">
        <v>88</v>
      </c>
      <c r="G32" s="244"/>
      <c r="H32" s="244"/>
      <c r="I32" s="244"/>
      <c r="J32" s="244"/>
      <c r="K32" s="250"/>
      <c r="L32" s="247"/>
      <c r="M32" s="244"/>
      <c r="N32" s="244"/>
      <c r="O32" s="244"/>
      <c r="P32" s="244"/>
      <c r="Q32" s="244"/>
      <c r="R32" s="248"/>
      <c r="S32" s="249"/>
      <c r="T32" s="244"/>
      <c r="U32" s="244"/>
      <c r="V32" s="244"/>
      <c r="W32" s="244"/>
      <c r="X32" s="244"/>
      <c r="Y32" s="250"/>
      <c r="Z32" s="247"/>
      <c r="AA32" s="244"/>
      <c r="AB32" s="244"/>
      <c r="AC32" s="244"/>
      <c r="AD32" s="244"/>
      <c r="AE32" s="244"/>
      <c r="AF32" s="248"/>
      <c r="AG32" s="249"/>
      <c r="AH32" s="248"/>
      <c r="AI32" s="89" cm="1">
        <f t="array" ref="AI32">SUMPRODUCT(($E$25:$AH$25="HR")*(E32:AH32=""))+SUMPRODUCT((E32:AH32="HR")*1)</f>
        <v>5</v>
      </c>
      <c r="AJ32" s="89" cm="1">
        <f t="array" ref="AJ32">SUMPRODUCT(($E$25:$AH$25="N0")*(E32:AH32=""))+SUMPRODUCT((E32:AH32="N")*1)</f>
        <v>17</v>
      </c>
      <c r="AK32" s="88" cm="1">
        <f t="array" ref="AK32">SUMPRODUCT(($E$25:$AH$25="RD")*(E32:AH32=""))+SUMPRODUCT((E32:AH32="RD")*1)</f>
        <v>6</v>
      </c>
      <c r="AL32" s="89" cm="1">
        <f t="array" ref="AL32">SUMPRODUCT((F32:AH32="AL")*1)</f>
        <v>0</v>
      </c>
      <c r="AM32" s="89" cm="1">
        <f t="array" ref="AM32">SUMPRODUCT((F32:AH32="SH")*1)</f>
        <v>1</v>
      </c>
      <c r="AN32" s="89" cm="1">
        <f t="array" ref="AN32">SUMPRODUCT((E32:AH32="SL")*1)</f>
        <v>0</v>
      </c>
      <c r="AO32" s="140" t="e">
        <f>#REF!-AI32-AJ32-AK32-AL32-AM32-AN32</f>
        <v>#REF!</v>
      </c>
    </row>
    <row r="33" spans="1:41" ht="18" customHeight="1">
      <c r="A33" s="1375" t="s">
        <v>117</v>
      </c>
      <c r="B33" s="1361" t="s">
        <v>110</v>
      </c>
      <c r="C33" s="1361"/>
      <c r="D33" s="1361"/>
      <c r="E33" s="773" t="s">
        <v>94</v>
      </c>
      <c r="F33" s="772" t="s">
        <v>94</v>
      </c>
      <c r="G33" s="772" t="s">
        <v>94</v>
      </c>
      <c r="H33" s="772" t="s">
        <v>94</v>
      </c>
      <c r="I33" s="772" t="s">
        <v>94</v>
      </c>
      <c r="J33" s="770" t="s">
        <v>84</v>
      </c>
      <c r="K33" s="776" t="s">
        <v>94</v>
      </c>
      <c r="L33" s="773" t="s">
        <v>94</v>
      </c>
      <c r="M33" s="772" t="s">
        <v>94</v>
      </c>
      <c r="N33" s="772" t="s">
        <v>94</v>
      </c>
      <c r="O33" s="772" t="s">
        <v>94</v>
      </c>
      <c r="P33" s="772" t="s">
        <v>94</v>
      </c>
      <c r="Q33" s="770" t="s">
        <v>84</v>
      </c>
      <c r="R33" s="775" t="s">
        <v>84</v>
      </c>
      <c r="S33" s="830" t="s">
        <v>95</v>
      </c>
      <c r="T33" s="769" t="s">
        <v>95</v>
      </c>
      <c r="U33" s="769" t="s">
        <v>95</v>
      </c>
      <c r="V33" s="769" t="s">
        <v>95</v>
      </c>
      <c r="W33" s="769" t="s">
        <v>95</v>
      </c>
      <c r="X33" s="770" t="s">
        <v>84</v>
      </c>
      <c r="Y33" s="760" t="s">
        <v>84</v>
      </c>
      <c r="Z33" s="773" t="s">
        <v>94</v>
      </c>
      <c r="AA33" s="772" t="s">
        <v>94</v>
      </c>
      <c r="AB33" s="772" t="s">
        <v>94</v>
      </c>
      <c r="AC33" s="772" t="s">
        <v>94</v>
      </c>
      <c r="AD33" s="772" t="s">
        <v>94</v>
      </c>
      <c r="AE33" s="770" t="s">
        <v>84</v>
      </c>
      <c r="AF33" s="771" t="s">
        <v>94</v>
      </c>
      <c r="AG33" s="831" t="s">
        <v>94</v>
      </c>
      <c r="AH33" s="771" t="s">
        <v>94</v>
      </c>
      <c r="AI33" s="137" t="s">
        <v>95</v>
      </c>
      <c r="AJ33" s="137" t="s">
        <v>38</v>
      </c>
      <c r="AK33" s="138" t="s">
        <v>84</v>
      </c>
      <c r="AL33" s="137" t="s">
        <v>81</v>
      </c>
      <c r="AM33" s="137" t="s">
        <v>88</v>
      </c>
      <c r="AN33" s="137" t="s">
        <v>96</v>
      </c>
      <c r="AO33" s="139" t="s">
        <v>97</v>
      </c>
    </row>
    <row r="34" spans="1:41" ht="18" customHeight="1">
      <c r="A34" s="1375"/>
      <c r="B34" s="46" t="s">
        <v>272</v>
      </c>
      <c r="C34" s="17" t="s">
        <v>16</v>
      </c>
      <c r="D34" s="21">
        <v>321524</v>
      </c>
      <c r="E34" s="232"/>
      <c r="F34" s="221"/>
      <c r="G34" s="221"/>
      <c r="H34" s="221"/>
      <c r="I34" s="221"/>
      <c r="J34" s="221"/>
      <c r="K34" s="234"/>
      <c r="L34" s="232"/>
      <c r="M34" s="221"/>
      <c r="N34" s="207" t="s">
        <v>88</v>
      </c>
      <c r="O34" s="221" t="s">
        <v>149</v>
      </c>
      <c r="P34" s="221" t="s">
        <v>95</v>
      </c>
      <c r="Q34" s="221"/>
      <c r="R34" s="222"/>
      <c r="S34" s="230"/>
      <c r="T34" s="221" t="s">
        <v>208</v>
      </c>
      <c r="U34" s="221" t="s">
        <v>123</v>
      </c>
      <c r="V34" s="221" t="s">
        <v>123</v>
      </c>
      <c r="W34" s="221"/>
      <c r="X34" s="221"/>
      <c r="Y34" s="234"/>
      <c r="Z34" s="232"/>
      <c r="AA34" s="221"/>
      <c r="AB34" s="221"/>
      <c r="AC34" s="221" t="s">
        <v>214</v>
      </c>
      <c r="AD34" s="221"/>
      <c r="AE34" s="221"/>
      <c r="AF34" s="222"/>
      <c r="AG34" s="230"/>
      <c r="AH34" s="222"/>
      <c r="AI34" s="89" cm="1">
        <f t="array" ref="AI34">SUMPRODUCT(($E$33:$AH$33="HR")*(E34:AH34=""))+SUMPRODUCT((E34:AH34="HR")*1)</f>
        <v>3</v>
      </c>
      <c r="AJ34" s="89" cm="1">
        <f t="array" ref="AJ34">SUMPRODUCT(($E$33:$AH$33="N0")*(E34:AH34=""))+SUMPRODUCT((E34:AH34="N")*1)</f>
        <v>15</v>
      </c>
      <c r="AK34" s="88" cm="1">
        <f t="array" ref="AK34">SUMPRODUCT(($E$33:$AH$33="RD")*(E34:AH34=""))+SUMPRODUCT((E34:AH34="RD")*1)</f>
        <v>6</v>
      </c>
      <c r="AL34" s="89" cm="1">
        <f t="array" ref="AL34">SUMPRODUCT((F34:AH34="AL")*1)</f>
        <v>0</v>
      </c>
      <c r="AM34" s="89" cm="1">
        <f t="array" ref="AM34">SUMPRODUCT((F34:AH34="SH")*1)</f>
        <v>1</v>
      </c>
      <c r="AN34" s="89" cm="1">
        <f t="array" ref="AN34">SUMPRODUCT((E34:AH34="SL")*1)</f>
        <v>0</v>
      </c>
      <c r="AO34" s="140" t="e">
        <f>#REF!-AI34-AJ34-AK34-AL34-AM34-AN34</f>
        <v>#REF!</v>
      </c>
    </row>
    <row r="35" spans="1:41" ht="18" customHeight="1">
      <c r="A35" s="1375"/>
      <c r="B35" s="48" t="s">
        <v>28</v>
      </c>
      <c r="C35" s="16" t="s">
        <v>16</v>
      </c>
      <c r="D35" s="22">
        <v>427616</v>
      </c>
      <c r="E35" s="28"/>
      <c r="F35" s="29"/>
      <c r="G35" s="29"/>
      <c r="H35" s="29"/>
      <c r="I35" s="29"/>
      <c r="J35" s="29"/>
      <c r="K35" s="65"/>
      <c r="L35" s="28"/>
      <c r="M35" s="29"/>
      <c r="N35" s="330"/>
      <c r="O35" s="29"/>
      <c r="P35" s="29"/>
      <c r="Q35" s="29"/>
      <c r="R35" s="30"/>
      <c r="S35" s="75"/>
      <c r="T35" s="29" t="s">
        <v>135</v>
      </c>
      <c r="U35" s="29"/>
      <c r="V35" s="330" t="s">
        <v>208</v>
      </c>
      <c r="W35" s="29"/>
      <c r="X35" s="29"/>
      <c r="Y35" s="65"/>
      <c r="Z35" s="28"/>
      <c r="AA35" s="29"/>
      <c r="AB35" s="29"/>
      <c r="AC35" s="29"/>
      <c r="AD35" s="183" t="s">
        <v>88</v>
      </c>
      <c r="AE35" s="29"/>
      <c r="AF35" s="30"/>
      <c r="AG35" s="75"/>
      <c r="AH35" s="30"/>
      <c r="AI35" s="89" cm="1">
        <f t="array" ref="AI35">SUMPRODUCT(($E$33:$AH$33="HR")*(E35:AH35=""))+SUMPRODUCT((E35:AH35="HR")*1)</f>
        <v>3</v>
      </c>
      <c r="AJ35" s="89" cm="1">
        <f t="array" ref="AJ35">SUMPRODUCT(($E$33:$AH$33="N0")*(E35:AH35=""))+SUMPRODUCT((E35:AH35="N")*1)</f>
        <v>18</v>
      </c>
      <c r="AK35" s="88" cm="1">
        <f t="array" ref="AK35">SUMPRODUCT(($E$33:$AH$33="RD")*(E35:AH35=""))+SUMPRODUCT((E35:AH35="RD")*1)</f>
        <v>6</v>
      </c>
      <c r="AL35" s="89" cm="1">
        <f t="array" ref="AL35">SUMPRODUCT((F35:AH35="AL")*1)</f>
        <v>0</v>
      </c>
      <c r="AM35" s="89" cm="1">
        <f t="array" ref="AM35">SUMPRODUCT((F35:AH35="SH")*1)</f>
        <v>1</v>
      </c>
      <c r="AN35" s="89" cm="1">
        <f t="array" ref="AN35">SUMPRODUCT((E35:AH35="SL")*1)</f>
        <v>0</v>
      </c>
      <c r="AO35" s="140" t="e">
        <f>#REF!-AI35-AJ35-AK35-AL35-AM35-AN35</f>
        <v>#REF!</v>
      </c>
    </row>
    <row r="36" spans="1:41" ht="18" customHeight="1">
      <c r="A36" s="1375"/>
      <c r="B36" s="50" t="s">
        <v>273</v>
      </c>
      <c r="C36" s="18" t="s">
        <v>27</v>
      </c>
      <c r="D36" s="51">
        <v>672075</v>
      </c>
      <c r="E36" s="28"/>
      <c r="F36" s="29"/>
      <c r="G36" s="183" t="s">
        <v>88</v>
      </c>
      <c r="H36" s="183" t="s">
        <v>88</v>
      </c>
      <c r="I36" s="183" t="s">
        <v>88</v>
      </c>
      <c r="J36" s="29"/>
      <c r="K36" s="235" t="s">
        <v>84</v>
      </c>
      <c r="L36" s="28" t="s">
        <v>122</v>
      </c>
      <c r="M36" s="29" t="s">
        <v>122</v>
      </c>
      <c r="N36" s="207" t="s">
        <v>81</v>
      </c>
      <c r="O36" s="183" t="s">
        <v>81</v>
      </c>
      <c r="P36" s="183" t="s">
        <v>81</v>
      </c>
      <c r="Q36" s="29"/>
      <c r="R36" s="30"/>
      <c r="S36" s="75"/>
      <c r="T36" s="29" t="s">
        <v>208</v>
      </c>
      <c r="U36" s="29" t="s">
        <v>94</v>
      </c>
      <c r="V36" s="221" t="s">
        <v>94</v>
      </c>
      <c r="W36" s="29" t="s">
        <v>94</v>
      </c>
      <c r="X36" s="29"/>
      <c r="Y36" s="65" t="s">
        <v>94</v>
      </c>
      <c r="Z36" s="28"/>
      <c r="AA36" s="29"/>
      <c r="AB36" s="29"/>
      <c r="AC36" s="29"/>
      <c r="AD36" s="29"/>
      <c r="AE36" s="29"/>
      <c r="AF36" s="30"/>
      <c r="AG36" s="75"/>
      <c r="AH36" s="30"/>
      <c r="AI36" s="89" cm="1">
        <f t="array" ref="AI36">SUMPRODUCT(($E$33:$AH$33="HR")*(E36:AH36=""))+SUMPRODUCT((E36:AH36="HR")*1)</f>
        <v>1</v>
      </c>
      <c r="AJ36" s="89" cm="1">
        <f t="array" ref="AJ36">SUMPRODUCT(($E$33:$AH$33="N0")*(E36:AH36=""))+SUMPRODUCT((E36:AH36="N")*1)</f>
        <v>10</v>
      </c>
      <c r="AK36" s="88" cm="1">
        <f t="array" ref="AK36">SUMPRODUCT(($E$33:$AH$33="RD")*(E36:AH36=""))+SUMPRODUCT((E36:AH36="RD")*1)</f>
        <v>6</v>
      </c>
      <c r="AL36" s="89" cm="1">
        <f t="array" ref="AL36">SUMPRODUCT((F36:AH36="AL")*1)</f>
        <v>3</v>
      </c>
      <c r="AM36" s="89" cm="1">
        <f t="array" ref="AM36">SUMPRODUCT((F36:AH36="SH")*1)</f>
        <v>3</v>
      </c>
      <c r="AN36" s="89" cm="1">
        <f t="array" ref="AN36">SUMPRODUCT((E36:AH36="SL")*1)</f>
        <v>0</v>
      </c>
      <c r="AO36" s="140" t="e">
        <f>#REF!-AI36-AJ36-AK36-AL36-AM36-AN36</f>
        <v>#REF!</v>
      </c>
    </row>
    <row r="37" spans="1:41" ht="18" customHeight="1">
      <c r="A37" s="1375"/>
      <c r="B37" s="47" t="s">
        <v>35</v>
      </c>
      <c r="C37" s="16" t="s">
        <v>27</v>
      </c>
      <c r="D37" s="22">
        <v>655180</v>
      </c>
      <c r="E37" s="184" t="s">
        <v>88</v>
      </c>
      <c r="F37" s="29"/>
      <c r="G37" s="29"/>
      <c r="H37" s="29"/>
      <c r="I37" s="29"/>
      <c r="J37" s="29"/>
      <c r="K37" s="235" t="s">
        <v>84</v>
      </c>
      <c r="L37" s="28" t="s">
        <v>122</v>
      </c>
      <c r="M37" s="29" t="s">
        <v>122</v>
      </c>
      <c r="N37" s="29" t="s">
        <v>105</v>
      </c>
      <c r="O37" s="29"/>
      <c r="P37" s="29"/>
      <c r="Q37" s="29"/>
      <c r="R37" s="30"/>
      <c r="S37" s="75" t="s">
        <v>108</v>
      </c>
      <c r="T37" s="29" t="s">
        <v>108</v>
      </c>
      <c r="U37" s="29"/>
      <c r="V37" s="29"/>
      <c r="W37" s="1181" t="s">
        <v>96</v>
      </c>
      <c r="X37" s="29" t="s">
        <v>95</v>
      </c>
      <c r="Y37" s="65"/>
      <c r="Z37" s="28"/>
      <c r="AA37" s="29"/>
      <c r="AB37" s="29"/>
      <c r="AC37" s="29"/>
      <c r="AD37" s="29"/>
      <c r="AE37" s="29"/>
      <c r="AF37" s="30"/>
      <c r="AG37" s="75"/>
      <c r="AH37" s="30"/>
      <c r="AI37" s="89" cm="1">
        <f t="array" ref="AI37">SUMPRODUCT(($E$33:$AH$33="HR")*(E37:AH37=""))+SUMPRODUCT((E37:AH37="HR")*1)</f>
        <v>3</v>
      </c>
      <c r="AJ37" s="89" cm="1">
        <f t="array" ref="AJ37">SUMPRODUCT(($E$33:$AH$33="N0")*(E37:AH37=""))+SUMPRODUCT((E37:AH37="N")*1)</f>
        <v>14</v>
      </c>
      <c r="AK37" s="88" cm="1">
        <f t="array" ref="AK37">SUMPRODUCT(($E$33:$AH$33="RD")*(E37:AH37=""))+SUMPRODUCT((E37:AH37="RD")*1)</f>
        <v>6</v>
      </c>
      <c r="AL37" s="89" cm="1">
        <f t="array" ref="AL37">SUMPRODUCT((F37:AH37="AL")*1)</f>
        <v>0</v>
      </c>
      <c r="AM37" s="89" cm="1">
        <f t="array" ref="AM37">SUMPRODUCT((F37:AH37="SH")*1)</f>
        <v>0</v>
      </c>
      <c r="AN37" s="89" cm="1">
        <f t="array" ref="AN37">SUMPRODUCT((E37:AH37="SL")*1)</f>
        <v>1</v>
      </c>
      <c r="AO37" s="140" t="e">
        <f>#REF!-AI37-AJ37-AK37-AL37-AM37-AN37</f>
        <v>#REF!</v>
      </c>
    </row>
    <row r="38" spans="1:41" ht="18" customHeight="1">
      <c r="A38" s="1375"/>
      <c r="B38" s="102" t="s">
        <v>34</v>
      </c>
      <c r="C38" s="16" t="s">
        <v>27</v>
      </c>
      <c r="D38" s="22">
        <v>673277</v>
      </c>
      <c r="E38" s="28"/>
      <c r="F38" s="208" t="s">
        <v>96</v>
      </c>
      <c r="G38" s="208" t="s">
        <v>96</v>
      </c>
      <c r="H38" s="208" t="s">
        <v>96</v>
      </c>
      <c r="I38" s="208" t="s">
        <v>96</v>
      </c>
      <c r="J38" s="29"/>
      <c r="K38" s="65"/>
      <c r="L38" s="28"/>
      <c r="M38" s="29"/>
      <c r="N38" s="29"/>
      <c r="O38" s="29"/>
      <c r="P38" s="29"/>
      <c r="Q38" s="29"/>
      <c r="R38" s="30"/>
      <c r="S38" s="75"/>
      <c r="T38" s="29" t="s">
        <v>208</v>
      </c>
      <c r="U38" s="29"/>
      <c r="V38" s="183" t="s">
        <v>88</v>
      </c>
      <c r="W38" s="207" t="s">
        <v>88</v>
      </c>
      <c r="X38" s="29"/>
      <c r="Y38" s="65"/>
      <c r="Z38" s="28"/>
      <c r="AA38" s="29"/>
      <c r="AB38" s="29"/>
      <c r="AC38" s="29"/>
      <c r="AD38" s="29"/>
      <c r="AE38" s="29"/>
      <c r="AF38" s="30"/>
      <c r="AG38" s="75"/>
      <c r="AH38" s="30"/>
      <c r="AI38" s="89" cm="1">
        <f t="array" ref="AI38">SUMPRODUCT(($E$33:$AH$33="HR")*(E38:AH38=""))+SUMPRODUCT((E38:AH38="HR")*1)</f>
        <v>2</v>
      </c>
      <c r="AJ38" s="89" cm="1">
        <f t="array" ref="AJ38">SUMPRODUCT(($E$33:$AH$33="N0")*(E38:AH38=""))+SUMPRODUCT((E38:AH38="N")*1)</f>
        <v>15</v>
      </c>
      <c r="AK38" s="88" cm="1">
        <f t="array" ref="AK38">SUMPRODUCT(($E$33:$AH$33="RD")*(E38:AH38=""))+SUMPRODUCT((E38:AH38="RD")*1)</f>
        <v>6</v>
      </c>
      <c r="AL38" s="89" cm="1">
        <f t="array" ref="AL38">SUMPRODUCT((F38:AH38="AL")*1)</f>
        <v>0</v>
      </c>
      <c r="AM38" s="89" cm="1">
        <f t="array" ref="AM38">SUMPRODUCT((F38:AH38="SH")*1)</f>
        <v>2</v>
      </c>
      <c r="AN38" s="89" cm="1">
        <f t="array" ref="AN38">SUMPRODUCT((E38:AH38="SL")*1)</f>
        <v>4</v>
      </c>
      <c r="AO38" s="140" t="e">
        <f>#REF!-AI38-AJ38-AK38-AL38-AM38-AN38</f>
        <v>#REF!</v>
      </c>
    </row>
    <row r="39" spans="1:41" ht="18" customHeight="1">
      <c r="A39" s="1375"/>
      <c r="B39" s="150" t="s">
        <v>118</v>
      </c>
      <c r="C39" s="133" t="s">
        <v>27</v>
      </c>
      <c r="D39" s="108">
        <v>674432</v>
      </c>
      <c r="E39" s="184" t="s">
        <v>88</v>
      </c>
      <c r="F39" s="183" t="s">
        <v>88</v>
      </c>
      <c r="G39" s="183" t="s">
        <v>88</v>
      </c>
      <c r="H39" s="29"/>
      <c r="I39" s="29"/>
      <c r="J39" s="29"/>
      <c r="K39" s="65"/>
      <c r="L39" s="28"/>
      <c r="M39" s="29"/>
      <c r="N39" s="29"/>
      <c r="O39" s="29"/>
      <c r="P39" s="29"/>
      <c r="Q39" s="29"/>
      <c r="R39" s="30"/>
      <c r="S39" s="75" t="s">
        <v>108</v>
      </c>
      <c r="T39" s="29" t="s">
        <v>108</v>
      </c>
      <c r="U39" s="29"/>
      <c r="V39" s="183" t="s">
        <v>81</v>
      </c>
      <c r="W39" s="183" t="s">
        <v>81</v>
      </c>
      <c r="X39" s="29"/>
      <c r="Y39" s="65"/>
      <c r="Z39" s="28"/>
      <c r="AA39" s="29"/>
      <c r="AB39" s="29"/>
      <c r="AC39" s="29"/>
      <c r="AD39" s="29"/>
      <c r="AE39" s="29"/>
      <c r="AF39" s="185" t="s">
        <v>88</v>
      </c>
      <c r="AG39" s="75"/>
      <c r="AH39" s="30"/>
      <c r="AI39" s="89" cm="1">
        <f t="array" ref="AI39">SUMPRODUCT(($E$33:$AH$33="HR")*(E39:AH39=""))+SUMPRODUCT((E39:AH39="HR")*1)</f>
        <v>1</v>
      </c>
      <c r="AJ39" s="89" cm="1">
        <f t="array" ref="AJ39">SUMPRODUCT(($E$33:$AH$33="N0")*(E39:AH39=""))+SUMPRODUCT((E39:AH39="N")*1)</f>
        <v>15</v>
      </c>
      <c r="AK39" s="88" cm="1">
        <f t="array" ref="AK39">SUMPRODUCT(($E$33:$AH$33="RD")*(E39:AH39=""))+SUMPRODUCT((E39:AH39="RD")*1)</f>
        <v>6</v>
      </c>
      <c r="AL39" s="89" cm="1">
        <f t="array" ref="AL39">SUMPRODUCT((F39:AH39="AL")*1)</f>
        <v>2</v>
      </c>
      <c r="AM39" s="89" cm="1">
        <f t="array" ref="AM39">SUMPRODUCT((F39:AH39="SH")*1)</f>
        <v>3</v>
      </c>
      <c r="AN39" s="89" cm="1">
        <f t="array" ref="AN39">SUMPRODUCT((E39:AH39="SL")*1)</f>
        <v>0</v>
      </c>
      <c r="AO39" s="140" t="e">
        <f>#REF!-AI39-AJ39-AK39-AL39-AM39-AN39</f>
        <v>#REF!</v>
      </c>
    </row>
    <row r="40" spans="1:41" ht="18" customHeight="1">
      <c r="A40" s="1375" t="s">
        <v>119</v>
      </c>
      <c r="B40" s="1361" t="s">
        <v>110</v>
      </c>
      <c r="C40" s="1361"/>
      <c r="D40" s="1361"/>
      <c r="E40" s="773" t="s">
        <v>94</v>
      </c>
      <c r="F40" s="772" t="s">
        <v>94</v>
      </c>
      <c r="G40" s="772" t="s">
        <v>94</v>
      </c>
      <c r="H40" s="772" t="s">
        <v>94</v>
      </c>
      <c r="I40" s="772" t="s">
        <v>94</v>
      </c>
      <c r="J40" s="770" t="s">
        <v>84</v>
      </c>
      <c r="K40" s="776" t="s">
        <v>94</v>
      </c>
      <c r="L40" s="773" t="s">
        <v>94</v>
      </c>
      <c r="M40" s="772" t="s">
        <v>94</v>
      </c>
      <c r="N40" s="772" t="s">
        <v>94</v>
      </c>
      <c r="O40" s="772" t="s">
        <v>94</v>
      </c>
      <c r="P40" s="772" t="s">
        <v>94</v>
      </c>
      <c r="Q40" s="770" t="s">
        <v>84</v>
      </c>
      <c r="R40" s="771" t="s">
        <v>94</v>
      </c>
      <c r="S40" s="831" t="s">
        <v>94</v>
      </c>
      <c r="T40" s="772" t="s">
        <v>94</v>
      </c>
      <c r="U40" s="772" t="s">
        <v>94</v>
      </c>
      <c r="V40" s="772" t="s">
        <v>94</v>
      </c>
      <c r="W40" s="772" t="s">
        <v>94</v>
      </c>
      <c r="X40" s="770" t="s">
        <v>84</v>
      </c>
      <c r="Y40" s="760" t="s">
        <v>84</v>
      </c>
      <c r="Z40" s="774" t="s">
        <v>95</v>
      </c>
      <c r="AA40" s="769" t="s">
        <v>95</v>
      </c>
      <c r="AB40" s="769" t="s">
        <v>95</v>
      </c>
      <c r="AC40" s="769" t="s">
        <v>95</v>
      </c>
      <c r="AD40" s="769" t="s">
        <v>95</v>
      </c>
      <c r="AE40" s="770" t="s">
        <v>84</v>
      </c>
      <c r="AF40" s="775" t="s">
        <v>84</v>
      </c>
      <c r="AG40" s="831" t="s">
        <v>94</v>
      </c>
      <c r="AH40" s="771" t="s">
        <v>94</v>
      </c>
      <c r="AI40" s="137" t="s">
        <v>95</v>
      </c>
      <c r="AJ40" s="137" t="s">
        <v>38</v>
      </c>
      <c r="AK40" s="138" t="s">
        <v>84</v>
      </c>
      <c r="AL40" s="137" t="s">
        <v>81</v>
      </c>
      <c r="AM40" s="137" t="s">
        <v>88</v>
      </c>
      <c r="AN40" s="137" t="s">
        <v>96</v>
      </c>
      <c r="AO40" s="139" t="s">
        <v>97</v>
      </c>
    </row>
    <row r="41" spans="1:41" ht="18" customHeight="1">
      <c r="A41" s="1375"/>
      <c r="B41" s="44" t="s">
        <v>274</v>
      </c>
      <c r="C41" s="17" t="s">
        <v>16</v>
      </c>
      <c r="D41" s="21">
        <v>422380</v>
      </c>
      <c r="E41" s="232"/>
      <c r="F41" s="221"/>
      <c r="G41" s="221"/>
      <c r="H41" s="221"/>
      <c r="I41" s="221"/>
      <c r="J41" s="221"/>
      <c r="K41" s="234"/>
      <c r="L41" s="232"/>
      <c r="M41" s="221"/>
      <c r="N41" s="221"/>
      <c r="O41" s="221"/>
      <c r="P41" s="221"/>
      <c r="Q41" s="221"/>
      <c r="R41" s="222"/>
      <c r="S41" s="230"/>
      <c r="T41" s="221"/>
      <c r="U41" s="221"/>
      <c r="V41" s="221"/>
      <c r="W41" s="207" t="s">
        <v>81</v>
      </c>
      <c r="X41" s="221"/>
      <c r="Y41" s="234"/>
      <c r="Z41" s="778" t="s">
        <v>81</v>
      </c>
      <c r="AA41" s="207" t="s">
        <v>81</v>
      </c>
      <c r="AB41" s="221" t="s">
        <v>208</v>
      </c>
      <c r="AC41" s="207" t="s">
        <v>88</v>
      </c>
      <c r="AD41" s="207" t="s">
        <v>88</v>
      </c>
      <c r="AE41" s="221"/>
      <c r="AF41" s="222"/>
      <c r="AG41" s="230"/>
      <c r="AH41" s="222"/>
      <c r="AI41" s="89" cm="1">
        <f t="array" ref="AI41">SUMPRODUCT(($E$40:$AH$40="HR")*(E41:AH41=""))+SUMPRODUCT((E41:AH41="HR")*1)</f>
        <v>0</v>
      </c>
      <c r="AJ41" s="89" cm="1">
        <f t="array" ref="AJ41">SUMPRODUCT(($E$40:$AH$40="N0")*(E41:AH41=""))+SUMPRODUCT((E41:AH41="N")*1)</f>
        <v>18</v>
      </c>
      <c r="AK41" s="88" cm="1">
        <f t="array" ref="AK41">SUMPRODUCT(($E$40:$AH$40="RD")*(E41:AH41=""))+SUMPRODUCT((E41:AH41="RD")*1)</f>
        <v>6</v>
      </c>
      <c r="AL41" s="89" cm="1">
        <f t="array" ref="AL41">SUMPRODUCT((F41:AH41="AL")*1)</f>
        <v>3</v>
      </c>
      <c r="AM41" s="89" cm="1">
        <f t="array" ref="AM41">SUMPRODUCT((F41:AH41="SH")*1)</f>
        <v>2</v>
      </c>
      <c r="AN41" s="89" cm="1">
        <f t="array" ref="AN41">SUMPRODUCT((E41:AH41="SL")*1)</f>
        <v>0</v>
      </c>
      <c r="AO41" s="140" t="e">
        <f>#REF!-AI41-AJ41-AK41-AL41-AM41-AN41</f>
        <v>#REF!</v>
      </c>
    </row>
    <row r="42" spans="1:41" ht="18" customHeight="1">
      <c r="A42" s="1375"/>
      <c r="B42" s="45" t="s">
        <v>36</v>
      </c>
      <c r="C42" s="16" t="s">
        <v>16</v>
      </c>
      <c r="D42" s="22">
        <v>669557</v>
      </c>
      <c r="E42" s="184" t="s">
        <v>88</v>
      </c>
      <c r="F42" s="183" t="s">
        <v>88</v>
      </c>
      <c r="G42" s="29"/>
      <c r="H42" s="29"/>
      <c r="I42" s="29"/>
      <c r="J42" s="29"/>
      <c r="K42" s="65"/>
      <c r="L42" s="28"/>
      <c r="M42" s="29"/>
      <c r="N42" s="29"/>
      <c r="O42" s="29"/>
      <c r="P42" s="29"/>
      <c r="Q42" s="29"/>
      <c r="R42" s="30"/>
      <c r="S42" s="75"/>
      <c r="T42" s="29"/>
      <c r="U42" s="29"/>
      <c r="V42" s="29"/>
      <c r="W42" s="29"/>
      <c r="X42" s="29"/>
      <c r="Y42" s="65"/>
      <c r="Z42" s="28"/>
      <c r="AA42" s="29"/>
      <c r="AB42" s="29"/>
      <c r="AC42" s="29"/>
      <c r="AD42" s="29"/>
      <c r="AE42" s="29"/>
      <c r="AF42" s="30"/>
      <c r="AG42" s="75"/>
      <c r="AH42" s="30"/>
      <c r="AI42" s="89" cm="1">
        <f t="array" ref="AI42">SUMPRODUCT(($E$40:$AH$40="HR")*(E42:AH42=""))+SUMPRODUCT((E42:AH42="HR")*1)</f>
        <v>5</v>
      </c>
      <c r="AJ42" s="89" cm="1">
        <f t="array" ref="AJ42">SUMPRODUCT(($E$40:$AH$40="N0")*(E42:AH42=""))+SUMPRODUCT((E42:AH42="N")*1)</f>
        <v>17</v>
      </c>
      <c r="AK42" s="88" cm="1">
        <f t="array" ref="AK42">SUMPRODUCT(($E$40:$AH$40="RD")*(E42:AH42=""))+SUMPRODUCT((E42:AH42="RD")*1)</f>
        <v>6</v>
      </c>
      <c r="AL42" s="89" cm="1">
        <f t="array" ref="AL42">SUMPRODUCT((F42:AH42="AL")*1)</f>
        <v>0</v>
      </c>
      <c r="AM42" s="89" cm="1">
        <f t="array" ref="AM42">SUMPRODUCT((F42:AH42="SH")*1)</f>
        <v>1</v>
      </c>
      <c r="AN42" s="89" cm="1">
        <f t="array" ref="AN42">SUMPRODUCT((E42:AH42="SL")*1)</f>
        <v>0</v>
      </c>
      <c r="AO42" s="140" t="e">
        <f>#REF!-AI42-AJ42-AK42-AL42-AM42-AN42</f>
        <v>#REF!</v>
      </c>
    </row>
    <row r="43" spans="1:41" ht="18" customHeight="1">
      <c r="A43" s="1375"/>
      <c r="B43" s="45" t="s">
        <v>275</v>
      </c>
      <c r="C43" s="16" t="s">
        <v>16</v>
      </c>
      <c r="D43" s="22">
        <v>505935</v>
      </c>
      <c r="E43" s="28"/>
      <c r="F43" s="29"/>
      <c r="G43" s="29"/>
      <c r="H43" s="29"/>
      <c r="I43" s="29"/>
      <c r="J43" s="29"/>
      <c r="K43" s="65"/>
      <c r="L43" s="28"/>
      <c r="M43" s="29"/>
      <c r="N43" s="29"/>
      <c r="O43" s="29"/>
      <c r="P43" s="29"/>
      <c r="Q43" s="29"/>
      <c r="R43" s="30"/>
      <c r="S43" s="75"/>
      <c r="T43" s="29"/>
      <c r="U43" s="29"/>
      <c r="V43" s="29"/>
      <c r="W43" s="29"/>
      <c r="X43" s="29"/>
      <c r="Y43" s="65"/>
      <c r="Z43" s="28" t="s">
        <v>94</v>
      </c>
      <c r="AA43" s="29" t="s">
        <v>94</v>
      </c>
      <c r="AB43" s="29" t="s">
        <v>94</v>
      </c>
      <c r="AC43" s="29" t="s">
        <v>94</v>
      </c>
      <c r="AD43" s="183" t="s">
        <v>88</v>
      </c>
      <c r="AE43" s="29"/>
      <c r="AF43" s="30"/>
      <c r="AG43" s="186" t="s">
        <v>81</v>
      </c>
      <c r="AH43" s="185" t="s">
        <v>81</v>
      </c>
      <c r="AI43" s="89" cm="1">
        <f t="array" ref="AI43">SUMPRODUCT(($E$40:$AH$40="HR")*(E43:AH43=""))+SUMPRODUCT((E43:AH43="HR")*1)</f>
        <v>0</v>
      </c>
      <c r="AJ43" s="89" cm="1">
        <f t="array" ref="AJ43">SUMPRODUCT(($E$40:$AH$40="N0")*(E43:AH43=""))+SUMPRODUCT((E43:AH43="N")*1)</f>
        <v>17</v>
      </c>
      <c r="AK43" s="88" cm="1">
        <f t="array" ref="AK43">SUMPRODUCT(($E$40:$AH$40="RD")*(E43:AH43=""))+SUMPRODUCT((E43:AH43="RD")*1)</f>
        <v>6</v>
      </c>
      <c r="AL43" s="89" cm="1">
        <f t="array" ref="AL43">SUMPRODUCT((F43:AH43="AL")*1)</f>
        <v>2</v>
      </c>
      <c r="AM43" s="89" cm="1">
        <f t="array" ref="AM43">SUMPRODUCT((F43:AH43="SH")*1)</f>
        <v>1</v>
      </c>
      <c r="AN43" s="89" cm="1">
        <f t="array" ref="AN43">SUMPRODUCT((E43:AH43="SL")*1)</f>
        <v>0</v>
      </c>
      <c r="AO43" s="140" t="e">
        <f>#REF!-AI43-AJ43-AK43-AL43-AM43-AN43</f>
        <v>#REF!</v>
      </c>
    </row>
    <row r="44" spans="1:41" ht="18" customHeight="1">
      <c r="A44" s="1375"/>
      <c r="B44" s="45" t="s">
        <v>25</v>
      </c>
      <c r="C44" s="16" t="s">
        <v>27</v>
      </c>
      <c r="D44" s="22">
        <v>580058</v>
      </c>
      <c r="E44" s="28"/>
      <c r="F44" s="29"/>
      <c r="G44" s="29"/>
      <c r="H44" s="29"/>
      <c r="I44" s="29"/>
      <c r="J44" s="29"/>
      <c r="K44" s="65"/>
      <c r="L44" s="28"/>
      <c r="M44" s="29"/>
      <c r="N44" s="29"/>
      <c r="O44" s="29"/>
      <c r="P44" s="29"/>
      <c r="Q44" s="29"/>
      <c r="R44" s="30"/>
      <c r="S44" s="75"/>
      <c r="T44" s="29"/>
      <c r="U44" s="29"/>
      <c r="V44" s="29"/>
      <c r="W44" s="29"/>
      <c r="X44" s="29"/>
      <c r="Y44" s="65"/>
      <c r="Z44" s="28"/>
      <c r="AA44" s="29"/>
      <c r="AB44" s="29"/>
      <c r="AC44" s="29"/>
      <c r="AD44" s="29"/>
      <c r="AE44" s="29"/>
      <c r="AF44" s="30"/>
      <c r="AG44" s="186" t="s">
        <v>88</v>
      </c>
      <c r="AH44" s="185" t="s">
        <v>88</v>
      </c>
      <c r="AI44" s="89" cm="1">
        <f t="array" ref="AI44">SUMPRODUCT(($E$40:$AH$40="HR")*(E44:AH44=""))+SUMPRODUCT((E44:AH44="HR")*1)</f>
        <v>5</v>
      </c>
      <c r="AJ44" s="89" cm="1">
        <f t="array" ref="AJ44">SUMPRODUCT(($E$40:$AH$40="N0")*(E44:AH44=""))+SUMPRODUCT((E44:AH44="N")*1)</f>
        <v>17</v>
      </c>
      <c r="AK44" s="88" cm="1">
        <f t="array" ref="AK44">SUMPRODUCT(($E$40:$AH$40="RD")*(E44:AH44=""))+SUMPRODUCT((E44:AH44="RD")*1)</f>
        <v>6</v>
      </c>
      <c r="AL44" s="89" cm="1">
        <f t="array" ref="AL44">SUMPRODUCT((F44:AH44="AL")*1)</f>
        <v>0</v>
      </c>
      <c r="AM44" s="89" cm="1">
        <f t="array" ref="AM44">SUMPRODUCT((F44:AH44="SH")*1)</f>
        <v>2</v>
      </c>
      <c r="AN44" s="89" cm="1">
        <f t="array" ref="AN44">SUMPRODUCT((E44:AH44="SL")*1)</f>
        <v>0</v>
      </c>
      <c r="AO44" s="140" t="e">
        <f>#REF!-AI44-AJ44-AK44-AL44-AM44-AN44</f>
        <v>#REF!</v>
      </c>
    </row>
    <row r="45" spans="1:41" ht="18" customHeight="1">
      <c r="A45" s="1375"/>
      <c r="B45" s="45" t="s">
        <v>37</v>
      </c>
      <c r="C45" s="16" t="s">
        <v>27</v>
      </c>
      <c r="D45" s="22">
        <v>680417</v>
      </c>
      <c r="E45" s="28"/>
      <c r="F45" s="29"/>
      <c r="G45" s="29"/>
      <c r="H45" s="29"/>
      <c r="I45" s="29"/>
      <c r="J45" s="29"/>
      <c r="K45" s="65"/>
      <c r="L45" s="28"/>
      <c r="M45" s="29"/>
      <c r="N45" s="29"/>
      <c r="O45" s="29"/>
      <c r="P45" s="29"/>
      <c r="Q45" s="29"/>
      <c r="R45" s="30"/>
      <c r="S45" s="75"/>
      <c r="T45" s="29"/>
      <c r="U45" s="29"/>
      <c r="V45" s="29"/>
      <c r="W45" s="29"/>
      <c r="X45" s="29"/>
      <c r="Y45" s="65"/>
      <c r="Z45" s="28"/>
      <c r="AA45" s="29"/>
      <c r="AB45" s="29"/>
      <c r="AC45" s="183" t="s">
        <v>88</v>
      </c>
      <c r="AD45" s="183" t="s">
        <v>88</v>
      </c>
      <c r="AE45" s="29"/>
      <c r="AF45" s="30"/>
      <c r="AG45" s="75"/>
      <c r="AH45" s="30"/>
      <c r="AI45" s="89" cm="1">
        <f t="array" ref="AI45">SUMPRODUCT(($E$40:$AH$40="HR")*(E45:AH45=""))+SUMPRODUCT((E45:AH45="HR")*1)</f>
        <v>3</v>
      </c>
      <c r="AJ45" s="89" cm="1">
        <f t="array" ref="AJ45">SUMPRODUCT(($E$40:$AH$40="N0")*(E45:AH45=""))+SUMPRODUCT((E45:AH45="N")*1)</f>
        <v>19</v>
      </c>
      <c r="AK45" s="88" cm="1">
        <f t="array" ref="AK45">SUMPRODUCT(($E$40:$AH$40="RD")*(E45:AH45=""))+SUMPRODUCT((E45:AH45="RD")*1)</f>
        <v>6</v>
      </c>
      <c r="AL45" s="89" cm="1">
        <f t="array" ref="AL45">SUMPRODUCT((F45:AH45="AL")*1)</f>
        <v>0</v>
      </c>
      <c r="AM45" s="89" cm="1">
        <f t="array" ref="AM45">SUMPRODUCT((F45:AH45="SH")*1)</f>
        <v>2</v>
      </c>
      <c r="AN45" s="89" cm="1">
        <f t="array" ref="AN45">SUMPRODUCT((E45:AH45="SL")*1)</f>
        <v>0</v>
      </c>
      <c r="AO45" s="140" t="e">
        <f>#REF!-AI45-AJ45-AK45-AL45-AM45-AN45</f>
        <v>#REF!</v>
      </c>
    </row>
    <row r="46" spans="1:41" ht="18" customHeight="1">
      <c r="A46" s="1375"/>
      <c r="B46" s="120" t="s">
        <v>49</v>
      </c>
      <c r="C46" s="16" t="s">
        <v>27</v>
      </c>
      <c r="D46" s="22">
        <v>684119</v>
      </c>
      <c r="E46" s="28"/>
      <c r="F46" s="29"/>
      <c r="G46" s="29"/>
      <c r="H46" s="29"/>
      <c r="I46" s="29"/>
      <c r="K46" s="65"/>
      <c r="L46" s="28"/>
      <c r="M46" s="29"/>
      <c r="N46" s="29"/>
      <c r="O46" s="29"/>
      <c r="P46" s="29"/>
      <c r="Q46" s="29"/>
      <c r="R46" s="30"/>
      <c r="S46" s="75"/>
      <c r="T46" s="29"/>
      <c r="U46" s="29"/>
      <c r="V46" s="29"/>
      <c r="W46" s="29"/>
      <c r="X46" s="29"/>
      <c r="Y46" s="65"/>
      <c r="Z46" s="28" t="s">
        <v>115</v>
      </c>
      <c r="AA46" s="29" t="s">
        <v>115</v>
      </c>
      <c r="AB46" s="29" t="s">
        <v>115</v>
      </c>
      <c r="AC46" s="29"/>
      <c r="AD46" s="29"/>
      <c r="AE46" s="29"/>
      <c r="AF46" s="30"/>
      <c r="AG46" s="186" t="s">
        <v>81</v>
      </c>
      <c r="AH46" s="185" t="s">
        <v>81</v>
      </c>
      <c r="AI46" s="89" cm="1">
        <f t="array" ref="AI46">SUMPRODUCT(($E$40:$AH$40="HR")*(E46:AH46=""))+SUMPRODUCT((E46:AH46="HR")*1)</f>
        <v>2</v>
      </c>
      <c r="AJ46" s="89" cm="1">
        <f t="array" ref="AJ46">SUMPRODUCT(($E$40:$AH$40="N0")*(E46:AH46=""))+SUMPRODUCT((E46:AH46="N")*1)</f>
        <v>17</v>
      </c>
      <c r="AK46" s="88" cm="1">
        <f t="array" ref="AK46">SUMPRODUCT(($E$40:$AH$40="RD")*(E46:AH46=""))+SUMPRODUCT((E46:AH46="RD")*1)</f>
        <v>6</v>
      </c>
      <c r="AL46" s="89" cm="1">
        <f t="array" ref="AL46">SUMPRODUCT((F46:AH46="AL")*1)</f>
        <v>2</v>
      </c>
      <c r="AM46" s="89" cm="1">
        <f t="array" ref="AM46">SUMPRODUCT((F46:AH46="SH")*1)</f>
        <v>0</v>
      </c>
      <c r="AN46" s="89" cm="1">
        <f t="array" ref="AN46">SUMPRODUCT((E46:AH46="SL")*1)</f>
        <v>0</v>
      </c>
      <c r="AO46" s="140" t="e">
        <f>#REF!-AI46-AJ46-AK46-AL46-AM46-AN46</f>
        <v>#REF!</v>
      </c>
    </row>
    <row r="47" spans="1:41" ht="18" customHeight="1">
      <c r="A47" s="1376"/>
      <c r="B47" s="117" t="s">
        <v>57</v>
      </c>
      <c r="C47" s="104" t="s">
        <v>58</v>
      </c>
      <c r="D47" s="105">
        <v>676140</v>
      </c>
      <c r="E47" s="243"/>
      <c r="F47" s="244"/>
      <c r="G47" s="240"/>
      <c r="H47" s="240"/>
      <c r="I47" s="240"/>
      <c r="J47" s="240"/>
      <c r="K47" s="242"/>
      <c r="L47" s="246"/>
      <c r="M47" s="240"/>
      <c r="N47" s="240"/>
      <c r="O47" s="240"/>
      <c r="P47" s="240"/>
      <c r="Q47" s="240"/>
      <c r="R47" s="238"/>
      <c r="S47" s="239"/>
      <c r="T47" s="240"/>
      <c r="U47" s="240"/>
      <c r="V47" s="240"/>
      <c r="W47" s="240"/>
      <c r="X47" s="240"/>
      <c r="Y47" s="242"/>
      <c r="Z47" s="243" t="s">
        <v>88</v>
      </c>
      <c r="AA47" s="241" t="s">
        <v>88</v>
      </c>
      <c r="AB47" s="240"/>
      <c r="AC47" s="240"/>
      <c r="AD47" s="240"/>
      <c r="AE47" s="240"/>
      <c r="AF47" s="238"/>
      <c r="AG47" s="249"/>
      <c r="AH47" s="248"/>
      <c r="AI47" s="89" cm="1">
        <f t="array" ref="AI47">SUMPRODUCT(($E$40:$AH$40="HR")*(E47:AH47=""))+SUMPRODUCT((E47:AH47="HR")*1)</f>
        <v>3</v>
      </c>
      <c r="AJ47" s="89" cm="1">
        <f t="array" ref="AJ47">SUMPRODUCT(($E$40:$AH$40="N0")*(E47:AH47=""))+SUMPRODUCT((E47:AH47="N")*1)</f>
        <v>19</v>
      </c>
      <c r="AK47" s="88" cm="1">
        <f t="array" ref="AK47">SUMPRODUCT(($E$40:$AH$40="RD")*(E47:AH47=""))+SUMPRODUCT((E47:AH47="RD")*1)</f>
        <v>6</v>
      </c>
      <c r="AL47" s="89" cm="1">
        <f t="array" ref="AL47">SUMPRODUCT((F47:AH47="AL")*1)</f>
        <v>0</v>
      </c>
      <c r="AM47" s="89" cm="1">
        <f t="array" ref="AM47">SUMPRODUCT((F47:AH47="SH")*1)</f>
        <v>2</v>
      </c>
      <c r="AN47" s="89" cm="1">
        <f t="array" ref="AN47">SUMPRODUCT((E47:AH47="SL")*1)</f>
        <v>0</v>
      </c>
      <c r="AO47" s="140" t="e">
        <f>#REF!-AI47-AJ47-AK47-AL47-AM47-AN47</f>
        <v>#REF!</v>
      </c>
    </row>
    <row r="48" spans="1:41" ht="18" customHeight="1">
      <c r="A48" s="1374" t="s">
        <v>125</v>
      </c>
      <c r="B48" s="1361" t="s">
        <v>93</v>
      </c>
      <c r="C48" s="1361"/>
      <c r="D48" s="1361"/>
      <c r="E48" s="773" t="s">
        <v>87</v>
      </c>
      <c r="F48" s="772" t="s">
        <v>87</v>
      </c>
      <c r="G48" s="772" t="s">
        <v>87</v>
      </c>
      <c r="H48" s="772" t="s">
        <v>87</v>
      </c>
      <c r="I48" s="772" t="s">
        <v>87</v>
      </c>
      <c r="J48" s="770" t="s">
        <v>84</v>
      </c>
      <c r="K48" s="760" t="s">
        <v>84</v>
      </c>
      <c r="L48" s="773" t="s">
        <v>87</v>
      </c>
      <c r="M48" s="772" t="s">
        <v>87</v>
      </c>
      <c r="N48" s="772" t="s">
        <v>87</v>
      </c>
      <c r="O48" s="772" t="s">
        <v>87</v>
      </c>
      <c r="P48" s="772" t="s">
        <v>87</v>
      </c>
      <c r="Q48" s="770" t="s">
        <v>84</v>
      </c>
      <c r="R48" s="775" t="s">
        <v>84</v>
      </c>
      <c r="S48" s="844" t="s">
        <v>87</v>
      </c>
      <c r="T48" s="779" t="s">
        <v>87</v>
      </c>
      <c r="U48" s="779" t="s">
        <v>87</v>
      </c>
      <c r="V48" s="779" t="s">
        <v>87</v>
      </c>
      <c r="W48" s="1179" t="s">
        <v>88</v>
      </c>
      <c r="X48" s="770" t="s">
        <v>84</v>
      </c>
      <c r="Y48" s="760" t="s">
        <v>84</v>
      </c>
      <c r="Z48" s="773" t="s">
        <v>87</v>
      </c>
      <c r="AA48" s="772" t="s">
        <v>87</v>
      </c>
      <c r="AB48" s="772" t="s">
        <v>87</v>
      </c>
      <c r="AC48" s="772" t="s">
        <v>87</v>
      </c>
      <c r="AD48" s="772" t="s">
        <v>87</v>
      </c>
      <c r="AE48" s="770" t="s">
        <v>84</v>
      </c>
      <c r="AF48" s="775" t="s">
        <v>84</v>
      </c>
      <c r="AG48" s="831" t="s">
        <v>87</v>
      </c>
      <c r="AH48" s="771" t="s">
        <v>87</v>
      </c>
    </row>
    <row r="49" spans="1:34" ht="18" customHeight="1">
      <c r="A49" s="1376"/>
      <c r="B49" s="753" t="s">
        <v>43</v>
      </c>
      <c r="C49" s="754" t="s">
        <v>45</v>
      </c>
      <c r="D49" s="755">
        <v>555851</v>
      </c>
      <c r="E49" s="651"/>
      <c r="F49" s="649"/>
      <c r="G49" s="649"/>
      <c r="H49" s="649"/>
      <c r="I49" s="649"/>
      <c r="J49" s="649"/>
      <c r="K49" s="650"/>
      <c r="L49" s="1094"/>
      <c r="M49" s="649"/>
      <c r="N49" s="649"/>
      <c r="O49" s="649"/>
      <c r="P49" s="649"/>
      <c r="Q49" s="649"/>
      <c r="R49" s="1095"/>
      <c r="S49" s="1096"/>
      <c r="T49" s="649"/>
      <c r="U49" s="649"/>
      <c r="V49" s="1180" t="s">
        <v>96</v>
      </c>
      <c r="W49" s="649"/>
      <c r="X49" s="649"/>
      <c r="Y49" s="650"/>
      <c r="Z49" s="1094"/>
      <c r="AA49" s="649"/>
      <c r="AB49" s="649"/>
      <c r="AC49" s="649"/>
      <c r="AD49" s="649"/>
      <c r="AE49" s="649"/>
      <c r="AF49" s="1095"/>
      <c r="AG49" s="1096"/>
      <c r="AH49" s="1095"/>
    </row>
    <row r="50" spans="1:34" ht="18" customHeight="1">
      <c r="A50" s="1168" t="s">
        <v>276</v>
      </c>
      <c r="B50" s="1169" t="s">
        <v>277</v>
      </c>
      <c r="C50" s="754" t="s">
        <v>27</v>
      </c>
      <c r="D50" s="755">
        <v>673850</v>
      </c>
      <c r="E50" s="1170"/>
      <c r="F50" s="1171"/>
      <c r="G50" s="1171"/>
      <c r="H50" s="1171"/>
      <c r="I50" s="1171"/>
      <c r="J50" s="1171"/>
      <c r="K50" s="1172"/>
      <c r="L50" s="1173"/>
      <c r="M50" s="1171"/>
      <c r="N50" s="1171"/>
      <c r="O50" s="1171"/>
      <c r="P50" s="1171"/>
      <c r="Q50" s="1171"/>
      <c r="R50" s="1174"/>
      <c r="S50" s="825" t="s">
        <v>95</v>
      </c>
      <c r="T50" s="764" t="s">
        <v>95</v>
      </c>
      <c r="U50" s="764" t="s">
        <v>95</v>
      </c>
      <c r="V50" s="764" t="s">
        <v>95</v>
      </c>
      <c r="W50" s="264" t="s">
        <v>88</v>
      </c>
      <c r="X50" s="764" t="s">
        <v>95</v>
      </c>
      <c r="Y50" s="1175" t="s">
        <v>84</v>
      </c>
      <c r="Z50" s="763" t="s">
        <v>95</v>
      </c>
      <c r="AA50" s="764" t="s">
        <v>95</v>
      </c>
      <c r="AB50" s="764" t="s">
        <v>95</v>
      </c>
      <c r="AC50" s="764" t="s">
        <v>95</v>
      </c>
      <c r="AD50" s="764" t="s">
        <v>95</v>
      </c>
      <c r="AE50" s="824" t="s">
        <v>84</v>
      </c>
      <c r="AF50" s="1176" t="s">
        <v>84</v>
      </c>
      <c r="AG50" s="825" t="s">
        <v>210</v>
      </c>
      <c r="AH50" s="765" t="s">
        <v>95</v>
      </c>
    </row>
    <row r="51" spans="1:34" ht="18" customHeight="1">
      <c r="A51" s="1375" t="s">
        <v>165</v>
      </c>
      <c r="B51" s="1193" t="s">
        <v>250</v>
      </c>
      <c r="C51" s="111" t="s">
        <v>251</v>
      </c>
      <c r="D51" s="112">
        <v>685687</v>
      </c>
      <c r="E51" s="1126" t="s">
        <v>87</v>
      </c>
      <c r="F51" s="1127" t="s">
        <v>131</v>
      </c>
      <c r="G51" s="834" t="s">
        <v>94</v>
      </c>
      <c r="H51" s="834" t="s">
        <v>94</v>
      </c>
      <c r="I51" s="834" t="s">
        <v>94</v>
      </c>
      <c r="J51" s="839" t="s">
        <v>84</v>
      </c>
      <c r="K51" s="1128" t="s">
        <v>84</v>
      </c>
      <c r="L51" s="1132"/>
      <c r="M51" s="1133"/>
      <c r="N51" s="1133"/>
      <c r="O51" s="1133"/>
      <c r="P51" s="1133"/>
      <c r="Q51" s="1133"/>
      <c r="R51" s="1134"/>
      <c r="S51" s="1135"/>
      <c r="T51" s="1133"/>
      <c r="U51" s="1133"/>
      <c r="V51" s="1133"/>
      <c r="W51" s="1133"/>
      <c r="X51" s="1133"/>
      <c r="Y51" s="1136"/>
      <c r="Z51" s="1132"/>
      <c r="AA51" s="1133"/>
      <c r="AB51" s="1133"/>
      <c r="AC51" s="1133"/>
      <c r="AD51" s="1133"/>
      <c r="AE51" s="1133"/>
      <c r="AF51" s="1134"/>
      <c r="AG51" s="1135"/>
      <c r="AH51" s="1134"/>
    </row>
    <row r="52" spans="1:34" ht="18" customHeight="1">
      <c r="A52" s="1375"/>
      <c r="B52" s="1193" t="s">
        <v>278</v>
      </c>
      <c r="C52" s="111" t="s">
        <v>130</v>
      </c>
      <c r="D52" s="112">
        <v>682100</v>
      </c>
      <c r="E52" s="1146" t="s">
        <v>87</v>
      </c>
      <c r="F52" s="1129" t="s">
        <v>87</v>
      </c>
      <c r="G52" s="1129" t="s">
        <v>87</v>
      </c>
      <c r="H52" s="1129" t="s">
        <v>87</v>
      </c>
      <c r="I52" s="1143" t="s">
        <v>131</v>
      </c>
      <c r="J52" s="1088" t="s">
        <v>84</v>
      </c>
      <c r="K52" s="1130" t="s">
        <v>94</v>
      </c>
      <c r="L52" s="1131" t="s">
        <v>94</v>
      </c>
      <c r="M52" s="1129" t="s">
        <v>94</v>
      </c>
      <c r="N52" s="1129" t="s">
        <v>94</v>
      </c>
      <c r="O52" s="1088" t="s">
        <v>84</v>
      </c>
      <c r="P52" s="1143" t="s">
        <v>131</v>
      </c>
      <c r="Q52" s="1129" t="s">
        <v>87</v>
      </c>
      <c r="R52" s="1144" t="s">
        <v>84</v>
      </c>
      <c r="S52" s="1139"/>
      <c r="T52" s="1085"/>
      <c r="U52" s="1085"/>
      <c r="V52" s="1085"/>
      <c r="W52" s="1085"/>
      <c r="X52" s="1085"/>
      <c r="Y52" s="1087"/>
      <c r="Z52" s="1090"/>
      <c r="AA52" s="1085"/>
      <c r="AB52" s="1085"/>
      <c r="AC52" s="1085"/>
      <c r="AD52" s="1085"/>
      <c r="AE52" s="1085"/>
      <c r="AF52" s="1086"/>
      <c r="AG52" s="1139"/>
      <c r="AH52" s="1086"/>
    </row>
    <row r="53" spans="1:34" ht="18" customHeight="1">
      <c r="A53" s="1375"/>
      <c r="B53" s="962" t="s">
        <v>279</v>
      </c>
      <c r="C53" s="111" t="s">
        <v>130</v>
      </c>
      <c r="D53" s="112">
        <v>682095</v>
      </c>
      <c r="E53" s="1155"/>
      <c r="F53" s="1085"/>
      <c r="G53" s="1085"/>
      <c r="H53" s="1085"/>
      <c r="I53" s="1156"/>
      <c r="J53" s="1157"/>
      <c r="K53" s="1087"/>
      <c r="L53" s="1090"/>
      <c r="M53" s="1085"/>
      <c r="N53" s="1085"/>
      <c r="O53" s="1157"/>
      <c r="P53" s="1156"/>
      <c r="Q53" s="1085"/>
      <c r="R53" s="1158"/>
      <c r="S53" s="1159" t="s">
        <v>95</v>
      </c>
      <c r="T53" s="1129" t="s">
        <v>95</v>
      </c>
      <c r="U53" s="1129" t="s">
        <v>95</v>
      </c>
      <c r="V53" s="1129" t="s">
        <v>95</v>
      </c>
      <c r="W53" s="1088" t="s">
        <v>88</v>
      </c>
      <c r="X53" s="1160" t="s">
        <v>95</v>
      </c>
      <c r="Y53" s="1130" t="s">
        <v>84</v>
      </c>
      <c r="Z53" s="1131" t="s">
        <v>95</v>
      </c>
      <c r="AA53" s="1129" t="s">
        <v>95</v>
      </c>
      <c r="AB53" s="1129" t="s">
        <v>280</v>
      </c>
      <c r="AC53" s="1160" t="s">
        <v>95</v>
      </c>
      <c r="AD53" s="1143" t="s">
        <v>131</v>
      </c>
      <c r="AE53" s="1088" t="s">
        <v>84</v>
      </c>
      <c r="AF53" s="1144" t="s">
        <v>84</v>
      </c>
      <c r="AG53" s="1139"/>
      <c r="AH53" s="1086"/>
    </row>
    <row r="54" spans="1:34" ht="18" customHeight="1">
      <c r="A54" s="1375"/>
      <c r="B54" s="962" t="s">
        <v>281</v>
      </c>
      <c r="C54" s="111" t="s">
        <v>133</v>
      </c>
      <c r="D54" s="112">
        <v>685417</v>
      </c>
      <c r="E54" s="1155"/>
      <c r="F54" s="1085"/>
      <c r="G54" s="1085"/>
      <c r="H54" s="1085"/>
      <c r="I54" s="1156"/>
      <c r="J54" s="1157"/>
      <c r="K54" s="1087"/>
      <c r="L54" s="1090"/>
      <c r="M54" s="1085"/>
      <c r="N54" s="1085"/>
      <c r="O54" s="1157"/>
      <c r="P54" s="1156"/>
      <c r="Q54" s="1085"/>
      <c r="R54" s="1158"/>
      <c r="S54" s="1139"/>
      <c r="T54" s="1085"/>
      <c r="U54" s="1085"/>
      <c r="V54" s="1085"/>
      <c r="W54" s="1157"/>
      <c r="X54" s="1182"/>
      <c r="Y54" s="1087"/>
      <c r="Z54" s="1131" t="s">
        <v>95</v>
      </c>
      <c r="AA54" s="1129" t="s">
        <v>95</v>
      </c>
      <c r="AB54" s="1129" t="s">
        <v>95</v>
      </c>
      <c r="AC54" s="1160" t="s">
        <v>95</v>
      </c>
      <c r="AD54" s="1160" t="s">
        <v>95</v>
      </c>
      <c r="AE54" s="1088" t="s">
        <v>84</v>
      </c>
      <c r="AF54" s="1184" t="s">
        <v>94</v>
      </c>
      <c r="AG54" s="1159" t="s">
        <v>94</v>
      </c>
      <c r="AH54" s="1183" t="s">
        <v>94</v>
      </c>
    </row>
    <row r="55" spans="1:34" ht="18" customHeight="1">
      <c r="A55" s="1376"/>
      <c r="B55" s="753" t="s">
        <v>282</v>
      </c>
      <c r="C55" s="754" t="s">
        <v>283</v>
      </c>
      <c r="D55" s="755">
        <v>685487</v>
      </c>
      <c r="E55" s="1140"/>
      <c r="F55" s="1141"/>
      <c r="G55" s="1039"/>
      <c r="H55" s="1039"/>
      <c r="I55" s="1039"/>
      <c r="J55" s="1083"/>
      <c r="K55" s="1142"/>
      <c r="L55" s="1042"/>
      <c r="M55" s="1039"/>
      <c r="N55" s="1039"/>
      <c r="O55" s="1039"/>
      <c r="P55" s="1039"/>
      <c r="Q55" s="1039"/>
      <c r="R55" s="1040"/>
      <c r="S55" s="648" t="s">
        <v>95</v>
      </c>
      <c r="T55" s="646" t="s">
        <v>95</v>
      </c>
      <c r="U55" s="1092" t="s">
        <v>131</v>
      </c>
      <c r="V55" s="646" t="s">
        <v>95</v>
      </c>
      <c r="W55" s="794" t="s">
        <v>88</v>
      </c>
      <c r="X55" s="1091" t="s">
        <v>95</v>
      </c>
      <c r="Y55" s="943" t="s">
        <v>84</v>
      </c>
      <c r="Z55" s="645" t="s">
        <v>95</v>
      </c>
      <c r="AA55" s="646" t="s">
        <v>95</v>
      </c>
      <c r="AB55" s="1092" t="s">
        <v>131</v>
      </c>
      <c r="AC55" s="1091" t="s">
        <v>94</v>
      </c>
      <c r="AD55" s="1091" t="s">
        <v>94</v>
      </c>
      <c r="AE55" s="794" t="s">
        <v>84</v>
      </c>
      <c r="AF55" s="1093" t="s">
        <v>88</v>
      </c>
      <c r="AG55" s="1167" t="s">
        <v>87</v>
      </c>
      <c r="AH55" s="1166" t="s">
        <v>94</v>
      </c>
    </row>
    <row r="56" spans="1:34" ht="18" customHeight="1">
      <c r="A56" s="1137"/>
      <c r="B56" s="1138"/>
      <c r="C56" s="15"/>
      <c r="D56" s="15"/>
      <c r="E56" s="1124"/>
      <c r="F56" s="1125"/>
      <c r="G56" s="328"/>
      <c r="H56" s="328"/>
      <c r="I56" s="328"/>
      <c r="J56" s="327"/>
      <c r="K56" s="327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</row>
    <row r="58" spans="1:34" ht="18" customHeight="1">
      <c r="D58" s="124" t="s">
        <v>123</v>
      </c>
      <c r="E58" s="209"/>
      <c r="F58" s="123" t="s">
        <v>284</v>
      </c>
      <c r="G58" s="209"/>
      <c r="H58" s="209"/>
      <c r="I58" s="209"/>
      <c r="J58" s="209"/>
      <c r="K58" s="209"/>
      <c r="L58" s="209"/>
      <c r="M58" s="209"/>
      <c r="N58" s="209"/>
      <c r="O58" s="209"/>
      <c r="U58" s="124" t="s">
        <v>135</v>
      </c>
      <c r="V58" s="123"/>
      <c r="W58" s="123" t="s">
        <v>285</v>
      </c>
      <c r="X58" s="123"/>
      <c r="Y58" s="123"/>
      <c r="Z58" s="123"/>
      <c r="AA58" s="123"/>
      <c r="AB58" s="123"/>
      <c r="AC58" s="123"/>
      <c r="AD58" s="123"/>
      <c r="AE58" s="135"/>
      <c r="AF58" s="135"/>
      <c r="AG58" s="135"/>
      <c r="AH58" s="135"/>
    </row>
    <row r="59" spans="1:34" ht="18" customHeight="1"/>
    <row r="60" spans="1:34" ht="18.75" customHeight="1">
      <c r="D60" s="124" t="s">
        <v>137</v>
      </c>
      <c r="E60" s="123"/>
      <c r="F60" s="123" t="s">
        <v>252</v>
      </c>
      <c r="G60" s="123"/>
      <c r="H60" s="123"/>
      <c r="I60" s="123"/>
      <c r="J60" s="123"/>
      <c r="K60" s="123"/>
      <c r="L60" s="123"/>
      <c r="M60" s="123"/>
      <c r="U60" s="124" t="s">
        <v>124</v>
      </c>
      <c r="V60" s="123"/>
      <c r="W60" s="123" t="s">
        <v>216</v>
      </c>
      <c r="X60" s="123"/>
      <c r="Y60" s="123"/>
      <c r="Z60" s="123"/>
      <c r="AA60" s="123"/>
      <c r="AB60" s="123"/>
      <c r="AC60" s="123"/>
      <c r="AD60" s="123"/>
    </row>
    <row r="61" spans="1:34" ht="18" customHeight="1"/>
    <row r="62" spans="1:34" ht="18" customHeight="1">
      <c r="D62" s="124" t="s">
        <v>107</v>
      </c>
      <c r="F62" s="123" t="s">
        <v>254</v>
      </c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U62" s="124" t="s">
        <v>140</v>
      </c>
      <c r="W62" s="123" t="s">
        <v>217</v>
      </c>
      <c r="X62" s="123"/>
      <c r="Y62" s="123"/>
      <c r="Z62" s="123"/>
      <c r="AA62" s="123"/>
      <c r="AB62" s="123"/>
      <c r="AC62" s="123"/>
    </row>
    <row r="63" spans="1:34" ht="18" customHeight="1"/>
    <row r="64" spans="1:34" ht="18" customHeight="1">
      <c r="D64" s="124" t="s">
        <v>108</v>
      </c>
      <c r="F64" s="123" t="s">
        <v>286</v>
      </c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U64" s="124" t="s">
        <v>103</v>
      </c>
      <c r="W64" s="123" t="s">
        <v>287</v>
      </c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</row>
    <row r="65" spans="1:40" ht="18" customHeight="1"/>
    <row r="66" spans="1:40" ht="18" customHeight="1" thickBot="1">
      <c r="D66" s="124" t="s">
        <v>105</v>
      </c>
      <c r="F66" s="123" t="s">
        <v>288</v>
      </c>
      <c r="U66" s="124" t="s">
        <v>145</v>
      </c>
      <c r="W66" s="123" t="s">
        <v>200</v>
      </c>
    </row>
    <row r="67" spans="1:40" ht="18" customHeight="1" thickBot="1"/>
    <row r="68" spans="1:40" ht="18" customHeight="1">
      <c r="A68" s="123"/>
      <c r="B68" s="123"/>
      <c r="C68" s="123"/>
      <c r="D68" s="124" t="s">
        <v>122</v>
      </c>
      <c r="E68" s="123"/>
      <c r="F68" s="123" t="s">
        <v>289</v>
      </c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4" t="s">
        <v>115</v>
      </c>
      <c r="W68" s="123" t="s">
        <v>290</v>
      </c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</row>
    <row r="69" spans="1:40" ht="18" customHeight="1"/>
    <row r="70" spans="1:40" ht="18" customHeight="1">
      <c r="D70" s="124" t="s">
        <v>149</v>
      </c>
      <c r="F70" s="123" t="s">
        <v>291</v>
      </c>
      <c r="U70" s="124" t="s">
        <v>208</v>
      </c>
      <c r="W70" s="123" t="s">
        <v>292</v>
      </c>
    </row>
    <row r="72" spans="1:40" ht="18">
      <c r="D72" s="124" t="s">
        <v>230</v>
      </c>
      <c r="F72" s="123" t="s">
        <v>293</v>
      </c>
      <c r="U72" s="124" t="s">
        <v>210</v>
      </c>
      <c r="W72" s="123" t="s">
        <v>294</v>
      </c>
    </row>
    <row r="74" spans="1:40" ht="18">
      <c r="D74" s="124" t="s">
        <v>214</v>
      </c>
      <c r="F74" s="123" t="s">
        <v>295</v>
      </c>
    </row>
    <row r="76" spans="1:40" ht="18" thickTop="1" thickBot="1">
      <c r="D76" s="141" t="s">
        <v>150</v>
      </c>
      <c r="E76" s="62" t="s">
        <v>94</v>
      </c>
      <c r="F76" s="60" t="s">
        <v>94</v>
      </c>
      <c r="G76" s="60" t="s">
        <v>94</v>
      </c>
      <c r="H76" s="60" t="s">
        <v>94</v>
      </c>
      <c r="I76" s="60" t="s">
        <v>94</v>
      </c>
      <c r="J76" s="73" t="s">
        <v>84</v>
      </c>
      <c r="K76" s="61" t="s">
        <v>94</v>
      </c>
      <c r="L76" s="62" t="s">
        <v>94</v>
      </c>
      <c r="M76" s="60" t="s">
        <v>94</v>
      </c>
      <c r="N76" s="60" t="s">
        <v>94</v>
      </c>
      <c r="O76" s="60" t="s">
        <v>94</v>
      </c>
      <c r="P76" s="60" t="s">
        <v>94</v>
      </c>
      <c r="Q76" s="63" t="s">
        <v>84</v>
      </c>
      <c r="R76" s="64" t="s">
        <v>84</v>
      </c>
      <c r="S76" s="129" t="s">
        <v>95</v>
      </c>
      <c r="T76" s="129" t="s">
        <v>95</v>
      </c>
      <c r="U76" s="129" t="s">
        <v>95</v>
      </c>
      <c r="V76" s="129" t="s">
        <v>95</v>
      </c>
      <c r="W76" s="129" t="s">
        <v>95</v>
      </c>
      <c r="X76" s="68" t="s">
        <v>84</v>
      </c>
      <c r="Y76" s="59" t="s">
        <v>84</v>
      </c>
      <c r="Z76" s="62" t="s">
        <v>94</v>
      </c>
      <c r="AA76" s="60" t="s">
        <v>94</v>
      </c>
      <c r="AB76" s="60" t="s">
        <v>94</v>
      </c>
      <c r="AC76" s="60" t="s">
        <v>94</v>
      </c>
      <c r="AD76" s="60" t="s">
        <v>94</v>
      </c>
      <c r="AE76" s="63" t="s">
        <v>84</v>
      </c>
      <c r="AF76" s="60" t="s">
        <v>94</v>
      </c>
      <c r="AG76" s="60" t="s">
        <v>94</v>
      </c>
      <c r="AH76" s="74"/>
    </row>
    <row r="77" spans="1:40" ht="17.5" thickBot="1">
      <c r="D77" s="142" t="s">
        <v>151</v>
      </c>
      <c r="E77" s="311">
        <f>COUNTBLANK(E19:E24)</f>
        <v>1</v>
      </c>
      <c r="F77" s="311">
        <f t="shared" ref="F77:AG77" si="0">COUNTBLANK(F19:F24)</f>
        <v>2</v>
      </c>
      <c r="G77" s="311">
        <f t="shared" si="0"/>
        <v>3</v>
      </c>
      <c r="H77" s="311">
        <f t="shared" si="0"/>
        <v>2</v>
      </c>
      <c r="I77" s="311">
        <f t="shared" si="0"/>
        <v>2</v>
      </c>
      <c r="J77" s="311">
        <f t="shared" si="0"/>
        <v>5</v>
      </c>
      <c r="K77" s="311">
        <f t="shared" si="0"/>
        <v>6</v>
      </c>
      <c r="L77" s="311">
        <f t="shared" si="0"/>
        <v>6</v>
      </c>
      <c r="M77" s="311">
        <f t="shared" si="0"/>
        <v>6</v>
      </c>
      <c r="N77" s="311">
        <f t="shared" si="0"/>
        <v>6</v>
      </c>
      <c r="O77" s="311">
        <f t="shared" si="0"/>
        <v>6</v>
      </c>
      <c r="P77" s="311">
        <f t="shared" si="0"/>
        <v>6</v>
      </c>
      <c r="Q77" s="311">
        <f t="shared" si="0"/>
        <v>6</v>
      </c>
      <c r="R77" s="311">
        <f t="shared" si="0"/>
        <v>5</v>
      </c>
      <c r="S77" s="311">
        <f t="shared" si="0"/>
        <v>6</v>
      </c>
      <c r="T77" s="311">
        <f t="shared" si="0"/>
        <v>6</v>
      </c>
      <c r="U77" s="311">
        <f t="shared" si="0"/>
        <v>6</v>
      </c>
      <c r="V77" s="311">
        <f t="shared" si="0"/>
        <v>6</v>
      </c>
      <c r="W77" s="311">
        <f t="shared" si="0"/>
        <v>6</v>
      </c>
      <c r="X77" s="311">
        <f t="shared" si="0"/>
        <v>6</v>
      </c>
      <c r="Y77" s="311">
        <f t="shared" si="0"/>
        <v>6</v>
      </c>
      <c r="Z77" s="311">
        <f t="shared" si="0"/>
        <v>5</v>
      </c>
      <c r="AA77" s="311">
        <f t="shared" si="0"/>
        <v>3</v>
      </c>
      <c r="AB77" s="311">
        <f t="shared" si="0"/>
        <v>4</v>
      </c>
      <c r="AC77" s="311">
        <f t="shared" si="0"/>
        <v>3</v>
      </c>
      <c r="AD77" s="311">
        <f t="shared" si="0"/>
        <v>4</v>
      </c>
      <c r="AE77" s="311">
        <f t="shared" si="0"/>
        <v>6</v>
      </c>
      <c r="AF77" s="311">
        <f t="shared" si="0"/>
        <v>6</v>
      </c>
      <c r="AG77" s="311">
        <f t="shared" si="0"/>
        <v>5</v>
      </c>
      <c r="AH77" s="311"/>
    </row>
    <row r="78" spans="1:40" ht="18" thickTop="1" thickBot="1">
      <c r="D78" s="143" t="s">
        <v>150</v>
      </c>
      <c r="E78" s="128" t="s">
        <v>94</v>
      </c>
      <c r="F78" s="70" t="s">
        <v>94</v>
      </c>
      <c r="G78" s="70" t="s">
        <v>94</v>
      </c>
      <c r="H78" s="70" t="s">
        <v>94</v>
      </c>
      <c r="I78" s="70" t="s">
        <v>94</v>
      </c>
      <c r="J78" s="71" t="s">
        <v>84</v>
      </c>
      <c r="K78" s="69" t="s">
        <v>94</v>
      </c>
      <c r="L78" s="77" t="s">
        <v>94</v>
      </c>
      <c r="M78" s="70" t="s">
        <v>94</v>
      </c>
      <c r="N78" s="70" t="s">
        <v>94</v>
      </c>
      <c r="O78" s="70" t="s">
        <v>94</v>
      </c>
      <c r="P78" s="70" t="s">
        <v>94</v>
      </c>
      <c r="Q78" s="68" t="s">
        <v>84</v>
      </c>
      <c r="R78" s="69" t="s">
        <v>94</v>
      </c>
      <c r="S78" s="77" t="s">
        <v>94</v>
      </c>
      <c r="T78" s="70" t="s">
        <v>94</v>
      </c>
      <c r="U78" s="70" t="s">
        <v>94</v>
      </c>
      <c r="V78" s="70" t="s">
        <v>94</v>
      </c>
      <c r="W78" s="70" t="s">
        <v>94</v>
      </c>
      <c r="X78" s="76" t="s">
        <v>84</v>
      </c>
      <c r="Y78" s="59" t="s">
        <v>84</v>
      </c>
      <c r="Z78" s="129" t="s">
        <v>95</v>
      </c>
      <c r="AA78" s="129" t="s">
        <v>95</v>
      </c>
      <c r="AB78" s="129" t="s">
        <v>95</v>
      </c>
      <c r="AC78" s="129" t="s">
        <v>95</v>
      </c>
      <c r="AD78" s="129" t="s">
        <v>95</v>
      </c>
      <c r="AE78" s="68" t="s">
        <v>84</v>
      </c>
      <c r="AF78" s="129" t="s">
        <v>95</v>
      </c>
      <c r="AG78" s="129" t="s">
        <v>95</v>
      </c>
      <c r="AH78" s="129"/>
    </row>
    <row r="79" spans="1:40" ht="17.5" thickBot="1">
      <c r="D79" s="142" t="s">
        <v>152</v>
      </c>
      <c r="E79" s="311">
        <f>COUNTBLANK(E26:E30)</f>
        <v>5</v>
      </c>
      <c r="F79" s="311">
        <f t="shared" ref="F79:AG79" si="1">COUNTBLANK(F26:F30)</f>
        <v>5</v>
      </c>
      <c r="G79" s="311">
        <f t="shared" si="1"/>
        <v>5</v>
      </c>
      <c r="H79" s="311">
        <f t="shared" si="1"/>
        <v>4</v>
      </c>
      <c r="I79" s="311">
        <f t="shared" si="1"/>
        <v>3</v>
      </c>
      <c r="J79" s="311">
        <f t="shared" si="1"/>
        <v>5</v>
      </c>
      <c r="K79" s="311">
        <f t="shared" si="1"/>
        <v>5</v>
      </c>
      <c r="L79" s="311">
        <f t="shared" si="1"/>
        <v>4</v>
      </c>
      <c r="M79" s="311">
        <f t="shared" si="1"/>
        <v>2</v>
      </c>
      <c r="N79" s="311">
        <f t="shared" si="1"/>
        <v>2</v>
      </c>
      <c r="O79" s="311">
        <f t="shared" si="1"/>
        <v>2</v>
      </c>
      <c r="P79" s="311">
        <f t="shared" si="1"/>
        <v>2</v>
      </c>
      <c r="Q79" s="311">
        <f t="shared" si="1"/>
        <v>5</v>
      </c>
      <c r="R79" s="311">
        <f t="shared" si="1"/>
        <v>5</v>
      </c>
      <c r="S79" s="311">
        <f t="shared" si="1"/>
        <v>5</v>
      </c>
      <c r="T79" s="311">
        <f t="shared" si="1"/>
        <v>5</v>
      </c>
      <c r="U79" s="311">
        <f t="shared" si="1"/>
        <v>5</v>
      </c>
      <c r="V79" s="311">
        <f t="shared" si="1"/>
        <v>5</v>
      </c>
      <c r="W79" s="311">
        <f t="shared" si="1"/>
        <v>5</v>
      </c>
      <c r="X79" s="311">
        <f t="shared" si="1"/>
        <v>5</v>
      </c>
      <c r="Y79" s="311">
        <f t="shared" si="1"/>
        <v>5</v>
      </c>
      <c r="Z79" s="311">
        <f t="shared" si="1"/>
        <v>5</v>
      </c>
      <c r="AA79" s="311">
        <f t="shared" si="1"/>
        <v>5</v>
      </c>
      <c r="AB79" s="311">
        <f t="shared" si="1"/>
        <v>5</v>
      </c>
      <c r="AC79" s="311">
        <f t="shared" si="1"/>
        <v>5</v>
      </c>
      <c r="AD79" s="311">
        <f t="shared" si="1"/>
        <v>4</v>
      </c>
      <c r="AE79" s="311">
        <f t="shared" si="1"/>
        <v>5</v>
      </c>
      <c r="AF79" s="311">
        <f t="shared" si="1"/>
        <v>2</v>
      </c>
      <c r="AG79" s="311">
        <f t="shared" si="1"/>
        <v>4</v>
      </c>
      <c r="AH79" s="311"/>
    </row>
    <row r="80" spans="1:40" ht="18" thickTop="1" thickBot="1">
      <c r="D80" s="143" t="s">
        <v>150</v>
      </c>
      <c r="E80" s="129" t="s">
        <v>95</v>
      </c>
      <c r="F80" s="129" t="s">
        <v>95</v>
      </c>
      <c r="G80" s="129" t="s">
        <v>95</v>
      </c>
      <c r="H80" s="129" t="s">
        <v>95</v>
      </c>
      <c r="I80" s="129" t="s">
        <v>95</v>
      </c>
      <c r="J80" s="76" t="s">
        <v>84</v>
      </c>
      <c r="K80" s="59" t="s">
        <v>84</v>
      </c>
      <c r="L80" s="128" t="s">
        <v>94</v>
      </c>
      <c r="M80" s="70" t="s">
        <v>94</v>
      </c>
      <c r="N80" s="70" t="s">
        <v>94</v>
      </c>
      <c r="O80" s="70" t="s">
        <v>94</v>
      </c>
      <c r="P80" s="70" t="s">
        <v>94</v>
      </c>
      <c r="Q80" s="71" t="s">
        <v>84</v>
      </c>
      <c r="R80" s="69" t="s">
        <v>94</v>
      </c>
      <c r="S80" s="77" t="s">
        <v>94</v>
      </c>
      <c r="T80" s="70" t="s">
        <v>94</v>
      </c>
      <c r="U80" s="70" t="s">
        <v>94</v>
      </c>
      <c r="V80" s="70" t="s">
        <v>94</v>
      </c>
      <c r="W80" s="70" t="s">
        <v>94</v>
      </c>
      <c r="X80" s="76" t="s">
        <v>84</v>
      </c>
      <c r="Y80" s="69" t="s">
        <v>94</v>
      </c>
      <c r="Z80" s="77" t="s">
        <v>94</v>
      </c>
      <c r="AA80" s="70" t="s">
        <v>94</v>
      </c>
      <c r="AB80" s="70" t="s">
        <v>94</v>
      </c>
      <c r="AC80" s="70" t="s">
        <v>94</v>
      </c>
      <c r="AD80" s="70" t="s">
        <v>94</v>
      </c>
      <c r="AE80" s="76" t="s">
        <v>84</v>
      </c>
      <c r="AF80" s="70" t="s">
        <v>94</v>
      </c>
      <c r="AG80" s="70" t="s">
        <v>94</v>
      </c>
      <c r="AH80" s="77"/>
    </row>
    <row r="81" spans="4:34" ht="17.5" thickBot="1">
      <c r="D81" s="142" t="s">
        <v>117</v>
      </c>
      <c r="E81" s="311">
        <f t="shared" ref="E81:AG81" si="2">COUNTBLANK(E34:E39)</f>
        <v>4</v>
      </c>
      <c r="F81" s="311">
        <f t="shared" si="2"/>
        <v>4</v>
      </c>
      <c r="G81" s="311">
        <f t="shared" si="2"/>
        <v>3</v>
      </c>
      <c r="H81" s="311">
        <f t="shared" si="2"/>
        <v>4</v>
      </c>
      <c r="I81" s="311">
        <f t="shared" si="2"/>
        <v>4</v>
      </c>
      <c r="J81" s="311">
        <f t="shared" si="2"/>
        <v>6</v>
      </c>
      <c r="K81" s="311">
        <f t="shared" si="2"/>
        <v>4</v>
      </c>
      <c r="L81" s="311">
        <f t="shared" si="2"/>
        <v>4</v>
      </c>
      <c r="M81" s="311">
        <f t="shared" si="2"/>
        <v>4</v>
      </c>
      <c r="N81" s="311">
        <f t="shared" si="2"/>
        <v>3</v>
      </c>
      <c r="O81" s="311">
        <f t="shared" si="2"/>
        <v>4</v>
      </c>
      <c r="P81" s="311">
        <f t="shared" si="2"/>
        <v>4</v>
      </c>
      <c r="Q81" s="311">
        <f t="shared" si="2"/>
        <v>6</v>
      </c>
      <c r="R81" s="311">
        <f t="shared" si="2"/>
        <v>6</v>
      </c>
      <c r="S81" s="311">
        <f t="shared" si="2"/>
        <v>4</v>
      </c>
      <c r="T81" s="311">
        <f t="shared" si="2"/>
        <v>0</v>
      </c>
      <c r="U81" s="311">
        <f t="shared" si="2"/>
        <v>4</v>
      </c>
      <c r="V81" s="311">
        <f t="shared" si="2"/>
        <v>1</v>
      </c>
      <c r="W81" s="311">
        <f t="shared" si="2"/>
        <v>2</v>
      </c>
      <c r="X81" s="311">
        <f t="shared" si="2"/>
        <v>5</v>
      </c>
      <c r="Y81" s="311">
        <f t="shared" si="2"/>
        <v>5</v>
      </c>
      <c r="Z81" s="311">
        <f t="shared" si="2"/>
        <v>6</v>
      </c>
      <c r="AA81" s="311">
        <f t="shared" si="2"/>
        <v>6</v>
      </c>
      <c r="AB81" s="311">
        <f t="shared" si="2"/>
        <v>6</v>
      </c>
      <c r="AC81" s="311">
        <f t="shared" si="2"/>
        <v>5</v>
      </c>
      <c r="AD81" s="311">
        <f t="shared" si="2"/>
        <v>5</v>
      </c>
      <c r="AE81" s="311">
        <f t="shared" si="2"/>
        <v>6</v>
      </c>
      <c r="AF81" s="311">
        <f t="shared" si="2"/>
        <v>5</v>
      </c>
      <c r="AG81" s="311">
        <f t="shared" si="2"/>
        <v>6</v>
      </c>
      <c r="AH81" s="311"/>
    </row>
    <row r="82" spans="4:34" ht="18" thickTop="1" thickBot="1">
      <c r="D82" s="144" t="s">
        <v>150</v>
      </c>
      <c r="E82" s="109" t="s">
        <v>94</v>
      </c>
      <c r="F82" s="110" t="s">
        <v>84</v>
      </c>
      <c r="G82" s="59" t="s">
        <v>84</v>
      </c>
      <c r="H82" s="129" t="s">
        <v>95</v>
      </c>
      <c r="I82" s="129" t="s">
        <v>95</v>
      </c>
      <c r="J82" s="129" t="s">
        <v>95</v>
      </c>
      <c r="K82" s="129" t="s">
        <v>95</v>
      </c>
      <c r="L82" s="129" t="s">
        <v>95</v>
      </c>
      <c r="M82" s="76" t="s">
        <v>84</v>
      </c>
      <c r="N82" s="59" t="s">
        <v>84</v>
      </c>
      <c r="O82" s="128" t="s">
        <v>94</v>
      </c>
      <c r="P82" s="70" t="s">
        <v>94</v>
      </c>
      <c r="Q82" s="70" t="s">
        <v>94</v>
      </c>
      <c r="R82" s="70" t="s">
        <v>94</v>
      </c>
      <c r="S82" s="70" t="s">
        <v>94</v>
      </c>
      <c r="T82" s="71" t="s">
        <v>84</v>
      </c>
      <c r="U82" s="69" t="s">
        <v>94</v>
      </c>
      <c r="V82" s="77" t="s">
        <v>94</v>
      </c>
      <c r="W82" s="70" t="s">
        <v>94</v>
      </c>
      <c r="X82" s="70" t="s">
        <v>94</v>
      </c>
      <c r="Y82" s="70" t="s">
        <v>94</v>
      </c>
      <c r="Z82" s="70" t="s">
        <v>94</v>
      </c>
      <c r="AA82" s="76" t="s">
        <v>84</v>
      </c>
      <c r="AB82" s="69" t="s">
        <v>94</v>
      </c>
      <c r="AC82" s="77" t="s">
        <v>94</v>
      </c>
      <c r="AD82" s="70" t="s">
        <v>94</v>
      </c>
      <c r="AE82" s="69" t="s">
        <v>94</v>
      </c>
      <c r="AF82" s="77" t="s">
        <v>94</v>
      </c>
      <c r="AG82" s="70" t="s">
        <v>94</v>
      </c>
      <c r="AH82" s="66"/>
    </row>
    <row r="83" spans="4:34" ht="17.5" thickBot="1">
      <c r="D83" s="142" t="s">
        <v>119</v>
      </c>
      <c r="E83" s="311">
        <f>COUNTBLANK(E41:E47)</f>
        <v>6</v>
      </c>
      <c r="F83" s="311">
        <f t="shared" ref="F83:AG83" si="3">COUNTBLANK(F41:F47)</f>
        <v>6</v>
      </c>
      <c r="G83" s="311">
        <f t="shared" si="3"/>
        <v>7</v>
      </c>
      <c r="H83" s="311">
        <f t="shared" si="3"/>
        <v>7</v>
      </c>
      <c r="I83" s="311">
        <f t="shared" si="3"/>
        <v>7</v>
      </c>
      <c r="J83" s="311">
        <f t="shared" si="3"/>
        <v>7</v>
      </c>
      <c r="K83" s="311">
        <f t="shared" si="3"/>
        <v>7</v>
      </c>
      <c r="L83" s="311">
        <f t="shared" si="3"/>
        <v>7</v>
      </c>
      <c r="M83" s="311">
        <f t="shared" si="3"/>
        <v>7</v>
      </c>
      <c r="N83" s="311">
        <f t="shared" si="3"/>
        <v>7</v>
      </c>
      <c r="O83" s="311">
        <f t="shared" si="3"/>
        <v>7</v>
      </c>
      <c r="P83" s="311">
        <f t="shared" si="3"/>
        <v>7</v>
      </c>
      <c r="Q83" s="311">
        <f t="shared" si="3"/>
        <v>7</v>
      </c>
      <c r="R83" s="311">
        <f t="shared" si="3"/>
        <v>7</v>
      </c>
      <c r="S83" s="311">
        <f t="shared" si="3"/>
        <v>7</v>
      </c>
      <c r="T83" s="311">
        <f t="shared" si="3"/>
        <v>7</v>
      </c>
      <c r="U83" s="311">
        <f t="shared" si="3"/>
        <v>7</v>
      </c>
      <c r="V83" s="311">
        <f t="shared" si="3"/>
        <v>7</v>
      </c>
      <c r="W83" s="311">
        <f t="shared" si="3"/>
        <v>6</v>
      </c>
      <c r="X83" s="311">
        <f t="shared" si="3"/>
        <v>7</v>
      </c>
      <c r="Y83" s="311">
        <f t="shared" si="3"/>
        <v>7</v>
      </c>
      <c r="Z83" s="311">
        <f t="shared" si="3"/>
        <v>3</v>
      </c>
      <c r="AA83" s="311">
        <f t="shared" si="3"/>
        <v>3</v>
      </c>
      <c r="AB83" s="311">
        <f t="shared" si="3"/>
        <v>4</v>
      </c>
      <c r="AC83" s="311">
        <f t="shared" si="3"/>
        <v>4</v>
      </c>
      <c r="AD83" s="311">
        <f t="shared" si="3"/>
        <v>4</v>
      </c>
      <c r="AE83" s="311">
        <f t="shared" si="3"/>
        <v>7</v>
      </c>
      <c r="AF83" s="311">
        <f t="shared" si="3"/>
        <v>7</v>
      </c>
      <c r="AG83" s="311">
        <f t="shared" si="3"/>
        <v>4</v>
      </c>
      <c r="AH83" s="311"/>
    </row>
  </sheetData>
  <sheetProtection algorithmName="SHA-512" hashValue="/TsQk+zYQ35XKSS8XApJ1iAv9NvEkixSNLc9ts7WnNvIDn0kQdlZVrTCocl36jDN4Zp25HyIeQ4/+OyMgMO6bA==" saltValue="YvL/3alTK4CQO9DhAdrXOw==" spinCount="100000" sheet="1" objects="1" scenarios="1"/>
  <mergeCells count="26">
    <mergeCell ref="A51:A55"/>
    <mergeCell ref="A8:A9"/>
    <mergeCell ref="A10:A11"/>
    <mergeCell ref="A12:A13"/>
    <mergeCell ref="B12:D12"/>
    <mergeCell ref="A14:A15"/>
    <mergeCell ref="B14:D14"/>
    <mergeCell ref="A16:A17"/>
    <mergeCell ref="B16:D16"/>
    <mergeCell ref="A18:A24"/>
    <mergeCell ref="B18:D18"/>
    <mergeCell ref="B25:D25"/>
    <mergeCell ref="A25:A32"/>
    <mergeCell ref="A33:A39"/>
    <mergeCell ref="B33:D33"/>
    <mergeCell ref="A40:A47"/>
    <mergeCell ref="B40:D40"/>
    <mergeCell ref="B48:D48"/>
    <mergeCell ref="A48:A49"/>
    <mergeCell ref="E2:AH2"/>
    <mergeCell ref="E3:AH3"/>
    <mergeCell ref="E4:K4"/>
    <mergeCell ref="L4:R4"/>
    <mergeCell ref="S4:Y4"/>
    <mergeCell ref="Z4:AF4"/>
    <mergeCell ref="AG4:AH4"/>
  </mergeCells>
  <phoneticPr fontId="18" type="noConversion"/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8CECCB83-6521-42F6-91D8-5C978DC3AD0E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00099D95-2B48-4795-A0F8-108C2209B21E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F6832E1A-9A00-4E35-A4FB-329EE9AABFD8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25482108-087A-4830-B9E7-11DC5C981C14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21D87B14-71D5-413D-BDC7-255B04D26D98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FAE95A99-D0B9-4E1F-940B-0D8E0A7DED3B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8957EE91-D73A-4FB2-8339-C16ACD1EC51B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5CA6CDBE-DDFF-4A71-83F6-75476D6F368B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D59A0611-C059-4324-A56D-57B8D517C15C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55D6453E-F5E7-4353-804D-771977FD2535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1A78C217-DE38-4FAE-BDA7-90E84B6E935F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2756D11D-3AA1-4DD6-A3FF-869E0FEBB9E5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58BFF269-AC8F-444B-81BC-C2E2EB5ED3CA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C75F34FC-B446-4CFB-9C1D-571F869B49BC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4E4D893F-F4DB-45A7-8D9F-A7452CA8074E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AFDF968F-588D-4D7F-B793-2D182540C67A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192E8477-12B3-4BE4-8A28-E709CC2E9E2B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EDD9EE8F-FB31-432B-8191-FCD2FFCB6213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2F6DEB7D-996D-4BFE-B93D-47686FB5B632}">
            <xm:f>'OHLR DUAT'!$F$18&gt;2</xm:f>
            <x14:dxf/>
          </x14:cfRule>
          <x14:cfRule type="expression" priority="21" stopIfTrue="1" id="{47490004-46BB-4120-BA66-408FCE80F137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E41421EA-3DA9-4B09-8DCA-869B8ED42413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1B109858-4CE6-478C-B1CD-577CA4AAF7BB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33561C3B-A2FB-443C-8A8C-CF636819DD7A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17F26D69-71FF-4E53-BEB3-433677D9E264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107B992E-0422-4A73-8726-277E7B4AA07D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5796C1B2-9107-4276-8451-06AB4C3B3CC1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60589924-3996-4AE9-BEF1-D4AF0F09BDE6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7F67CDDD-F3BB-4D93-A6E2-2BB013308ED5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8A2DAC45-CF4C-49C9-81E9-BC8E17A1858E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EE8EFAA9-ED9A-4ABB-936D-34EA51A73BA5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CAFBC635-73F5-4EE3-9093-24BDEB8BD633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87EDEB58-6ADD-431C-B1D2-F08D88E83BAE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738357B3-3D42-48E8-BBE5-1FC9E7FE15FE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5BFF9E83-7E38-46FD-9C2A-58532D2FD2F4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D7CDC18D-AA32-4AA7-AF5F-D5CA5251D09F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0" id="{0AF374EE-B259-4BC0-9432-2FD81E9F8508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9388CFAA-EB67-4714-90FD-8300707DF3D3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D995FAF9-CA03-4B2B-8B69-E43860D0E1B1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" id="{1B3E4EE3-8E28-4EBC-ABE8-774F86F99500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CE410B79-73DC-4666-91A3-61FDE6A271A8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07CE4512-6C4B-4A77-A61B-0711C5BA3642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" id="{53CB17E9-1890-42E8-8544-4B4C4ACC4BB4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792FE2B1-9C34-4DBB-9A07-340978C99D29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04CD8F79-9FFE-40BE-BEE9-EAF7ED03FE3A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B32</xm:sqref>
        </x14:conditionalFormatting>
        <x14:conditionalFormatting xmlns:xm="http://schemas.microsoft.com/office/excel/2006/main">
          <x14:cfRule type="expression" priority="62" stopIfTrue="1" id="{B2742922-83F6-466E-B00B-C39E3468D9D6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FB54DF0A-F121-464D-84FB-DFE8ADFA43DF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DD99B4E9-1EF7-40C0-8E50-BE41F3EE4784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19D759CA-F2B1-412F-BB55-D89304D4B7A8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853C7A47-27C0-475E-B4B0-C02F6823E3BD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25AC2EEE-5D87-4515-AC0B-2F2C9A2B0518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7DCCAA37-667C-46D1-BC87-C4130F120D47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64397F4A-376F-46E9-B55A-8121C3C510AE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50811978-DCC1-46C0-889D-52FE938C789F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AAF4DE75-0D3B-4517-9BCD-4C9F5D815D9B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4DF563B9-2571-4CD2-9763-9D686607A7A0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7B55FCCE-146B-45BF-9F54-C84548AF83F9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73D554BF-0F17-4DDB-9A02-D842DCE8B48A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60703070-599E-41A8-8AF4-2BA3716AEE9E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D481C7AA-856D-4FC6-A724-96FB78BEDFD4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B0350456-FF7D-41B6-984F-9FD476E21076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8F8C90D3-C63D-46D4-ABAE-2D1CB619245C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EC3D037D-3E35-4482-88CE-4A265C5F1F36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389D8033-06AB-4EAD-BB29-82729089F2B3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D6CDA184-6EAE-4C98-BE9C-9C4A4E593677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A303E10B-10E3-4FB2-9D03-6F94C51F3B81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1DC0EE2E-AB6B-4F9B-8C37-7C43857C4939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61B277F4-FE41-4440-B8A4-1594C9539371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92D5FC71-3374-424A-9FF5-49A6148D46C2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51C88381-05B8-45A0-8790-D3BA855E7883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05EA8DAB-F865-43DF-840A-2E1DDC75D586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AF395A5C-EC9C-4FE6-8F91-E6A3535FFDC1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52CBD21B-96E7-42D3-AF54-5579010AE97A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392BE1C2-769E-4BF9-A842-72E1ABA9634C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256739A6-2A9B-4DFE-A76B-27B7040D1177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6D994612-1E1C-4FC4-BD8E-E9F40C2DEF9A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97ACEBDD-66D3-4009-A59A-9FB6803FC982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223D5521-3272-42D9-8F73-1D3FA33FDD20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1AC80774-BD0E-4DF6-AB22-AABC9367B8A0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36" id="{3A15E995-851F-4262-8F6F-20B14563EB97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3" id="{AD8FCBD5-4D82-415A-892C-A73D97303D78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6" id="{7CA99874-B8F7-46EC-8315-3390495F6ADA}">
            <xm:f>VLOOKUP(#REF!,'OHLR DUAT'!$B$4:$E$15,4,FALSE)</xm:f>
            <x14:dxf/>
          </x14:cfRule>
          <xm:sqref>E8:AH9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33AB-BF82-494C-A841-A5806487BBD1}">
  <dimension ref="A1:AP96"/>
  <sheetViews>
    <sheetView workbookViewId="0">
      <pane xSplit="4" ySplit="7" topLeftCell="E36" activePane="bottomRight" state="frozen"/>
      <selection pane="topRight"/>
      <selection pane="bottomLeft"/>
      <selection pane="bottomRight" activeCell="S28" sqref="S28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6" width="6.6328125" customWidth="1"/>
    <col min="7" max="7" width="8.26953125" bestFit="1" customWidth="1"/>
    <col min="8" max="16" width="6.6328125" customWidth="1"/>
    <col min="17" max="20" width="8.6328125" bestFit="1" customWidth="1"/>
    <col min="21" max="30" width="6.6328125" customWidth="1"/>
    <col min="31" max="31" width="8.7265625" bestFit="1" customWidth="1"/>
    <col min="32" max="32" width="8.6328125" bestFit="1" customWidth="1"/>
    <col min="33" max="35" width="6.6328125" customWidth="1"/>
  </cols>
  <sheetData>
    <row r="1" spans="1:42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42" ht="20.5" thickBot="1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1300"/>
    </row>
    <row r="3" spans="1:42" ht="18" customHeight="1" thickBot="1">
      <c r="A3" s="19"/>
      <c r="B3" s="43"/>
      <c r="C3" s="19"/>
      <c r="D3" s="127"/>
      <c r="E3" s="1395" t="s">
        <v>296</v>
      </c>
      <c r="F3" s="1396"/>
      <c r="G3" s="1396"/>
      <c r="H3" s="1396"/>
      <c r="I3" s="1396"/>
      <c r="J3" s="1396"/>
      <c r="K3" s="1396"/>
      <c r="L3" s="1396"/>
      <c r="M3" s="1396"/>
      <c r="N3" s="1396"/>
      <c r="O3" s="1396"/>
      <c r="P3" s="1396"/>
      <c r="Q3" s="1396"/>
      <c r="R3" s="1396"/>
      <c r="S3" s="1396"/>
      <c r="T3" s="1396"/>
      <c r="U3" s="1396"/>
      <c r="V3" s="1396"/>
      <c r="W3" s="1396"/>
      <c r="X3" s="1396"/>
      <c r="Y3" s="1396"/>
      <c r="Z3" s="1396"/>
      <c r="AA3" s="1396"/>
      <c r="AB3" s="1396"/>
      <c r="AC3" s="1396"/>
      <c r="AD3" s="1396"/>
      <c r="AE3" s="1396"/>
      <c r="AF3" s="1396"/>
      <c r="AG3" s="1396"/>
      <c r="AH3" s="1396"/>
      <c r="AI3" s="1397"/>
    </row>
    <row r="4" spans="1:42" s="31" customFormat="1" ht="18" customHeight="1" thickBot="1">
      <c r="A4" s="19"/>
      <c r="B4" s="43"/>
      <c r="C4" s="19"/>
      <c r="D4" s="19"/>
      <c r="E4" s="1385" t="s">
        <v>268</v>
      </c>
      <c r="F4" s="1386"/>
      <c r="G4" s="1386"/>
      <c r="H4" s="1386"/>
      <c r="I4" s="1388"/>
      <c r="J4" s="1385" t="s">
        <v>297</v>
      </c>
      <c r="K4" s="1386"/>
      <c r="L4" s="1386"/>
      <c r="M4" s="1386"/>
      <c r="N4" s="1386"/>
      <c r="O4" s="1386"/>
      <c r="P4" s="1388"/>
      <c r="Q4" s="1389" t="s">
        <v>298</v>
      </c>
      <c r="R4" s="1386"/>
      <c r="S4" s="1386"/>
      <c r="T4" s="1386"/>
      <c r="U4" s="1386"/>
      <c r="V4" s="1386"/>
      <c r="W4" s="1387"/>
      <c r="X4" s="1385" t="s">
        <v>299</v>
      </c>
      <c r="Y4" s="1386"/>
      <c r="Z4" s="1386"/>
      <c r="AA4" s="1386"/>
      <c r="AB4" s="1386"/>
      <c r="AC4" s="1386"/>
      <c r="AD4" s="1388"/>
      <c r="AE4" s="1389" t="s">
        <v>300</v>
      </c>
      <c r="AF4" s="1386"/>
      <c r="AG4" s="1386"/>
      <c r="AH4" s="1386"/>
      <c r="AI4" s="1386"/>
    </row>
    <row r="5" spans="1:42" s="31" customFormat="1" ht="18" customHeight="1">
      <c r="A5" s="14"/>
      <c r="B5" s="42"/>
      <c r="C5" s="15"/>
      <c r="D5" s="15"/>
      <c r="E5" s="1153">
        <v>46204</v>
      </c>
      <c r="F5" s="371">
        <v>46205</v>
      </c>
      <c r="G5" s="371">
        <v>46206</v>
      </c>
      <c r="H5" s="371">
        <v>46207</v>
      </c>
      <c r="I5" s="381">
        <v>46208</v>
      </c>
      <c r="J5" s="371">
        <v>46209</v>
      </c>
      <c r="K5" s="371">
        <v>46210</v>
      </c>
      <c r="L5" s="371">
        <v>46211</v>
      </c>
      <c r="M5" s="371">
        <v>46212</v>
      </c>
      <c r="N5" s="371">
        <v>46213</v>
      </c>
      <c r="O5" s="371">
        <v>46214</v>
      </c>
      <c r="P5" s="381">
        <v>46215</v>
      </c>
      <c r="Q5" s="378">
        <v>46216</v>
      </c>
      <c r="R5" s="371">
        <v>46217</v>
      </c>
      <c r="S5" s="371">
        <v>46218</v>
      </c>
      <c r="T5" s="371">
        <v>46219</v>
      </c>
      <c r="U5" s="371">
        <v>46220</v>
      </c>
      <c r="V5" s="371">
        <v>46221</v>
      </c>
      <c r="W5" s="382">
        <v>46222</v>
      </c>
      <c r="X5" s="371">
        <v>46223</v>
      </c>
      <c r="Y5" s="371">
        <v>46224</v>
      </c>
      <c r="Z5" s="371">
        <v>46225</v>
      </c>
      <c r="AA5" s="371">
        <v>46226</v>
      </c>
      <c r="AB5" s="371">
        <v>46227</v>
      </c>
      <c r="AC5" s="371">
        <v>46228</v>
      </c>
      <c r="AD5" s="381">
        <v>46229</v>
      </c>
      <c r="AE5" s="378">
        <v>46230</v>
      </c>
      <c r="AF5" s="371">
        <v>46231</v>
      </c>
      <c r="AG5" s="371">
        <v>46232</v>
      </c>
      <c r="AH5" s="371">
        <v>46233</v>
      </c>
      <c r="AI5" s="371">
        <v>46234</v>
      </c>
    </row>
    <row r="6" spans="1:42" s="31" customFormat="1" ht="18" customHeight="1">
      <c r="A6" s="19"/>
      <c r="B6" s="43"/>
      <c r="C6" s="19"/>
      <c r="D6" s="19"/>
      <c r="E6" s="206" t="s">
        <v>73</v>
      </c>
      <c r="F6" s="35" t="s">
        <v>67</v>
      </c>
      <c r="G6" s="35" t="s">
        <v>68</v>
      </c>
      <c r="H6" s="35" t="s">
        <v>69</v>
      </c>
      <c r="I6" s="36" t="s">
        <v>70</v>
      </c>
      <c r="J6" s="219" t="s">
        <v>71</v>
      </c>
      <c r="K6" s="215" t="s">
        <v>72</v>
      </c>
      <c r="L6" s="215" t="s">
        <v>73</v>
      </c>
      <c r="M6" s="215" t="s">
        <v>67</v>
      </c>
      <c r="N6" s="215" t="s">
        <v>68</v>
      </c>
      <c r="O6" s="215" t="s">
        <v>69</v>
      </c>
      <c r="P6" s="216" t="s">
        <v>70</v>
      </c>
      <c r="Q6" s="217" t="s">
        <v>71</v>
      </c>
      <c r="R6" s="215" t="s">
        <v>72</v>
      </c>
      <c r="S6" s="215" t="s">
        <v>73</v>
      </c>
      <c r="T6" s="215" t="s">
        <v>67</v>
      </c>
      <c r="U6" s="215" t="s">
        <v>68</v>
      </c>
      <c r="V6" s="215" t="s">
        <v>69</v>
      </c>
      <c r="W6" s="218" t="s">
        <v>70</v>
      </c>
      <c r="X6" s="219" t="s">
        <v>71</v>
      </c>
      <c r="Y6" s="215" t="s">
        <v>72</v>
      </c>
      <c r="Z6" s="215" t="s">
        <v>73</v>
      </c>
      <c r="AA6" s="215" t="s">
        <v>67</v>
      </c>
      <c r="AB6" s="215" t="s">
        <v>68</v>
      </c>
      <c r="AC6" s="215" t="s">
        <v>69</v>
      </c>
      <c r="AD6" s="216" t="s">
        <v>70</v>
      </c>
      <c r="AE6" s="217" t="s">
        <v>71</v>
      </c>
      <c r="AF6" s="215" t="s">
        <v>72</v>
      </c>
      <c r="AG6" s="215" t="s">
        <v>73</v>
      </c>
      <c r="AH6" s="215" t="s">
        <v>67</v>
      </c>
      <c r="AI6" s="215" t="s">
        <v>68</v>
      </c>
    </row>
    <row r="7" spans="1:42" ht="18" customHeight="1" thickBot="1">
      <c r="A7" s="24" t="s">
        <v>74</v>
      </c>
      <c r="B7" s="113" t="s">
        <v>75</v>
      </c>
      <c r="C7" s="25" t="s">
        <v>76</v>
      </c>
      <c r="D7" s="26" t="s">
        <v>77</v>
      </c>
      <c r="E7" s="374"/>
      <c r="F7" s="372"/>
      <c r="G7" s="372"/>
      <c r="H7" s="372"/>
      <c r="I7" s="373"/>
      <c r="J7" s="374"/>
      <c r="K7" s="372"/>
      <c r="L7" s="372"/>
      <c r="M7" s="372"/>
      <c r="N7" s="372"/>
      <c r="O7" s="372"/>
      <c r="P7" s="373"/>
      <c r="Q7" s="379"/>
      <c r="R7" s="372"/>
      <c r="S7" s="372"/>
      <c r="T7" s="372"/>
      <c r="U7" s="372"/>
      <c r="V7" s="372"/>
      <c r="W7" s="383"/>
      <c r="X7" s="374"/>
      <c r="Y7" s="372"/>
      <c r="Z7" s="372"/>
      <c r="AA7" s="372"/>
      <c r="AB7" s="372"/>
      <c r="AC7" s="372"/>
      <c r="AD7" s="373"/>
      <c r="AE7" s="379"/>
      <c r="AF7" s="372"/>
      <c r="AG7" s="372"/>
      <c r="AH7" s="372"/>
      <c r="AI7" s="372"/>
    </row>
    <row r="8" spans="1:42" ht="18" customHeight="1">
      <c r="A8" s="1346" t="s">
        <v>78</v>
      </c>
      <c r="B8" s="44" t="s">
        <v>79</v>
      </c>
      <c r="C8" s="17" t="s">
        <v>80</v>
      </c>
      <c r="D8" s="21">
        <v>300179</v>
      </c>
      <c r="E8" s="375"/>
      <c r="F8" s="376"/>
      <c r="G8" s="376"/>
      <c r="H8" s="376"/>
      <c r="I8" s="377"/>
      <c r="J8" s="375"/>
      <c r="K8" s="1148" t="s">
        <v>84</v>
      </c>
      <c r="L8" s="376"/>
      <c r="M8" s="1148" t="s">
        <v>81</v>
      </c>
      <c r="N8" s="376"/>
      <c r="O8" s="376"/>
      <c r="P8" s="377"/>
      <c r="Q8" s="380"/>
      <c r="R8" s="1148" t="s">
        <v>81</v>
      </c>
      <c r="S8" s="1231" t="s">
        <v>83</v>
      </c>
      <c r="T8" s="1148" t="s">
        <v>84</v>
      </c>
      <c r="U8" s="376"/>
      <c r="V8" s="376"/>
      <c r="W8" s="384"/>
      <c r="X8" s="375"/>
      <c r="Y8" s="376"/>
      <c r="Z8" s="376"/>
      <c r="AA8" s="376"/>
      <c r="AB8" s="376"/>
      <c r="AC8" s="376"/>
      <c r="AD8" s="377"/>
      <c r="AE8" s="1147" t="s">
        <v>81</v>
      </c>
      <c r="AF8" s="1148" t="s">
        <v>81</v>
      </c>
      <c r="AG8" s="1148" t="s">
        <v>81</v>
      </c>
      <c r="AH8" s="1148" t="s">
        <v>81</v>
      </c>
      <c r="AI8" s="377"/>
    </row>
    <row r="9" spans="1:42" ht="18" customHeight="1">
      <c r="A9" s="1347"/>
      <c r="B9" s="115" t="s">
        <v>82</v>
      </c>
      <c r="C9" s="20" t="s">
        <v>80</v>
      </c>
      <c r="D9" s="156">
        <v>668695</v>
      </c>
      <c r="E9" s="247"/>
      <c r="F9" s="244"/>
      <c r="G9" s="244"/>
      <c r="H9" s="244"/>
      <c r="I9" s="248"/>
      <c r="J9" s="247"/>
      <c r="K9" s="244"/>
      <c r="L9" s="244"/>
      <c r="M9" s="244" t="s">
        <v>301</v>
      </c>
      <c r="N9" s="241" t="s">
        <v>84</v>
      </c>
      <c r="O9" s="244"/>
      <c r="P9" s="248"/>
      <c r="Q9" s="249"/>
      <c r="R9" s="244"/>
      <c r="S9" s="244"/>
      <c r="T9" s="244"/>
      <c r="U9" s="244"/>
      <c r="V9" s="244"/>
      <c r="W9" s="250"/>
      <c r="X9" s="247"/>
      <c r="Y9" s="244"/>
      <c r="Z9" s="244" t="s">
        <v>83</v>
      </c>
      <c r="AA9" s="241" t="s">
        <v>84</v>
      </c>
      <c r="AB9" s="241" t="s">
        <v>81</v>
      </c>
      <c r="AC9" s="244"/>
      <c r="AD9" s="248"/>
      <c r="AE9" s="249"/>
      <c r="AF9" s="244"/>
      <c r="AG9" s="244"/>
      <c r="AH9" s="244"/>
      <c r="AI9" s="248"/>
    </row>
    <row r="10" spans="1:42" ht="18" customHeight="1" thickTop="1">
      <c r="A10" s="1331" t="s">
        <v>85</v>
      </c>
      <c r="B10" s="90" t="s">
        <v>86</v>
      </c>
      <c r="C10" s="17" t="s">
        <v>13</v>
      </c>
      <c r="D10" s="21">
        <v>231061</v>
      </c>
      <c r="E10" s="592" t="s">
        <v>88</v>
      </c>
      <c r="F10" s="254" t="s">
        <v>87</v>
      </c>
      <c r="G10" s="254" t="s">
        <v>87</v>
      </c>
      <c r="H10" s="255" t="s">
        <v>84</v>
      </c>
      <c r="I10" s="256" t="s">
        <v>38</v>
      </c>
      <c r="J10" s="253" t="s">
        <v>38</v>
      </c>
      <c r="K10" s="254" t="s">
        <v>38</v>
      </c>
      <c r="L10" s="254" t="s">
        <v>38</v>
      </c>
      <c r="M10" s="254" t="s">
        <v>38</v>
      </c>
      <c r="N10" s="254" t="s">
        <v>38</v>
      </c>
      <c r="O10" s="255" t="s">
        <v>84</v>
      </c>
      <c r="P10" s="256" t="s">
        <v>38</v>
      </c>
      <c r="Q10" s="257" t="s">
        <v>38</v>
      </c>
      <c r="R10" s="254" t="s">
        <v>38</v>
      </c>
      <c r="S10" s="254" t="s">
        <v>38</v>
      </c>
      <c r="T10" s="254" t="s">
        <v>38</v>
      </c>
      <c r="U10" s="254" t="s">
        <v>38</v>
      </c>
      <c r="V10" s="255" t="s">
        <v>84</v>
      </c>
      <c r="W10" s="260" t="s">
        <v>84</v>
      </c>
      <c r="X10" s="253" t="s">
        <v>87</v>
      </c>
      <c r="Y10" s="254" t="s">
        <v>87</v>
      </c>
      <c r="Z10" s="254" t="s">
        <v>87</v>
      </c>
      <c r="AA10" s="254" t="s">
        <v>87</v>
      </c>
      <c r="AB10" s="254" t="s">
        <v>87</v>
      </c>
      <c r="AC10" s="255" t="s">
        <v>84</v>
      </c>
      <c r="AD10" s="259" t="s">
        <v>84</v>
      </c>
      <c r="AE10" s="257" t="s">
        <v>87</v>
      </c>
      <c r="AF10" s="254" t="s">
        <v>87</v>
      </c>
      <c r="AG10" s="254" t="s">
        <v>87</v>
      </c>
      <c r="AH10" s="255" t="s">
        <v>81</v>
      </c>
      <c r="AI10" s="259" t="s">
        <v>81</v>
      </c>
    </row>
    <row r="11" spans="1:42" ht="18" customHeight="1">
      <c r="A11" s="1331"/>
      <c r="B11" s="86" t="s">
        <v>24</v>
      </c>
      <c r="C11" s="18" t="s">
        <v>13</v>
      </c>
      <c r="D11" s="1237">
        <v>456489</v>
      </c>
      <c r="E11" s="353" t="s">
        <v>88</v>
      </c>
      <c r="F11" s="267" t="s">
        <v>87</v>
      </c>
      <c r="G11" s="263" t="s">
        <v>87</v>
      </c>
      <c r="H11" s="264" t="s">
        <v>84</v>
      </c>
      <c r="I11" s="265" t="s">
        <v>84</v>
      </c>
      <c r="J11" s="262" t="s">
        <v>87</v>
      </c>
      <c r="K11" s="267" t="s">
        <v>87</v>
      </c>
      <c r="L11" s="267" t="s">
        <v>87</v>
      </c>
      <c r="M11" s="267" t="s">
        <v>87</v>
      </c>
      <c r="N11" s="263" t="s">
        <v>87</v>
      </c>
      <c r="O11" s="264" t="s">
        <v>91</v>
      </c>
      <c r="P11" s="265" t="s">
        <v>84</v>
      </c>
      <c r="Q11" s="1219" t="s">
        <v>83</v>
      </c>
      <c r="R11" s="264" t="s">
        <v>84</v>
      </c>
      <c r="S11" s="267" t="s">
        <v>87</v>
      </c>
      <c r="T11" s="267" t="s">
        <v>87</v>
      </c>
      <c r="U11" s="267" t="s">
        <v>87</v>
      </c>
      <c r="V11" s="264" t="s">
        <v>84</v>
      </c>
      <c r="W11" s="268" t="s">
        <v>84</v>
      </c>
      <c r="X11" s="262" t="s">
        <v>87</v>
      </c>
      <c r="Y11" s="267" t="s">
        <v>87</v>
      </c>
      <c r="Z11" s="267" t="s">
        <v>87</v>
      </c>
      <c r="AA11" s="267" t="s">
        <v>87</v>
      </c>
      <c r="AB11" s="263" t="s">
        <v>87</v>
      </c>
      <c r="AC11" s="267" t="s">
        <v>90</v>
      </c>
      <c r="AD11" s="265" t="s">
        <v>84</v>
      </c>
      <c r="AE11" s="266" t="s">
        <v>87</v>
      </c>
      <c r="AF11" s="264" t="s">
        <v>81</v>
      </c>
      <c r="AG11" s="264" t="s">
        <v>81</v>
      </c>
      <c r="AH11" s="264" t="s">
        <v>81</v>
      </c>
      <c r="AI11" s="1236" t="s">
        <v>81</v>
      </c>
    </row>
    <row r="12" spans="1:42" ht="18" customHeight="1" thickTop="1" thickBot="1">
      <c r="A12" s="1316" t="s">
        <v>92</v>
      </c>
      <c r="B12" s="1334" t="s">
        <v>93</v>
      </c>
      <c r="C12" s="1332"/>
      <c r="D12" s="1332"/>
      <c r="E12" s="398" t="s">
        <v>95</v>
      </c>
      <c r="F12" s="60" t="s">
        <v>95</v>
      </c>
      <c r="G12" s="60" t="s">
        <v>95</v>
      </c>
      <c r="H12" s="60" t="s">
        <v>95</v>
      </c>
      <c r="I12" s="390" t="s">
        <v>84</v>
      </c>
      <c r="J12" s="398" t="s">
        <v>95</v>
      </c>
      <c r="K12" s="60" t="s">
        <v>95</v>
      </c>
      <c r="L12" s="60" t="s">
        <v>95</v>
      </c>
      <c r="M12" s="60" t="s">
        <v>95</v>
      </c>
      <c r="N12" s="60" t="s">
        <v>95</v>
      </c>
      <c r="O12" s="399" t="s">
        <v>84</v>
      </c>
      <c r="P12" s="64" t="s">
        <v>84</v>
      </c>
      <c r="Q12" s="62" t="s">
        <v>94</v>
      </c>
      <c r="R12" s="60" t="s">
        <v>94</v>
      </c>
      <c r="S12" s="60" t="s">
        <v>94</v>
      </c>
      <c r="T12" s="60" t="s">
        <v>94</v>
      </c>
      <c r="U12" s="60" t="s">
        <v>94</v>
      </c>
      <c r="V12" s="399" t="s">
        <v>84</v>
      </c>
      <c r="W12" s="74" t="s">
        <v>94</v>
      </c>
      <c r="X12" s="398" t="s">
        <v>94</v>
      </c>
      <c r="Y12" s="60" t="s">
        <v>94</v>
      </c>
      <c r="Z12" s="60" t="s">
        <v>94</v>
      </c>
      <c r="AA12" s="60" t="s">
        <v>94</v>
      </c>
      <c r="AB12" s="60" t="s">
        <v>94</v>
      </c>
      <c r="AC12" s="399" t="s">
        <v>84</v>
      </c>
      <c r="AD12" s="64" t="s">
        <v>84</v>
      </c>
      <c r="AE12" s="62" t="s">
        <v>95</v>
      </c>
      <c r="AF12" s="60" t="s">
        <v>95</v>
      </c>
      <c r="AG12" s="60" t="s">
        <v>95</v>
      </c>
      <c r="AH12" s="60" t="s">
        <v>95</v>
      </c>
      <c r="AI12" s="61" t="s">
        <v>95</v>
      </c>
      <c r="AJ12" s="137" t="s">
        <v>95</v>
      </c>
      <c r="AK12" s="137" t="s">
        <v>38</v>
      </c>
      <c r="AL12" s="138" t="s">
        <v>84</v>
      </c>
      <c r="AM12" s="137" t="s">
        <v>81</v>
      </c>
      <c r="AN12" s="137" t="s">
        <v>88</v>
      </c>
      <c r="AO12" s="137" t="s">
        <v>96</v>
      </c>
      <c r="AP12" s="139" t="s">
        <v>97</v>
      </c>
    </row>
    <row r="13" spans="1:42" ht="18" customHeight="1" thickBot="1">
      <c r="A13" s="1333"/>
      <c r="B13" s="116" t="s">
        <v>22</v>
      </c>
      <c r="C13" s="53" t="s">
        <v>16</v>
      </c>
      <c r="D13" s="23">
        <v>517968</v>
      </c>
      <c r="E13" s="401"/>
      <c r="F13" s="402"/>
      <c r="G13" s="402"/>
      <c r="H13" s="402"/>
      <c r="I13" s="403" t="s">
        <v>94</v>
      </c>
      <c r="J13" s="1213" t="s">
        <v>84</v>
      </c>
      <c r="K13" s="402"/>
      <c r="L13" s="402"/>
      <c r="M13" s="402"/>
      <c r="N13" s="402"/>
      <c r="O13" s="402"/>
      <c r="P13" s="403"/>
      <c r="Q13" s="1150" t="s">
        <v>88</v>
      </c>
      <c r="R13" s="1149" t="s">
        <v>88</v>
      </c>
      <c r="S13" s="1149" t="s">
        <v>88</v>
      </c>
      <c r="T13" s="1149" t="s">
        <v>164</v>
      </c>
      <c r="U13" s="1149" t="s">
        <v>84</v>
      </c>
      <c r="V13" s="402"/>
      <c r="W13" s="405"/>
      <c r="X13" s="401"/>
      <c r="Y13" s="402"/>
      <c r="Z13" s="402"/>
      <c r="AA13" s="402"/>
      <c r="AB13" s="402"/>
      <c r="AC13" s="402"/>
      <c r="AD13" s="403"/>
      <c r="AE13" s="404"/>
      <c r="AF13" s="402"/>
      <c r="AG13" s="402"/>
      <c r="AH13" s="402"/>
      <c r="AI13" s="403"/>
      <c r="AJ13" s="89" cm="1">
        <f t="array" ref="AJ13">SUMPRODUCT(($E$12:$AI$12="HR")*($E$13:$AI$13=""))+SUMPRODUCT(($E$13:$AI$13="HR")*1)</f>
        <v>13</v>
      </c>
      <c r="AK13" s="89" cm="1">
        <f t="array" ref="AK13">SUMPRODUCT(($E$12:$AI$12="N0")*($E$13:$AI$13=""))+SUMPRODUCT(($E$13:$AI$13="N")*1)</f>
        <v>6</v>
      </c>
      <c r="AL13" s="89" cm="1">
        <f t="array" ref="AL13">SUMPRODUCT(($E$12:$AI$12="RD")*($E$13:$AI$13=""))+SUMPRODUCT(($E$13:$AI$13="RD")*1)</f>
        <v>7</v>
      </c>
      <c r="AM13" s="89" cm="1">
        <f t="array" ref="AM13">SUMPRODUCT(($E$13:$AI$13="AL")*1)</f>
        <v>0</v>
      </c>
      <c r="AN13" s="89" cm="1">
        <f t="array" ref="AN13">SUMPRODUCT(($E$13:$AI$13="SH")*1)</f>
        <v>3</v>
      </c>
      <c r="AO13" s="89" cm="1">
        <f t="array" ref="AO13">SUMPRODUCT(($E$13:$AI$13="SL")*1)</f>
        <v>0</v>
      </c>
      <c r="AP13" s="140" t="e">
        <f>#REF!-AJ13-AK13-AL13-AM13-AN13-AO13</f>
        <v>#REF!</v>
      </c>
    </row>
    <row r="14" spans="1:42" ht="18" customHeight="1" thickTop="1" thickBot="1">
      <c r="A14" s="1316" t="s">
        <v>98</v>
      </c>
      <c r="B14" s="1330" t="s">
        <v>93</v>
      </c>
      <c r="C14" s="1330"/>
      <c r="D14" s="1330"/>
      <c r="E14" s="398" t="s">
        <v>94</v>
      </c>
      <c r="F14" s="60" t="s">
        <v>94</v>
      </c>
      <c r="G14" s="60" t="s">
        <v>94</v>
      </c>
      <c r="H14" s="399" t="s">
        <v>84</v>
      </c>
      <c r="I14" s="61" t="s">
        <v>94</v>
      </c>
      <c r="J14" s="398" t="s">
        <v>94</v>
      </c>
      <c r="K14" s="60" t="s">
        <v>94</v>
      </c>
      <c r="L14" s="60" t="s">
        <v>94</v>
      </c>
      <c r="M14" s="60" t="s">
        <v>94</v>
      </c>
      <c r="N14" s="60" t="s">
        <v>94</v>
      </c>
      <c r="O14" s="399" t="s">
        <v>84</v>
      </c>
      <c r="P14" s="64" t="s">
        <v>84</v>
      </c>
      <c r="Q14" s="62" t="s">
        <v>95</v>
      </c>
      <c r="R14" s="60" t="s">
        <v>95</v>
      </c>
      <c r="S14" s="60" t="s">
        <v>95</v>
      </c>
      <c r="T14" s="60" t="s">
        <v>95</v>
      </c>
      <c r="U14" s="60" t="s">
        <v>95</v>
      </c>
      <c r="V14" s="60" t="s">
        <v>95</v>
      </c>
      <c r="W14" s="391" t="s">
        <v>84</v>
      </c>
      <c r="X14" s="398" t="s">
        <v>95</v>
      </c>
      <c r="Y14" s="60" t="s">
        <v>95</v>
      </c>
      <c r="Z14" s="60" t="s">
        <v>95</v>
      </c>
      <c r="AA14" s="60" t="s">
        <v>95</v>
      </c>
      <c r="AB14" s="60" t="s">
        <v>95</v>
      </c>
      <c r="AC14" s="399" t="s">
        <v>84</v>
      </c>
      <c r="AD14" s="64" t="s">
        <v>84</v>
      </c>
      <c r="AE14" s="62" t="s">
        <v>94</v>
      </c>
      <c r="AF14" s="60" t="s">
        <v>94</v>
      </c>
      <c r="AG14" s="60" t="s">
        <v>94</v>
      </c>
      <c r="AH14" s="60" t="s">
        <v>94</v>
      </c>
      <c r="AI14" s="61" t="s">
        <v>94</v>
      </c>
      <c r="AJ14" s="137" t="s">
        <v>95</v>
      </c>
      <c r="AK14" s="137" t="s">
        <v>38</v>
      </c>
      <c r="AL14" s="138" t="s">
        <v>84</v>
      </c>
      <c r="AM14" s="137" t="s">
        <v>81</v>
      </c>
      <c r="AN14" s="137" t="s">
        <v>88</v>
      </c>
      <c r="AO14" s="137" t="s">
        <v>96</v>
      </c>
      <c r="AP14" s="139" t="s">
        <v>97</v>
      </c>
    </row>
    <row r="15" spans="1:42" ht="18" customHeight="1" thickBot="1">
      <c r="A15" s="1333"/>
      <c r="B15" s="55" t="s">
        <v>46</v>
      </c>
      <c r="C15" s="53" t="s">
        <v>16</v>
      </c>
      <c r="D15" s="54">
        <v>673706</v>
      </c>
      <c r="E15" s="406"/>
      <c r="F15" s="407"/>
      <c r="G15" s="407"/>
      <c r="H15" s="407"/>
      <c r="I15" s="408"/>
      <c r="J15" s="406"/>
      <c r="K15" s="407"/>
      <c r="L15" s="407"/>
      <c r="M15" s="407"/>
      <c r="N15" s="407"/>
      <c r="O15" s="407" t="s">
        <v>38</v>
      </c>
      <c r="P15" s="408"/>
      <c r="Q15" s="409" t="s">
        <v>302</v>
      </c>
      <c r="R15" s="407" t="s">
        <v>303</v>
      </c>
      <c r="S15" s="407"/>
      <c r="T15" s="407" t="s">
        <v>135</v>
      </c>
      <c r="U15" s="407"/>
      <c r="V15" s="407"/>
      <c r="W15" s="410"/>
      <c r="X15" s="1235" t="s">
        <v>96</v>
      </c>
      <c r="Y15" s="407"/>
      <c r="Z15" s="407"/>
      <c r="AA15" s="407"/>
      <c r="AB15" s="1215" t="s">
        <v>84</v>
      </c>
      <c r="AC15" s="407"/>
      <c r="AD15" s="411"/>
      <c r="AE15" s="1230" t="s">
        <v>88</v>
      </c>
      <c r="AF15" s="407"/>
      <c r="AG15" s="407"/>
      <c r="AH15" s="407"/>
      <c r="AI15" s="408"/>
      <c r="AJ15" s="89" cm="1">
        <f t="array" ref="AJ15">SUMPRODUCT(($E$14:$AI$14="HR")*($E$15:$AI$15=""))+SUMPRODUCT(($E$15:$AI$15="HR")*1)</f>
        <v>6</v>
      </c>
      <c r="AK15" s="89" cm="1">
        <f t="array" ref="AK15">SUMPRODUCT(($E$14:$AI$14="N0")*($E$15:$AI$15=""))+SUMPRODUCT(($E$15:$AI$15="N")*1)</f>
        <v>14</v>
      </c>
      <c r="AL15" s="89" cm="1">
        <f t="array" ref="AL15">SUMPRODUCT(($E$14:$AI$14="RD")*($E$15:$AI$15=""))+SUMPRODUCT(($E$15:$AI$15="RD")*1)</f>
        <v>6</v>
      </c>
      <c r="AM15" s="89" cm="1">
        <f t="array" ref="AM15">SUMPRODUCT(($E$15:$AI$15="AL")*1)</f>
        <v>0</v>
      </c>
      <c r="AN15" s="89" cm="1">
        <f t="array" ref="AN15">SUMPRODUCT(($E$15:$AI$15="SH")*1)</f>
        <v>1</v>
      </c>
      <c r="AO15" s="89" cm="1">
        <f t="array" ref="AO15">SUMPRODUCT(($E$15:$AI$15="SL")*1)</f>
        <v>1</v>
      </c>
      <c r="AP15" s="140" t="e">
        <f>#REF!-AJ15-AK15-AL15-AM15-AN15-AO15</f>
        <v>#REF!</v>
      </c>
    </row>
    <row r="16" spans="1:42" ht="18" customHeight="1">
      <c r="A16" s="1335" t="s">
        <v>99</v>
      </c>
      <c r="B16" s="1330" t="s">
        <v>93</v>
      </c>
      <c r="C16" s="1330"/>
      <c r="D16" s="1330"/>
      <c r="E16" s="398" t="s">
        <v>95</v>
      </c>
      <c r="F16" s="60" t="s">
        <v>95</v>
      </c>
      <c r="G16" s="60" t="s">
        <v>95</v>
      </c>
      <c r="H16" s="60" t="s">
        <v>95</v>
      </c>
      <c r="I16" s="64" t="s">
        <v>84</v>
      </c>
      <c r="J16" s="398" t="s">
        <v>95</v>
      </c>
      <c r="K16" s="60" t="s">
        <v>95</v>
      </c>
      <c r="L16" s="60" t="s">
        <v>95</v>
      </c>
      <c r="M16" s="60" t="s">
        <v>95</v>
      </c>
      <c r="N16" s="60" t="s">
        <v>95</v>
      </c>
      <c r="O16" s="399" t="s">
        <v>84</v>
      </c>
      <c r="P16" s="64" t="s">
        <v>84</v>
      </c>
      <c r="Q16" s="62" t="s">
        <v>95</v>
      </c>
      <c r="R16" s="60" t="s">
        <v>95</v>
      </c>
      <c r="S16" s="60" t="s">
        <v>95</v>
      </c>
      <c r="T16" s="60" t="s">
        <v>95</v>
      </c>
      <c r="U16" s="60" t="s">
        <v>95</v>
      </c>
      <c r="V16" s="60" t="s">
        <v>95</v>
      </c>
      <c r="W16" s="63" t="s">
        <v>84</v>
      </c>
      <c r="X16" s="398" t="s">
        <v>95</v>
      </c>
      <c r="Y16" s="60" t="s">
        <v>95</v>
      </c>
      <c r="Z16" s="60" t="s">
        <v>95</v>
      </c>
      <c r="AA16" s="60" t="s">
        <v>95</v>
      </c>
      <c r="AB16" s="60" t="s">
        <v>95</v>
      </c>
      <c r="AC16" s="399" t="s">
        <v>84</v>
      </c>
      <c r="AD16" s="64" t="s">
        <v>84</v>
      </c>
      <c r="AE16" s="62" t="s">
        <v>95</v>
      </c>
      <c r="AF16" s="60" t="s">
        <v>95</v>
      </c>
      <c r="AG16" s="60" t="s">
        <v>95</v>
      </c>
      <c r="AH16" s="60" t="s">
        <v>95</v>
      </c>
      <c r="AI16" s="61" t="s">
        <v>95</v>
      </c>
      <c r="AJ16" s="137" t="s">
        <v>95</v>
      </c>
      <c r="AK16" s="137" t="s">
        <v>38</v>
      </c>
      <c r="AL16" s="138" t="s">
        <v>84</v>
      </c>
      <c r="AM16" s="137" t="s">
        <v>81</v>
      </c>
      <c r="AN16" s="137" t="s">
        <v>88</v>
      </c>
      <c r="AO16" s="137" t="s">
        <v>96</v>
      </c>
      <c r="AP16" s="139" t="s">
        <v>97</v>
      </c>
    </row>
    <row r="17" spans="1:42" ht="18" customHeight="1">
      <c r="A17" s="1336"/>
      <c r="B17" s="56" t="s">
        <v>100</v>
      </c>
      <c r="C17" s="53" t="s">
        <v>16</v>
      </c>
      <c r="D17" s="54">
        <v>469319</v>
      </c>
      <c r="E17" s="401"/>
      <c r="F17" s="402"/>
      <c r="G17" s="402" t="s">
        <v>105</v>
      </c>
      <c r="H17" s="402"/>
      <c r="I17" s="403"/>
      <c r="J17" s="401"/>
      <c r="K17" s="402" t="s">
        <v>304</v>
      </c>
      <c r="L17" s="402"/>
      <c r="M17" s="402"/>
      <c r="N17" s="402"/>
      <c r="O17" s="402"/>
      <c r="P17" s="403" t="s">
        <v>94</v>
      </c>
      <c r="Q17" s="1218" t="s">
        <v>94</v>
      </c>
      <c r="R17" s="402" t="s">
        <v>94</v>
      </c>
      <c r="S17" s="402" t="s">
        <v>94</v>
      </c>
      <c r="T17" s="402" t="s">
        <v>94</v>
      </c>
      <c r="U17" s="402" t="s">
        <v>94</v>
      </c>
      <c r="V17" s="1149" t="s">
        <v>84</v>
      </c>
      <c r="W17" s="1217" t="s">
        <v>84</v>
      </c>
      <c r="X17" s="401"/>
      <c r="Y17" s="402"/>
      <c r="Z17" s="402"/>
      <c r="AA17" s="1149" t="s">
        <v>81</v>
      </c>
      <c r="AB17" s="1149" t="s">
        <v>88</v>
      </c>
      <c r="AC17" s="402"/>
      <c r="AD17" s="403"/>
      <c r="AE17" s="402"/>
      <c r="AF17" s="402"/>
      <c r="AG17" s="402"/>
      <c r="AH17" s="403"/>
      <c r="AI17" s="1103"/>
      <c r="AJ17" s="89" t="e" cm="1">
        <f t="array" ref="AJ17">SUMPRODUCT(($E$16:$AI$16="HR")*($E$17:$AH$17=""))+SUMPRODUCT(($E$17:$AH$17="HR")*1)</f>
        <v>#N/A</v>
      </c>
      <c r="AK17" s="89" t="e" cm="1">
        <f t="array" ref="AK17">SUMPRODUCT(($E$16:$AI$16="N0")*($E$17:$AH$17=""))+SUMPRODUCT(($E$17:$AH$17="N")*1)</f>
        <v>#N/A</v>
      </c>
      <c r="AL17" s="89" t="e" cm="1">
        <f t="array" ref="AL17">SUMPRODUCT(($E$16:$AI$16="RD")*($E$17:$AH$17=""))+SUMPRODUCT(($E$17:$AH$17="RD")*1)</f>
        <v>#N/A</v>
      </c>
      <c r="AM17" s="89" cm="1">
        <f t="array" ref="AM17">SUMPRODUCT(($E$17:$AH$17="AL")*1)</f>
        <v>1</v>
      </c>
      <c r="AN17" s="89" cm="1">
        <f t="array" ref="AN17">SUMPRODUCT(($E$17:$AH$17="SH")*1)</f>
        <v>1</v>
      </c>
      <c r="AO17" s="89" cm="1">
        <f t="array" ref="AO17">SUMPRODUCT(($E$17:$AH$17="SL")*1)</f>
        <v>0</v>
      </c>
      <c r="AP17" s="140" t="e">
        <f>#REF!-AJ17-AK17-AL17-AM17-AN17-AO17</f>
        <v>#REF!</v>
      </c>
    </row>
    <row r="18" spans="1:42" ht="18" customHeight="1">
      <c r="A18" s="1340" t="s">
        <v>101</v>
      </c>
      <c r="B18" s="1343" t="s">
        <v>93</v>
      </c>
      <c r="C18" s="1344"/>
      <c r="D18" s="1345"/>
      <c r="E18" s="394" t="s">
        <v>95</v>
      </c>
      <c r="F18" s="395" t="s">
        <v>95</v>
      </c>
      <c r="G18" s="395" t="s">
        <v>95</v>
      </c>
      <c r="H18" s="389" t="s">
        <v>84</v>
      </c>
      <c r="I18" s="390" t="s">
        <v>84</v>
      </c>
      <c r="J18" s="398" t="s">
        <v>94</v>
      </c>
      <c r="K18" s="60" t="s">
        <v>94</v>
      </c>
      <c r="L18" s="60" t="s">
        <v>94</v>
      </c>
      <c r="M18" s="60" t="s">
        <v>94</v>
      </c>
      <c r="N18" s="60" t="s">
        <v>94</v>
      </c>
      <c r="O18" s="399" t="s">
        <v>84</v>
      </c>
      <c r="P18" s="393" t="s">
        <v>94</v>
      </c>
      <c r="Q18" s="392" t="s">
        <v>94</v>
      </c>
      <c r="R18" s="388" t="s">
        <v>94</v>
      </c>
      <c r="S18" s="388" t="s">
        <v>94</v>
      </c>
      <c r="T18" s="388" t="s">
        <v>94</v>
      </c>
      <c r="U18" s="388" t="s">
        <v>94</v>
      </c>
      <c r="V18" s="399" t="s">
        <v>84</v>
      </c>
      <c r="W18" s="74" t="s">
        <v>94</v>
      </c>
      <c r="X18" s="398" t="s">
        <v>94</v>
      </c>
      <c r="Y18" s="60" t="s">
        <v>94</v>
      </c>
      <c r="Z18" s="60" t="s">
        <v>94</v>
      </c>
      <c r="AA18" s="60" t="s">
        <v>94</v>
      </c>
      <c r="AB18" s="60" t="s">
        <v>94</v>
      </c>
      <c r="AC18" s="399" t="s">
        <v>84</v>
      </c>
      <c r="AD18" s="64" t="s">
        <v>84</v>
      </c>
      <c r="AE18" s="396" t="s">
        <v>95</v>
      </c>
      <c r="AF18" s="395" t="s">
        <v>95</v>
      </c>
      <c r="AG18" s="395" t="s">
        <v>95</v>
      </c>
      <c r="AH18" s="395" t="s">
        <v>95</v>
      </c>
      <c r="AI18" s="400" t="s">
        <v>95</v>
      </c>
      <c r="AJ18" s="137" t="s">
        <v>95</v>
      </c>
      <c r="AK18" s="137" t="s">
        <v>38</v>
      </c>
      <c r="AL18" s="138" t="s">
        <v>84</v>
      </c>
      <c r="AM18" s="137" t="s">
        <v>81</v>
      </c>
      <c r="AN18" s="137" t="s">
        <v>88</v>
      </c>
      <c r="AO18" s="137" t="s">
        <v>96</v>
      </c>
      <c r="AP18" s="139" t="s">
        <v>97</v>
      </c>
    </row>
    <row r="19" spans="1:42" ht="18" customHeight="1">
      <c r="A19" s="1341"/>
      <c r="B19" s="121" t="s">
        <v>14</v>
      </c>
      <c r="C19" s="111" t="s">
        <v>16</v>
      </c>
      <c r="D19" s="112">
        <v>321508</v>
      </c>
      <c r="E19" s="232"/>
      <c r="F19" s="221"/>
      <c r="G19" s="207" t="s">
        <v>88</v>
      </c>
      <c r="H19" s="221"/>
      <c r="I19" s="222"/>
      <c r="J19" s="232"/>
      <c r="K19" s="221"/>
      <c r="L19" s="221"/>
      <c r="M19" s="221"/>
      <c r="N19" s="221"/>
      <c r="O19" s="221"/>
      <c r="P19" s="222"/>
      <c r="Q19" s="230"/>
      <c r="R19" s="221"/>
      <c r="S19" s="207" t="s">
        <v>88</v>
      </c>
      <c r="T19" s="221"/>
      <c r="U19" s="221"/>
      <c r="V19" s="221"/>
      <c r="W19" s="234"/>
      <c r="X19" s="232"/>
      <c r="Y19" s="221"/>
      <c r="Z19" s="221"/>
      <c r="AA19" s="221"/>
      <c r="AB19" s="221"/>
      <c r="AC19" s="221"/>
      <c r="AD19" s="222"/>
      <c r="AE19" s="230" t="s">
        <v>305</v>
      </c>
      <c r="AF19" s="221"/>
      <c r="AG19" s="221"/>
      <c r="AH19" s="221"/>
      <c r="AI19" s="222"/>
      <c r="AJ19" s="89" cm="1">
        <f t="array" ref="AJ19">SUMPRODUCT(($E$18:$AI$18="HR")*(E19:AI19=""))+SUMPRODUCT((E19:AI19="HR")*1)</f>
        <v>6</v>
      </c>
      <c r="AK19" s="89" cm="1">
        <f t="array" ref="AK19">SUMPRODUCT(($E$18:$AI$18="N0")*(E19:AI19=""))+SUMPRODUCT((E19:AI19="N")*1)</f>
        <v>16</v>
      </c>
      <c r="AL19" s="88" cm="1">
        <f t="array" ref="AL19">SUMPRODUCT(($E$18:$AI$18="RD")*(E19:AI19=""))+SUMPRODUCT((E19:AI19="RD")*1)</f>
        <v>6</v>
      </c>
      <c r="AM19" s="89" cm="1">
        <f t="array" ref="AM19">SUMPRODUCT((F19:AI19="AL")*1)</f>
        <v>0</v>
      </c>
      <c r="AN19" s="89" cm="1">
        <f t="array" ref="AN19">SUMPRODUCT((F19:AI19="SH")*1)</f>
        <v>2</v>
      </c>
      <c r="AO19" s="89" cm="1">
        <f t="array" ref="AO19">SUMPRODUCT((E19:AI19="SL")*1)</f>
        <v>0</v>
      </c>
      <c r="AP19" s="140" t="e">
        <f>#REF!-AJ19-AK19-AL19-AM19-AN19-AO19</f>
        <v>#REF!</v>
      </c>
    </row>
    <row r="20" spans="1:42" ht="18" customHeight="1">
      <c r="A20" s="1341"/>
      <c r="B20" s="118" t="s">
        <v>102</v>
      </c>
      <c r="C20" s="99" t="s">
        <v>16</v>
      </c>
      <c r="D20" s="103">
        <v>461865</v>
      </c>
      <c r="E20" s="28"/>
      <c r="F20" s="29"/>
      <c r="G20" s="29"/>
      <c r="H20" s="29"/>
      <c r="I20" s="30"/>
      <c r="J20" s="28"/>
      <c r="K20" s="29"/>
      <c r="L20" s="29"/>
      <c r="M20" s="29"/>
      <c r="N20" s="29"/>
      <c r="O20" s="29"/>
      <c r="P20" s="30"/>
      <c r="Q20" s="593" t="s">
        <v>96</v>
      </c>
      <c r="R20" s="208" t="s">
        <v>96</v>
      </c>
      <c r="S20" s="29"/>
      <c r="T20" s="29"/>
      <c r="U20" s="29"/>
      <c r="V20" s="29"/>
      <c r="W20" s="65"/>
      <c r="X20" s="28"/>
      <c r="Y20" s="29"/>
      <c r="Z20" s="29"/>
      <c r="AA20" s="29"/>
      <c r="AB20" s="29"/>
      <c r="AC20" s="29"/>
      <c r="AD20" s="30"/>
      <c r="AE20" s="75" t="s">
        <v>305</v>
      </c>
      <c r="AF20" s="29"/>
      <c r="AG20" s="29"/>
      <c r="AH20" s="29"/>
      <c r="AI20" s="30"/>
      <c r="AJ20" s="89" cm="1">
        <f t="array" ref="AJ20">SUMPRODUCT(($E$18:$AI$18="HR")*(E20:AI20=""))+SUMPRODUCT((E20:AI20="HR")*1)</f>
        <v>7</v>
      </c>
      <c r="AK20" s="89" cm="1">
        <f t="array" ref="AK20">SUMPRODUCT(($E$18:$AI$18="N0")*(E20:AI20=""))+SUMPRODUCT((E20:AI20="N")*1)</f>
        <v>15</v>
      </c>
      <c r="AL20" s="88" cm="1">
        <f t="array" ref="AL20">SUMPRODUCT(($E$18:$AI$18="RD")*(E20:AI20=""))+SUMPRODUCT((E20:AI20="RD")*1)</f>
        <v>6</v>
      </c>
      <c r="AM20" s="89" cm="1">
        <f t="array" ref="AM20">SUMPRODUCT((F20:AI20="AL")*1)</f>
        <v>0</v>
      </c>
      <c r="AN20" s="89" cm="1">
        <f t="array" ref="AN20">SUMPRODUCT((F20:AI20="SH")*1)</f>
        <v>0</v>
      </c>
      <c r="AO20" s="89" cm="1">
        <f t="array" ref="AO20">SUMPRODUCT((E20:AI20="SL")*1)</f>
        <v>2</v>
      </c>
      <c r="AP20" s="140" t="e">
        <f>#REF!-AJ20-AK20-AL20-AM20-AN20-AO20</f>
        <v>#REF!</v>
      </c>
    </row>
    <row r="21" spans="1:42" ht="18" customHeight="1">
      <c r="A21" s="1341"/>
      <c r="B21" s="101" t="s">
        <v>41</v>
      </c>
      <c r="C21" s="99" t="s">
        <v>27</v>
      </c>
      <c r="D21" s="103">
        <v>676095</v>
      </c>
      <c r="E21" s="28"/>
      <c r="F21" s="29"/>
      <c r="G21" s="29"/>
      <c r="H21" s="29" t="s">
        <v>95</v>
      </c>
      <c r="I21" s="30"/>
      <c r="J21" s="28"/>
      <c r="K21" s="29"/>
      <c r="L21" s="29"/>
      <c r="M21" s="29"/>
      <c r="N21" s="208" t="s">
        <v>96</v>
      </c>
      <c r="O21" s="29"/>
      <c r="P21" s="185" t="s">
        <v>88</v>
      </c>
      <c r="Q21" s="186" t="s">
        <v>88</v>
      </c>
      <c r="R21" s="183" t="s">
        <v>88</v>
      </c>
      <c r="S21" s="183" t="s">
        <v>88</v>
      </c>
      <c r="T21" s="183" t="s">
        <v>84</v>
      </c>
      <c r="U21" s="183" t="s">
        <v>162</v>
      </c>
      <c r="V21" s="29"/>
      <c r="W21" s="235" t="s">
        <v>81</v>
      </c>
      <c r="X21" s="28"/>
      <c r="Y21" s="29"/>
      <c r="Z21" s="29"/>
      <c r="AA21" s="29"/>
      <c r="AB21" s="183" t="s">
        <v>88</v>
      </c>
      <c r="AC21" s="29"/>
      <c r="AD21" s="30"/>
      <c r="AE21" s="75"/>
      <c r="AF21" s="29"/>
      <c r="AG21" s="29"/>
      <c r="AH21" s="29"/>
      <c r="AI21" s="30"/>
      <c r="AJ21" s="89" cm="1">
        <f t="array" ref="AJ21">SUMPRODUCT(($E$18:$AI$18="HR")*(E21:AI21=""))+SUMPRODUCT((E21:AI21="HR")*1)</f>
        <v>9</v>
      </c>
      <c r="AK21" s="89" cm="1">
        <f t="array" ref="AK21">SUMPRODUCT(($E$18:$AI$18="N0")*(E21:AI21=""))+SUMPRODUCT((E21:AI21="N")*1)</f>
        <v>8</v>
      </c>
      <c r="AL21" s="88" cm="1">
        <f t="array" ref="AL21">SUMPRODUCT(($E$18:$AI$18="RD")*(E21:AI21=""))+SUMPRODUCT((E21:AI21="RD")*1)</f>
        <v>6</v>
      </c>
      <c r="AM21" s="89" cm="1">
        <f t="array" ref="AM21">SUMPRODUCT((F21:AI21="AL")*1)</f>
        <v>1</v>
      </c>
      <c r="AN21" s="89" cm="1">
        <f t="array" ref="AN21">SUMPRODUCT((F21:AI21="SH")*1)</f>
        <v>5</v>
      </c>
      <c r="AO21" s="89" cm="1">
        <f t="array" ref="AO21">SUMPRODUCT((E21:AI21="SL")*1)</f>
        <v>1</v>
      </c>
      <c r="AP21" s="140" t="e">
        <f>#REF!-AJ21-AK21-AL21-AM21-AN21-AO21</f>
        <v>#REF!</v>
      </c>
    </row>
    <row r="22" spans="1:42" ht="18" customHeight="1">
      <c r="A22" s="1341"/>
      <c r="B22" s="118" t="s">
        <v>104</v>
      </c>
      <c r="C22" s="99" t="s">
        <v>27</v>
      </c>
      <c r="D22" s="103">
        <v>681383</v>
      </c>
      <c r="E22" s="28"/>
      <c r="F22" s="29"/>
      <c r="G22" s="208" t="s">
        <v>96</v>
      </c>
      <c r="H22" s="29"/>
      <c r="I22" s="30"/>
      <c r="J22" s="28"/>
      <c r="K22" s="29"/>
      <c r="L22" s="29"/>
      <c r="M22" s="183" t="s">
        <v>88</v>
      </c>
      <c r="N22" s="29"/>
      <c r="O22" s="29"/>
      <c r="P22" s="30"/>
      <c r="Q22" s="75"/>
      <c r="R22" s="29"/>
      <c r="S22" s="29"/>
      <c r="T22" s="29"/>
      <c r="U22" s="29"/>
      <c r="V22" s="29"/>
      <c r="W22" s="235" t="s">
        <v>306</v>
      </c>
      <c r="X22" s="184" t="s">
        <v>306</v>
      </c>
      <c r="Y22" s="183" t="s">
        <v>306</v>
      </c>
      <c r="Z22" s="183" t="s">
        <v>306</v>
      </c>
      <c r="AA22" s="183" t="s">
        <v>306</v>
      </c>
      <c r="AB22" s="183" t="s">
        <v>162</v>
      </c>
      <c r="AC22" s="29"/>
      <c r="AD22" s="30"/>
      <c r="AE22" s="75"/>
      <c r="AF22" s="29"/>
      <c r="AG22" s="29"/>
      <c r="AH22" s="29"/>
      <c r="AI22" s="30"/>
      <c r="AJ22" s="89" cm="1">
        <f t="array" ref="AJ22">SUMPRODUCT(($E$18:$AI$18="HR")*(E22:AI22=""))+SUMPRODUCT((E22:AI22="HR")*1)</f>
        <v>7</v>
      </c>
      <c r="AK22" s="89" cm="1">
        <f t="array" ref="AK22">SUMPRODUCT(($E$18:$AI$18="N0")*(E22:AI22=""))+SUMPRODUCT((E22:AI22="N")*1)</f>
        <v>10</v>
      </c>
      <c r="AL22" s="88" cm="1">
        <f t="array" ref="AL22">SUMPRODUCT(($E$18:$AI$18="RD")*(E22:AI22=""))+SUMPRODUCT((E22:AI22="RD")*1)</f>
        <v>6</v>
      </c>
      <c r="AM22" s="89" cm="1">
        <f t="array" ref="AM22">SUMPRODUCT((F22:AI22="AL")*1)</f>
        <v>0</v>
      </c>
      <c r="AN22" s="89" cm="1">
        <f t="array" ref="AN22">SUMPRODUCT((F22:AI22="SH")*1)</f>
        <v>1</v>
      </c>
      <c r="AO22" s="89" cm="1">
        <f t="array" ref="AO22">SUMPRODUCT((E22:AI22="SL")*1)</f>
        <v>1</v>
      </c>
      <c r="AP22" s="140" t="e">
        <f>#REF!-AJ22-AK22-AL22-AM22-AN22-AO22</f>
        <v>#REF!</v>
      </c>
    </row>
    <row r="23" spans="1:42" ht="18" customHeight="1">
      <c r="A23" s="1341"/>
      <c r="B23" s="100" t="s">
        <v>30</v>
      </c>
      <c r="C23" s="99" t="s">
        <v>27</v>
      </c>
      <c r="D23" s="103">
        <v>679417</v>
      </c>
      <c r="E23" s="184" t="s">
        <v>88</v>
      </c>
      <c r="F23" s="29"/>
      <c r="G23" s="29"/>
      <c r="H23" s="29"/>
      <c r="I23" s="30"/>
      <c r="J23" s="28"/>
      <c r="K23" s="29"/>
      <c r="L23" s="29"/>
      <c r="M23" s="29"/>
      <c r="N23" s="208" t="s">
        <v>96</v>
      </c>
      <c r="O23" s="29"/>
      <c r="P23" s="36" t="s">
        <v>96</v>
      </c>
      <c r="Q23" s="593" t="s">
        <v>96</v>
      </c>
      <c r="R23" s="29"/>
      <c r="S23" s="29"/>
      <c r="T23" s="29"/>
      <c r="U23" s="29"/>
      <c r="V23" s="29"/>
      <c r="W23" s="65"/>
      <c r="X23" s="28"/>
      <c r="Y23" s="29"/>
      <c r="Z23" s="29"/>
      <c r="AA23" s="29"/>
      <c r="AB23" s="29"/>
      <c r="AC23" s="29"/>
      <c r="AD23" s="30"/>
      <c r="AE23" s="75"/>
      <c r="AF23" s="29"/>
      <c r="AG23" s="29"/>
      <c r="AH23" s="29"/>
      <c r="AI23" s="30"/>
      <c r="AJ23" s="89" cm="1">
        <f t="array" ref="AJ23">SUMPRODUCT(($E$18:$AI$18="HR")*(E23:AI23=""))+SUMPRODUCT((E23:AI23="HR")*1)</f>
        <v>7</v>
      </c>
      <c r="AK23" s="89" cm="1">
        <f t="array" ref="AK23">SUMPRODUCT(($E$18:$AI$18="N0")*(E23:AI23=""))+SUMPRODUCT((E23:AI23="N")*1)</f>
        <v>14</v>
      </c>
      <c r="AL23" s="88" cm="1">
        <f t="array" ref="AL23">SUMPRODUCT(($E$18:$AI$18="RD")*(E23:AI23=""))+SUMPRODUCT((E23:AI23="RD")*1)</f>
        <v>6</v>
      </c>
      <c r="AM23" s="89" cm="1">
        <f t="array" ref="AM23">SUMPRODUCT((F23:AI23="AL")*1)</f>
        <v>0</v>
      </c>
      <c r="AN23" s="89" cm="1">
        <f t="array" ref="AN23">SUMPRODUCT((F23:AI23="SH")*1)</f>
        <v>0</v>
      </c>
      <c r="AO23" s="89" cm="1">
        <f t="array" ref="AO23">SUMPRODUCT((E23:AI23="SL")*1)</f>
        <v>3</v>
      </c>
      <c r="AP23" s="140" t="e">
        <f>#REF!-AJ23-AK23-AL23-AM23-AN23-AO23</f>
        <v>#REF!</v>
      </c>
    </row>
    <row r="24" spans="1:42" ht="18" customHeight="1">
      <c r="A24" s="1342"/>
      <c r="B24" s="119" t="s">
        <v>48</v>
      </c>
      <c r="C24" s="106" t="s">
        <v>27</v>
      </c>
      <c r="D24" s="157">
        <v>684061</v>
      </c>
      <c r="E24" s="247"/>
      <c r="F24" s="244"/>
      <c r="G24" s="244"/>
      <c r="H24" s="244"/>
      <c r="I24" s="248"/>
      <c r="J24" s="247"/>
      <c r="K24" s="244"/>
      <c r="L24" s="244"/>
      <c r="M24" s="244"/>
      <c r="N24" s="690" t="s">
        <v>96</v>
      </c>
      <c r="O24" s="244"/>
      <c r="P24" s="248"/>
      <c r="Q24" s="249"/>
      <c r="R24" s="244"/>
      <c r="S24" s="244"/>
      <c r="T24" s="244"/>
      <c r="U24" s="244"/>
      <c r="V24" s="244"/>
      <c r="W24" s="250"/>
      <c r="X24" s="247"/>
      <c r="Y24" s="244"/>
      <c r="Z24" s="244"/>
      <c r="AA24" s="244"/>
      <c r="AB24" s="244"/>
      <c r="AC24" s="244"/>
      <c r="AD24" s="248"/>
      <c r="AE24" s="249"/>
      <c r="AF24" s="244" t="s">
        <v>307</v>
      </c>
      <c r="AG24" s="244" t="s">
        <v>308</v>
      </c>
      <c r="AH24" s="244" t="s">
        <v>309</v>
      </c>
      <c r="AI24" s="248" t="s">
        <v>235</v>
      </c>
      <c r="AJ24" s="89" cm="1">
        <f t="array" ref="AJ24">SUMPRODUCT(($E$18:$AI$18="HR")*(E24:AI24=""))+SUMPRODUCT((E24:AI24="HR")*1)</f>
        <v>4</v>
      </c>
      <c r="AK24" s="89" cm="1">
        <f t="array" ref="AK24">SUMPRODUCT(($E$18:$AI$18="N0")*(E24:AI24=""))+SUMPRODUCT((E24:AI24="N")*1)</f>
        <v>16</v>
      </c>
      <c r="AL24" s="88" cm="1">
        <f t="array" ref="AL24">SUMPRODUCT(($E$18:$AI$18="RD")*(E24:AI24=""))+SUMPRODUCT((E24:AI24="RD")*1)</f>
        <v>6</v>
      </c>
      <c r="AM24" s="89" cm="1">
        <f t="array" ref="AM24">SUMPRODUCT((F24:AI24="AL")*1)</f>
        <v>0</v>
      </c>
      <c r="AN24" s="89" cm="1">
        <f t="array" ref="AN24">SUMPRODUCT((F24:AI24="SH")*1)</f>
        <v>0</v>
      </c>
      <c r="AO24" s="89" cm="1">
        <f t="array" ref="AO24">SUMPRODUCT((E24:AI24="SL")*1)</f>
        <v>1</v>
      </c>
      <c r="AP24" s="140" t="e">
        <f>#REF!-AJ24-AK24-AL24-AM24-AN24-AO24</f>
        <v>#REF!</v>
      </c>
    </row>
    <row r="25" spans="1:42" ht="18" customHeight="1">
      <c r="A25" s="1331" t="s">
        <v>109</v>
      </c>
      <c r="B25" s="1330" t="s">
        <v>110</v>
      </c>
      <c r="C25" s="1330"/>
      <c r="D25" s="1330"/>
      <c r="E25" s="387" t="s">
        <v>94</v>
      </c>
      <c r="F25" s="388" t="s">
        <v>94</v>
      </c>
      <c r="G25" s="388" t="s">
        <v>94</v>
      </c>
      <c r="H25" s="389" t="s">
        <v>84</v>
      </c>
      <c r="I25" s="390" t="s">
        <v>84</v>
      </c>
      <c r="J25" s="394" t="s">
        <v>95</v>
      </c>
      <c r="K25" s="395" t="s">
        <v>95</v>
      </c>
      <c r="L25" s="395" t="s">
        <v>95</v>
      </c>
      <c r="M25" s="395" t="s">
        <v>95</v>
      </c>
      <c r="N25" s="395" t="s">
        <v>95</v>
      </c>
      <c r="O25" s="389" t="s">
        <v>84</v>
      </c>
      <c r="P25" s="390" t="s">
        <v>84</v>
      </c>
      <c r="Q25" s="392" t="s">
        <v>94</v>
      </c>
      <c r="R25" s="388" t="s">
        <v>94</v>
      </c>
      <c r="S25" s="388" t="s">
        <v>94</v>
      </c>
      <c r="T25" s="388" t="s">
        <v>94</v>
      </c>
      <c r="U25" s="388" t="s">
        <v>94</v>
      </c>
      <c r="V25" s="389" t="s">
        <v>84</v>
      </c>
      <c r="W25" s="397" t="s">
        <v>94</v>
      </c>
      <c r="X25" s="387" t="s">
        <v>94</v>
      </c>
      <c r="Y25" s="388" t="s">
        <v>94</v>
      </c>
      <c r="Z25" s="388" t="s">
        <v>94</v>
      </c>
      <c r="AA25" s="388" t="s">
        <v>94</v>
      </c>
      <c r="AB25" s="388" t="s">
        <v>94</v>
      </c>
      <c r="AC25" s="389" t="s">
        <v>84</v>
      </c>
      <c r="AD25" s="393" t="s">
        <v>94</v>
      </c>
      <c r="AE25" s="997" t="s">
        <v>94</v>
      </c>
      <c r="AF25" s="998" t="s">
        <v>94</v>
      </c>
      <c r="AG25" s="998" t="s">
        <v>94</v>
      </c>
      <c r="AH25" s="998" t="s">
        <v>94</v>
      </c>
      <c r="AI25" s="1207" t="s">
        <v>94</v>
      </c>
      <c r="AJ25" s="137" t="s">
        <v>95</v>
      </c>
      <c r="AK25" s="137" t="s">
        <v>38</v>
      </c>
      <c r="AL25" s="138" t="s">
        <v>84</v>
      </c>
      <c r="AM25" s="137" t="s">
        <v>81</v>
      </c>
      <c r="AN25" s="137" t="s">
        <v>88</v>
      </c>
      <c r="AO25" s="137" t="s">
        <v>96</v>
      </c>
      <c r="AP25" s="139" t="s">
        <v>97</v>
      </c>
    </row>
    <row r="26" spans="1:42" ht="18" customHeight="1">
      <c r="A26" s="1331"/>
      <c r="B26" s="46" t="s">
        <v>111</v>
      </c>
      <c r="C26" s="27" t="s">
        <v>16</v>
      </c>
      <c r="D26" s="21">
        <v>265691</v>
      </c>
      <c r="E26" s="232"/>
      <c r="F26" s="221"/>
      <c r="G26" s="843" t="s">
        <v>96</v>
      </c>
      <c r="H26" s="221"/>
      <c r="I26" s="222"/>
      <c r="J26" s="232"/>
      <c r="K26" s="221" t="s">
        <v>304</v>
      </c>
      <c r="L26" s="221"/>
      <c r="M26" s="221"/>
      <c r="N26" s="207" t="s">
        <v>88</v>
      </c>
      <c r="O26" s="221"/>
      <c r="P26" s="222"/>
      <c r="Q26" s="221"/>
      <c r="R26" s="221"/>
      <c r="S26" s="221"/>
      <c r="T26" s="221"/>
      <c r="U26" s="221"/>
      <c r="V26" s="221"/>
      <c r="W26" s="1026" t="s">
        <v>88</v>
      </c>
      <c r="X26" s="232"/>
      <c r="Y26" s="221"/>
      <c r="Z26" s="221"/>
      <c r="AA26" s="221"/>
      <c r="AB26" s="221"/>
      <c r="AC26" s="221"/>
      <c r="AD26" s="234"/>
      <c r="AE26" s="1198"/>
      <c r="AF26" s="1199"/>
      <c r="AG26" s="1199"/>
      <c r="AH26" s="1200" t="s">
        <v>88</v>
      </c>
      <c r="AI26" s="1201" t="s">
        <v>88</v>
      </c>
      <c r="AJ26" s="89" cm="1">
        <f t="array" ref="AJ26">SUMPRODUCT(($E$25:$AI$25="HR")*(E26:AI26=""))+SUMPRODUCT((E26:AI26="HR")*1)</f>
        <v>3</v>
      </c>
      <c r="AK26" s="89" cm="1">
        <f t="array" ref="AK26">SUMPRODUCT(($E$25:$AI$25="N0")*(E26:AI26=""))+SUMPRODUCT((E26:AI26="N")*1)</f>
        <v>16</v>
      </c>
      <c r="AL26" s="88" cm="1">
        <f t="array" ref="AL26">SUMPRODUCT(($E$25:$AI$25="RD")*(E26:AI26=""))+SUMPRODUCT((E26:AI26="RD")*1)</f>
        <v>6</v>
      </c>
      <c r="AM26" s="89" cm="1">
        <f t="array" ref="AM26">SUMPRODUCT((F26:AI26="AL")*1)</f>
        <v>0</v>
      </c>
      <c r="AN26" s="89" cm="1">
        <f t="array" ref="AN26">SUMPRODUCT((F26:AI26="SH")*1)</f>
        <v>4</v>
      </c>
      <c r="AO26" s="89" cm="1">
        <f t="array" ref="AO26">SUMPRODUCT((E26:AI26="SL")*1)</f>
        <v>1</v>
      </c>
      <c r="AP26" s="140" t="e">
        <f>#REF!-AJ26-AK26-AL26-AM26-AN26-AO26</f>
        <v>#REF!</v>
      </c>
    </row>
    <row r="27" spans="1:42" ht="18" customHeight="1">
      <c r="A27" s="1331"/>
      <c r="B27" s="125" t="s">
        <v>113</v>
      </c>
      <c r="C27" s="16" t="s">
        <v>16</v>
      </c>
      <c r="D27" s="22">
        <v>422401</v>
      </c>
      <c r="E27" s="28"/>
      <c r="F27" s="29"/>
      <c r="G27" s="29"/>
      <c r="H27" s="29"/>
      <c r="I27" s="30"/>
      <c r="J27" s="28"/>
      <c r="K27" s="29" t="s">
        <v>304</v>
      </c>
      <c r="L27" s="29"/>
      <c r="M27" s="183" t="s">
        <v>88</v>
      </c>
      <c r="N27" s="183" t="s">
        <v>81</v>
      </c>
      <c r="O27" s="29"/>
      <c r="P27" s="30"/>
      <c r="Q27" s="75"/>
      <c r="R27" s="29"/>
      <c r="S27" s="29"/>
      <c r="T27" s="29"/>
      <c r="U27" s="29"/>
      <c r="V27" s="29"/>
      <c r="W27" s="65"/>
      <c r="X27" s="28"/>
      <c r="Y27" s="29"/>
      <c r="Z27" s="29"/>
      <c r="AA27" s="29"/>
      <c r="AB27" s="29"/>
      <c r="AC27" s="29"/>
      <c r="AD27" s="65"/>
      <c r="AE27" s="315"/>
      <c r="AF27" s="29"/>
      <c r="AG27" s="29"/>
      <c r="AH27" s="29"/>
      <c r="AI27" s="742"/>
      <c r="AJ27" s="89" cm="1">
        <f t="array" ref="AJ27">SUMPRODUCT(($E$25:$AI$25="HR")*(E27:AI27=""))+SUMPRODUCT((E27:AI27="HR")*1)</f>
        <v>2</v>
      </c>
      <c r="AK27" s="89" cm="1">
        <f t="array" ref="AK27">SUMPRODUCT(($E$25:$AI$25="N0")*(E27:AI27=""))+SUMPRODUCT((E27:AI27="N")*1)</f>
        <v>20</v>
      </c>
      <c r="AL27" s="88" cm="1">
        <f t="array" ref="AL27">SUMPRODUCT(($E$25:$AI$25="RD")*(E27:AI27=""))+SUMPRODUCT((E27:AI27="RD")*1)</f>
        <v>6</v>
      </c>
      <c r="AM27" s="89" cm="1">
        <f t="array" ref="AM27">SUMPRODUCT((F27:AI27="AL")*1)</f>
        <v>1</v>
      </c>
      <c r="AN27" s="89" cm="1">
        <f t="array" ref="AN27">SUMPRODUCT((F27:AI27="SH")*1)</f>
        <v>1</v>
      </c>
      <c r="AO27" s="89" cm="1">
        <f t="array" ref="AO27">SUMPRODUCT((E27:AI27="SL")*1)</f>
        <v>0</v>
      </c>
      <c r="AP27" s="140" t="e">
        <f>#REF!-AJ27-AK27-AL27-AM27-AN27-AO27</f>
        <v>#REF!</v>
      </c>
    </row>
    <row r="28" spans="1:42" ht="18" customHeight="1">
      <c r="A28" s="1331"/>
      <c r="B28" s="102" t="s">
        <v>29</v>
      </c>
      <c r="C28" s="16" t="s">
        <v>27</v>
      </c>
      <c r="D28" s="22">
        <v>679365</v>
      </c>
      <c r="E28" s="184" t="s">
        <v>81</v>
      </c>
      <c r="F28" s="183" t="s">
        <v>81</v>
      </c>
      <c r="G28" s="183" t="s">
        <v>81</v>
      </c>
      <c r="H28" s="29"/>
      <c r="I28" s="30"/>
      <c r="J28" s="28"/>
      <c r="K28" s="29" t="s">
        <v>304</v>
      </c>
      <c r="L28" s="29"/>
      <c r="M28" s="29"/>
      <c r="N28" s="29"/>
      <c r="O28" s="29"/>
      <c r="P28" s="30"/>
      <c r="Q28" s="75"/>
      <c r="R28" s="29"/>
      <c r="S28" s="29"/>
      <c r="T28" s="29"/>
      <c r="U28" s="29"/>
      <c r="V28" s="29"/>
      <c r="W28" s="65"/>
      <c r="X28" s="28"/>
      <c r="Y28" s="29"/>
      <c r="Z28" s="29"/>
      <c r="AA28" s="29"/>
      <c r="AB28" s="29"/>
      <c r="AC28" s="29"/>
      <c r="AD28" s="65"/>
      <c r="AE28" s="315"/>
      <c r="AF28" s="29"/>
      <c r="AG28" s="29"/>
      <c r="AH28" s="29"/>
      <c r="AI28" s="742"/>
      <c r="AJ28" s="89" cm="1">
        <f t="array" ref="AJ28">SUMPRODUCT(($E$25:$AI$25="HR")*(E28:AI28=""))+SUMPRODUCT((E28:AI28="HR")*1)</f>
        <v>4</v>
      </c>
      <c r="AK28" s="89" cm="1">
        <f t="array" ref="AK28">SUMPRODUCT(($E$25:$AI$25="N0")*(E28:AI28=""))+SUMPRODUCT((E28:AI28="N")*1)</f>
        <v>17</v>
      </c>
      <c r="AL28" s="88" cm="1">
        <f t="array" ref="AL28">SUMPRODUCT(($E$25:$AI$25="RD")*(E28:AI28=""))+SUMPRODUCT((E28:AI28="RD")*1)</f>
        <v>6</v>
      </c>
      <c r="AM28" s="89" cm="1">
        <f t="array" ref="AM28">SUMPRODUCT((F28:AI28="AL")*1)</f>
        <v>2</v>
      </c>
      <c r="AN28" s="89" cm="1">
        <f t="array" ref="AN28">SUMPRODUCT((F28:AI28="SH")*1)</f>
        <v>0</v>
      </c>
      <c r="AO28" s="89" cm="1">
        <f t="array" ref="AO28">SUMPRODUCT((E28:AI28="SL")*1)</f>
        <v>0</v>
      </c>
      <c r="AP28" s="140" t="e">
        <f>#REF!-AJ28-AK28-AL28-AM28-AN28-AO28</f>
        <v>#REF!</v>
      </c>
    </row>
    <row r="29" spans="1:42" ht="18" customHeight="1">
      <c r="A29" s="1331"/>
      <c r="B29" s="97" t="s">
        <v>271</v>
      </c>
      <c r="C29" s="16" t="s">
        <v>27</v>
      </c>
      <c r="D29" s="22">
        <v>680682</v>
      </c>
      <c r="E29" s="28"/>
      <c r="F29" s="29"/>
      <c r="G29" s="29"/>
      <c r="H29" s="29"/>
      <c r="I29" s="30"/>
      <c r="J29" s="28" t="s">
        <v>94</v>
      </c>
      <c r="K29" s="29" t="s">
        <v>94</v>
      </c>
      <c r="L29" s="29" t="s">
        <v>94</v>
      </c>
      <c r="M29" s="29" t="s">
        <v>94</v>
      </c>
      <c r="N29" s="29" t="s">
        <v>94</v>
      </c>
      <c r="O29" s="29"/>
      <c r="P29" s="30"/>
      <c r="Q29" s="75"/>
      <c r="R29" s="29"/>
      <c r="S29" s="29"/>
      <c r="T29" s="29"/>
      <c r="U29" s="208" t="s">
        <v>96</v>
      </c>
      <c r="V29" s="29"/>
      <c r="W29" s="65"/>
      <c r="X29" s="28"/>
      <c r="Y29" s="29"/>
      <c r="Z29" s="29"/>
      <c r="AA29" s="29"/>
      <c r="AB29" s="29"/>
      <c r="AC29" s="29"/>
      <c r="AD29" s="65"/>
      <c r="AE29" s="315"/>
      <c r="AF29" s="29"/>
      <c r="AG29" s="29"/>
      <c r="AH29" s="29"/>
      <c r="AI29" s="742"/>
      <c r="AJ29" s="89" cm="1">
        <f t="array" ref="AJ29">SUMPRODUCT(($E$25:$AI$25="HR")*(E29:AI29=""))+SUMPRODUCT((E29:AI29="HR")*1)</f>
        <v>0</v>
      </c>
      <c r="AK29" s="89" cm="1">
        <f t="array" ref="AK29">SUMPRODUCT(($E$25:$AI$25="N0")*(E29:AI29=""))+SUMPRODUCT((E29:AI29="N")*1)</f>
        <v>19</v>
      </c>
      <c r="AL29" s="88" cm="1">
        <f t="array" ref="AL29">SUMPRODUCT(($E$25:$AI$25="RD")*(E29:AI29=""))+SUMPRODUCT((E29:AI29="RD")*1)</f>
        <v>6</v>
      </c>
      <c r="AM29" s="89" cm="1">
        <f t="array" ref="AM29">SUMPRODUCT((F29:AI29="AL")*1)</f>
        <v>0</v>
      </c>
      <c r="AN29" s="89" cm="1">
        <f t="array" ref="AN29">SUMPRODUCT((F29:AI29="SH")*1)</f>
        <v>0</v>
      </c>
      <c r="AO29" s="89" cm="1">
        <f t="array" ref="AO29">SUMPRODUCT((E29:AI29="SL")*1)</f>
        <v>1</v>
      </c>
      <c r="AP29" s="140" t="e">
        <f>#REF!-AJ29-AK29-AL29-AM29-AN29-AO29</f>
        <v>#REF!</v>
      </c>
    </row>
    <row r="30" spans="1:42" ht="18" customHeight="1">
      <c r="A30" s="1331"/>
      <c r="B30" s="605" t="s">
        <v>51</v>
      </c>
      <c r="C30" s="111" t="s">
        <v>32</v>
      </c>
      <c r="D30" s="600">
        <v>685750</v>
      </c>
      <c r="E30" s="1035" t="s">
        <v>81</v>
      </c>
      <c r="F30" s="321"/>
      <c r="G30" s="321"/>
      <c r="H30" s="321"/>
      <c r="I30" s="322"/>
      <c r="J30" s="320" t="s">
        <v>310</v>
      </c>
      <c r="K30" s="321" t="s">
        <v>310</v>
      </c>
      <c r="L30" s="321" t="s">
        <v>311</v>
      </c>
      <c r="M30" s="321" t="s">
        <v>123</v>
      </c>
      <c r="N30" s="321"/>
      <c r="O30" s="321"/>
      <c r="P30" s="322"/>
      <c r="Q30" s="323"/>
      <c r="R30" s="321"/>
      <c r="S30" s="321"/>
      <c r="T30" s="321"/>
      <c r="U30" s="321"/>
      <c r="V30" s="321"/>
      <c r="W30" s="325"/>
      <c r="X30" s="320"/>
      <c r="Y30" s="321"/>
      <c r="Z30" s="321"/>
      <c r="AA30" s="321"/>
      <c r="AB30" s="321"/>
      <c r="AC30" s="321"/>
      <c r="AD30" s="325"/>
      <c r="AE30" s="1202"/>
      <c r="AF30" s="321"/>
      <c r="AG30" s="321"/>
      <c r="AH30" s="321"/>
      <c r="AI30" s="1203"/>
      <c r="AJ30" s="89" cm="1">
        <f t="array" ref="AJ30">SUMPRODUCT(($E$25:$AI$25="HR")*(E30:AI30=""))+SUMPRODUCT((E30:AI30="HR")*1)</f>
        <v>1</v>
      </c>
      <c r="AK30" s="89" cm="1">
        <f t="array" ref="AK30">SUMPRODUCT(($E$25:$AI$25="N0")*(E30:AI30=""))+SUMPRODUCT((E30:AI30="N")*1)</f>
        <v>19</v>
      </c>
      <c r="AL30" s="88" cm="1">
        <f t="array" ref="AL30">SUMPRODUCT(($E$25:$AI$25="RD")*(E30:AI30=""))+SUMPRODUCT((E30:AI30="RD")*1)</f>
        <v>6</v>
      </c>
      <c r="AM30" s="89" cm="1">
        <f t="array" ref="AM30">SUMPRODUCT((F30:AI30="AL")*1)</f>
        <v>0</v>
      </c>
      <c r="AN30" s="89" cm="1">
        <f t="array" ref="AN30">SUMPRODUCT((F30:AI30="SH")*1)</f>
        <v>0</v>
      </c>
      <c r="AO30" s="89" cm="1">
        <f t="array" ref="AO30">SUMPRODUCT((E30:AI30="SL")*1)</f>
        <v>0</v>
      </c>
      <c r="AP30" s="140" t="e">
        <f>#REF!-AJ30-AK30-AL30-AM30-AN30-AO30</f>
        <v>#REF!</v>
      </c>
    </row>
    <row r="31" spans="1:42" ht="18" customHeight="1">
      <c r="A31" s="1331"/>
      <c r="B31" s="889" t="s">
        <v>116</v>
      </c>
      <c r="C31" s="111" t="s">
        <v>55</v>
      </c>
      <c r="D31" s="112">
        <v>682089</v>
      </c>
      <c r="E31" s="1035" t="s">
        <v>81</v>
      </c>
      <c r="F31" s="321" t="s">
        <v>72</v>
      </c>
      <c r="G31" s="321"/>
      <c r="H31" s="321"/>
      <c r="I31" s="322"/>
      <c r="J31" s="320"/>
      <c r="K31" s="321" t="s">
        <v>304</v>
      </c>
      <c r="L31" s="321"/>
      <c r="M31" s="321"/>
      <c r="N31" s="321"/>
      <c r="O31" s="321"/>
      <c r="P31" s="322"/>
      <c r="Q31" s="323" t="s">
        <v>95</v>
      </c>
      <c r="R31" s="321" t="s">
        <v>95</v>
      </c>
      <c r="S31" s="321" t="s">
        <v>95</v>
      </c>
      <c r="T31" s="321" t="s">
        <v>95</v>
      </c>
      <c r="U31" s="321" t="s">
        <v>95</v>
      </c>
      <c r="V31" s="357" t="s">
        <v>81</v>
      </c>
      <c r="W31" s="324" t="s">
        <v>84</v>
      </c>
      <c r="X31" s="1238" t="s">
        <v>95</v>
      </c>
      <c r="Y31" s="321" t="s">
        <v>95</v>
      </c>
      <c r="Z31" s="321" t="s">
        <v>95</v>
      </c>
      <c r="AA31" s="321" t="s">
        <v>95</v>
      </c>
      <c r="AB31" s="321" t="s">
        <v>95</v>
      </c>
      <c r="AC31" s="321" t="s">
        <v>95</v>
      </c>
      <c r="AD31" s="1220" t="s">
        <v>84</v>
      </c>
      <c r="AE31" s="1204" t="s">
        <v>95</v>
      </c>
      <c r="AF31" s="330" t="s">
        <v>95</v>
      </c>
      <c r="AG31" s="321" t="s">
        <v>95</v>
      </c>
      <c r="AH31" s="321" t="s">
        <v>95</v>
      </c>
      <c r="AI31" s="1203" t="s">
        <v>95</v>
      </c>
      <c r="AJ31" s="89" cm="1">
        <f t="array" ref="AJ31">SUMPRODUCT(($E$25:$AI$25="HR")*(E31:AI31=""))+SUMPRODUCT((E31:AI31="HR")*1)</f>
        <v>20</v>
      </c>
      <c r="AK31" s="89" cm="1">
        <f t="array" ref="AK31">SUMPRODUCT(($E$25:$AI$25="N0")*(E31:AI31=""))+SUMPRODUCT((E31:AI31="N")*1)</f>
        <v>1</v>
      </c>
      <c r="AL31" s="88" cm="1">
        <f t="array" ref="AL31">SUMPRODUCT(($E$25:$AI$25="RD")*(E31:AI31=""))+SUMPRODUCT((E31:AI31="RD")*1)</f>
        <v>6</v>
      </c>
      <c r="AM31" s="89" cm="1">
        <f t="array" ref="AM31">SUMPRODUCT((F31:AI31="AL")*1)</f>
        <v>1</v>
      </c>
      <c r="AN31" s="89" cm="1">
        <f t="array" ref="AN31">SUMPRODUCT((F31:AI31="SH")*1)</f>
        <v>0</v>
      </c>
      <c r="AO31" s="89" cm="1">
        <f t="array" ref="AO31">SUMPRODUCT((E31:AI31="SL")*1)</f>
        <v>0</v>
      </c>
      <c r="AP31" s="140" t="e">
        <f>#REF!-AJ31-AK31-AL31-AM31-AN31-AO31</f>
        <v>#REF!</v>
      </c>
    </row>
    <row r="32" spans="1:42" ht="18" customHeight="1">
      <c r="A32" s="1333"/>
      <c r="B32" s="132" t="s">
        <v>52</v>
      </c>
      <c r="C32" s="356" t="s">
        <v>27</v>
      </c>
      <c r="D32" s="23">
        <v>678954</v>
      </c>
      <c r="E32" s="247"/>
      <c r="F32" s="244"/>
      <c r="G32" s="244"/>
      <c r="H32" s="244"/>
      <c r="I32" s="248"/>
      <c r="J32" s="247"/>
      <c r="K32" s="244" t="s">
        <v>304</v>
      </c>
      <c r="L32" s="244" t="s">
        <v>135</v>
      </c>
      <c r="M32" s="244"/>
      <c r="N32" s="244"/>
      <c r="O32" s="244"/>
      <c r="P32" s="248"/>
      <c r="Q32" s="249"/>
      <c r="R32" s="244"/>
      <c r="S32" s="244"/>
      <c r="T32" s="244"/>
      <c r="U32" s="241" t="s">
        <v>88</v>
      </c>
      <c r="V32" s="244"/>
      <c r="W32" s="250"/>
      <c r="X32" s="247"/>
      <c r="Y32" s="244"/>
      <c r="Z32" s="244"/>
      <c r="AA32" s="244"/>
      <c r="AB32" s="244"/>
      <c r="AC32" s="244"/>
      <c r="AD32" s="1208" t="s">
        <v>81</v>
      </c>
      <c r="AE32" s="1209" t="s">
        <v>88</v>
      </c>
      <c r="AF32" s="1210" t="s">
        <v>88</v>
      </c>
      <c r="AG32" s="244"/>
      <c r="AH32" s="244"/>
      <c r="AI32" s="743"/>
      <c r="AJ32" s="89" cm="1">
        <f t="array" ref="AJ32">SUMPRODUCT(($E$25:$AI$25="HR")*(E32:AI32=""))+SUMPRODUCT((E32:AI32="HR")*1)</f>
        <v>3</v>
      </c>
      <c r="AK32" s="89" cm="1">
        <f t="array" ref="AK32">SUMPRODUCT(($E$25:$AI$25="N0")*(E32:AI32=""))+SUMPRODUCT((E32:AI32="N")*1)</f>
        <v>16</v>
      </c>
      <c r="AL32" s="88" cm="1">
        <f t="array" ref="AL32">SUMPRODUCT(($E$25:$AI$25="RD")*(E32:AI32=""))+SUMPRODUCT((E32:AI32="RD")*1)</f>
        <v>6</v>
      </c>
      <c r="AM32" s="89" cm="1">
        <f t="array" ref="AM32">SUMPRODUCT((F32:AI32="AL")*1)</f>
        <v>1</v>
      </c>
      <c r="AN32" s="89" cm="1">
        <f t="array" ref="AN32">SUMPRODUCT((F32:AI32="SH")*1)</f>
        <v>3</v>
      </c>
      <c r="AO32" s="89" cm="1">
        <f t="array" ref="AO32">SUMPRODUCT((E32:AI32="SL")*1)</f>
        <v>0</v>
      </c>
      <c r="AP32" s="140" t="e">
        <f>#REF!-AJ32-AK32-AL32-AM32-AN32-AO32</f>
        <v>#REF!</v>
      </c>
    </row>
    <row r="33" spans="1:42" ht="18" customHeight="1">
      <c r="A33" s="1316" t="s">
        <v>117</v>
      </c>
      <c r="B33" s="1332" t="s">
        <v>110</v>
      </c>
      <c r="C33" s="1332"/>
      <c r="D33" s="1332"/>
      <c r="E33" s="387" t="s">
        <v>94</v>
      </c>
      <c r="F33" s="388" t="s">
        <v>94</v>
      </c>
      <c r="G33" s="388" t="s">
        <v>94</v>
      </c>
      <c r="H33" s="389" t="s">
        <v>84</v>
      </c>
      <c r="I33" s="393" t="s">
        <v>94</v>
      </c>
      <c r="J33" s="387" t="s">
        <v>94</v>
      </c>
      <c r="K33" s="388" t="s">
        <v>94</v>
      </c>
      <c r="L33" s="388" t="s">
        <v>94</v>
      </c>
      <c r="M33" s="388" t="s">
        <v>94</v>
      </c>
      <c r="N33" s="388" t="s">
        <v>94</v>
      </c>
      <c r="O33" s="389" t="s">
        <v>84</v>
      </c>
      <c r="P33" s="390" t="s">
        <v>84</v>
      </c>
      <c r="Q33" s="396" t="s">
        <v>95</v>
      </c>
      <c r="R33" s="395" t="s">
        <v>95</v>
      </c>
      <c r="S33" s="395" t="s">
        <v>95</v>
      </c>
      <c r="T33" s="395" t="s">
        <v>95</v>
      </c>
      <c r="U33" s="395" t="s">
        <v>95</v>
      </c>
      <c r="V33" s="389" t="s">
        <v>84</v>
      </c>
      <c r="W33" s="391" t="s">
        <v>84</v>
      </c>
      <c r="X33" s="387" t="s">
        <v>94</v>
      </c>
      <c r="Y33" s="388" t="s">
        <v>94</v>
      </c>
      <c r="Z33" s="388" t="s">
        <v>94</v>
      </c>
      <c r="AA33" s="388" t="s">
        <v>94</v>
      </c>
      <c r="AB33" s="388" t="s">
        <v>94</v>
      </c>
      <c r="AC33" s="389" t="s">
        <v>84</v>
      </c>
      <c r="AD33" s="397" t="s">
        <v>94</v>
      </c>
      <c r="AE33" s="1205" t="s">
        <v>94</v>
      </c>
      <c r="AF33" s="772" t="s">
        <v>94</v>
      </c>
      <c r="AG33" s="772" t="s">
        <v>94</v>
      </c>
      <c r="AH33" s="772" t="s">
        <v>94</v>
      </c>
      <c r="AI33" s="1206" t="s">
        <v>94</v>
      </c>
      <c r="AJ33" s="137" t="s">
        <v>95</v>
      </c>
      <c r="AK33" s="137" t="s">
        <v>38</v>
      </c>
      <c r="AL33" s="138" t="s">
        <v>84</v>
      </c>
      <c r="AM33" s="137" t="s">
        <v>81</v>
      </c>
      <c r="AN33" s="137" t="s">
        <v>88</v>
      </c>
      <c r="AO33" s="137" t="s">
        <v>96</v>
      </c>
      <c r="AP33" s="139" t="s">
        <v>97</v>
      </c>
    </row>
    <row r="34" spans="1:42" ht="18" customHeight="1">
      <c r="A34" s="1331"/>
      <c r="B34" s="46" t="s">
        <v>17</v>
      </c>
      <c r="C34" s="27" t="s">
        <v>16</v>
      </c>
      <c r="D34" s="21">
        <v>321524</v>
      </c>
      <c r="E34" s="232"/>
      <c r="F34" s="221"/>
      <c r="G34" s="207" t="s">
        <v>81</v>
      </c>
      <c r="H34" s="221"/>
      <c r="I34" s="793" t="s">
        <v>81</v>
      </c>
      <c r="J34" s="232"/>
      <c r="K34" s="221"/>
      <c r="L34" s="221"/>
      <c r="M34" s="221"/>
      <c r="N34" s="207" t="s">
        <v>88</v>
      </c>
      <c r="O34" s="221"/>
      <c r="P34" s="222"/>
      <c r="Q34" s="230" t="s">
        <v>312</v>
      </c>
      <c r="R34" s="221" t="s">
        <v>312</v>
      </c>
      <c r="S34" s="221"/>
      <c r="T34" s="221"/>
      <c r="U34" s="207" t="s">
        <v>81</v>
      </c>
      <c r="V34" s="221"/>
      <c r="W34" s="234"/>
      <c r="X34" s="232"/>
      <c r="Y34" s="221"/>
      <c r="Z34" s="221"/>
      <c r="AA34" s="221"/>
      <c r="AB34" s="221"/>
      <c r="AC34" s="221"/>
      <c r="AD34" s="222"/>
      <c r="AE34" s="230"/>
      <c r="AF34" s="221"/>
      <c r="AG34" s="221"/>
      <c r="AH34" s="221"/>
      <c r="AI34" s="222"/>
      <c r="AJ34" s="89" cm="1">
        <f t="array" ref="AJ34">SUMPRODUCT(($E$33:$AI$33="HR")*(E34:AI34=""))+SUMPRODUCT((E34:AI34="HR")*1)</f>
        <v>2</v>
      </c>
      <c r="AK34" s="89" cm="1">
        <f t="array" ref="AK34">SUMPRODUCT(($E$33:$AI$33="N0")*(E34:AI34=""))+SUMPRODUCT((E34:AI34="N")*1)</f>
        <v>17</v>
      </c>
      <c r="AL34" s="88" cm="1">
        <f t="array" ref="AL34">SUMPRODUCT(($E$33:$AI$33="RD")*(E34:AI34=""))+SUMPRODUCT((E34:AI34="RD")*1)</f>
        <v>6</v>
      </c>
      <c r="AM34" s="89" cm="1">
        <f t="array" ref="AM34">SUMPRODUCT((F34:AI34="AL")*1)</f>
        <v>3</v>
      </c>
      <c r="AN34" s="89" cm="1">
        <f t="array" ref="AN34">SUMPRODUCT((F34:AI34="SH")*1)</f>
        <v>1</v>
      </c>
      <c r="AO34" s="89" cm="1">
        <f t="array" ref="AO34">SUMPRODUCT((E34:AI34="SL")*1)</f>
        <v>0</v>
      </c>
      <c r="AP34" s="140" t="e">
        <f>#REF!-AJ34-AK34-AL34-AM34-AN34-AO34</f>
        <v>#REF!</v>
      </c>
    </row>
    <row r="35" spans="1:42" ht="18" customHeight="1">
      <c r="A35" s="1331"/>
      <c r="B35" s="48" t="s">
        <v>28</v>
      </c>
      <c r="C35" s="16" t="s">
        <v>16</v>
      </c>
      <c r="D35" s="22">
        <v>427616</v>
      </c>
      <c r="E35" s="28"/>
      <c r="F35" s="29"/>
      <c r="G35" s="29"/>
      <c r="H35" s="29"/>
      <c r="I35" s="30"/>
      <c r="J35" s="28"/>
      <c r="K35" s="29"/>
      <c r="L35" s="29"/>
      <c r="M35" s="29"/>
      <c r="N35" s="29"/>
      <c r="O35" s="29"/>
      <c r="P35" s="30"/>
      <c r="Q35" s="75" t="s">
        <v>302</v>
      </c>
      <c r="R35" s="330"/>
      <c r="S35" s="29" t="s">
        <v>245</v>
      </c>
      <c r="T35" s="29" t="s">
        <v>209</v>
      </c>
      <c r="U35" s="29"/>
      <c r="V35" s="29"/>
      <c r="W35" s="65"/>
      <c r="X35" s="28"/>
      <c r="Y35" s="29"/>
      <c r="Z35" s="29"/>
      <c r="AA35" s="29"/>
      <c r="AB35" s="183" t="s">
        <v>88</v>
      </c>
      <c r="AC35" s="29"/>
      <c r="AD35" s="30"/>
      <c r="AE35" s="75"/>
      <c r="AF35" s="183" t="s">
        <v>81</v>
      </c>
      <c r="AG35" s="183" t="s">
        <v>81</v>
      </c>
      <c r="AH35" s="183" t="s">
        <v>81</v>
      </c>
      <c r="AI35" s="185" t="s">
        <v>81</v>
      </c>
      <c r="AJ35" s="89" cm="1">
        <f t="array" ref="AJ35">SUMPRODUCT(($E$33:$AI$33="HR")*(E35:AI35=""))+SUMPRODUCT((E35:AI35="HR")*1)</f>
        <v>2</v>
      </c>
      <c r="AK35" s="89" cm="1">
        <f t="array" ref="AK35">SUMPRODUCT(($E$33:$AI$33="N0")*(E35:AI35=""))+SUMPRODUCT((E35:AI35="N")*1)</f>
        <v>15</v>
      </c>
      <c r="AL35" s="88" cm="1">
        <f t="array" ref="AL35">SUMPRODUCT(($E$33:$AI$33="RD")*(E35:AI35=""))+SUMPRODUCT((E35:AI35="RD")*1)</f>
        <v>6</v>
      </c>
      <c r="AM35" s="89" cm="1">
        <f t="array" ref="AM35">SUMPRODUCT((F35:AI35="AL")*1)</f>
        <v>4</v>
      </c>
      <c r="AN35" s="89" cm="1">
        <f t="array" ref="AN35">SUMPRODUCT((F35:AI35="SH")*1)</f>
        <v>1</v>
      </c>
      <c r="AO35" s="89" cm="1">
        <f t="array" ref="AO35">SUMPRODUCT((E35:AI35="SL")*1)</f>
        <v>0</v>
      </c>
      <c r="AP35" s="140" t="e">
        <f>#REF!-AJ35-AK35-AL35-AM35-AN35-AO35</f>
        <v>#REF!</v>
      </c>
    </row>
    <row r="36" spans="1:42" ht="18" customHeight="1">
      <c r="A36" s="1331"/>
      <c r="B36" s="50" t="s">
        <v>273</v>
      </c>
      <c r="C36" s="18" t="s">
        <v>27</v>
      </c>
      <c r="D36" s="51">
        <v>672075</v>
      </c>
      <c r="E36" s="28"/>
      <c r="F36" s="29"/>
      <c r="G36" s="29"/>
      <c r="H36" s="29"/>
      <c r="I36" s="30"/>
      <c r="J36" s="28"/>
      <c r="K36" s="29"/>
      <c r="L36" s="29"/>
      <c r="M36" s="29"/>
      <c r="N36" s="29"/>
      <c r="O36" s="29"/>
      <c r="P36" s="30"/>
      <c r="Q36" s="75"/>
      <c r="R36" s="221"/>
      <c r="S36" s="29"/>
      <c r="T36" s="29"/>
      <c r="U36" s="183" t="s">
        <v>88</v>
      </c>
      <c r="V36" s="29"/>
      <c r="W36" s="65"/>
      <c r="X36" s="28"/>
      <c r="Y36" s="29"/>
      <c r="Z36" s="29"/>
      <c r="AA36" s="29"/>
      <c r="AB36" s="29"/>
      <c r="AC36" s="29"/>
      <c r="AD36" s="30"/>
      <c r="AE36" s="75"/>
      <c r="AF36" s="29"/>
      <c r="AG36" s="29"/>
      <c r="AH36" s="29"/>
      <c r="AI36" s="30"/>
      <c r="AJ36" s="89" cm="1">
        <f t="array" ref="AJ36">SUMPRODUCT(($E$33:$AI$33="HR")*(E36:AI36=""))+SUMPRODUCT((E36:AI36="HR")*1)</f>
        <v>4</v>
      </c>
      <c r="AK36" s="89" cm="1">
        <f t="array" ref="AK36">SUMPRODUCT(($E$33:$AI$33="N0")*(E36:AI36=""))+SUMPRODUCT((E36:AI36="N")*1)</f>
        <v>20</v>
      </c>
      <c r="AL36" s="88" cm="1">
        <f t="array" ref="AL36">SUMPRODUCT(($E$33:$AI$33="RD")*(E36:AI36=""))+SUMPRODUCT((E36:AI36="RD")*1)</f>
        <v>6</v>
      </c>
      <c r="AM36" s="89" cm="1">
        <f t="array" ref="AM36">SUMPRODUCT((F36:AI36="AL")*1)</f>
        <v>0</v>
      </c>
      <c r="AN36" s="89" cm="1">
        <f t="array" ref="AN36">SUMPRODUCT((F36:AI36="SH")*1)</f>
        <v>1</v>
      </c>
      <c r="AO36" s="89" cm="1">
        <f t="array" ref="AO36">SUMPRODUCT((E36:AI36="SL")*1)</f>
        <v>0</v>
      </c>
      <c r="AP36" s="140" t="e">
        <f>#REF!-AJ36-AK36-AL36-AM36-AN36-AO36</f>
        <v>#REF!</v>
      </c>
    </row>
    <row r="37" spans="1:42" ht="18" customHeight="1">
      <c r="A37" s="1331"/>
      <c r="B37" s="47" t="s">
        <v>35</v>
      </c>
      <c r="C37" s="16" t="s">
        <v>27</v>
      </c>
      <c r="D37" s="22">
        <v>655180</v>
      </c>
      <c r="E37" s="28"/>
      <c r="F37" s="29"/>
      <c r="G37" s="29"/>
      <c r="H37" s="29"/>
      <c r="I37" s="30"/>
      <c r="J37" s="28"/>
      <c r="K37" s="29"/>
      <c r="L37" s="29"/>
      <c r="M37" s="29"/>
      <c r="N37" s="29"/>
      <c r="O37" s="29"/>
      <c r="P37" s="30"/>
      <c r="Q37" s="75" t="s">
        <v>137</v>
      </c>
      <c r="R37" s="29" t="s">
        <v>313</v>
      </c>
      <c r="S37" s="29" t="s">
        <v>124</v>
      </c>
      <c r="T37" s="29" t="s">
        <v>314</v>
      </c>
      <c r="U37" s="29"/>
      <c r="V37" s="29" t="s">
        <v>95</v>
      </c>
      <c r="W37" s="65"/>
      <c r="X37" s="184" t="s">
        <v>88</v>
      </c>
      <c r="Y37" s="29"/>
      <c r="Z37" s="29"/>
      <c r="AA37" s="29"/>
      <c r="AB37" s="29"/>
      <c r="AC37" s="29"/>
      <c r="AD37" s="185" t="s">
        <v>84</v>
      </c>
      <c r="AE37" s="75" t="s">
        <v>95</v>
      </c>
      <c r="AF37" s="208" t="s">
        <v>96</v>
      </c>
      <c r="AG37" s="29" t="s">
        <v>108</v>
      </c>
      <c r="AH37" s="29" t="s">
        <v>108</v>
      </c>
      <c r="AI37" s="30" t="s">
        <v>108</v>
      </c>
      <c r="AJ37" s="89" cm="1">
        <f t="array" ref="AJ37">SUMPRODUCT(($E$33:$AI$33="HR")*(E37:AI37=""))+SUMPRODUCT((E37:AI37="HR")*1)</f>
        <v>3</v>
      </c>
      <c r="AK37" s="89" cm="1">
        <f t="array" ref="AK37">SUMPRODUCT(($E$33:$AI$33="N0")*(E37:AI37=""))+SUMPRODUCT((E37:AI37="N")*1)</f>
        <v>13</v>
      </c>
      <c r="AL37" s="88" cm="1">
        <f t="array" ref="AL37">SUMPRODUCT(($E$33:$AI$33="RD")*(E37:AI37=""))+SUMPRODUCT((E37:AI37="RD")*1)</f>
        <v>6</v>
      </c>
      <c r="AM37" s="89" cm="1">
        <f t="array" ref="AM37">SUMPRODUCT((F37:AI37="AL")*1)</f>
        <v>0</v>
      </c>
      <c r="AN37" s="89" cm="1">
        <f t="array" ref="AN37">SUMPRODUCT((F37:AI37="SH")*1)</f>
        <v>1</v>
      </c>
      <c r="AO37" s="89" cm="1">
        <f t="array" ref="AO37">SUMPRODUCT((E37:AI37="SL")*1)</f>
        <v>1</v>
      </c>
      <c r="AP37" s="140" t="e">
        <f>#REF!-AJ37-AK37-AL37-AM37-AN37-AO37</f>
        <v>#REF!</v>
      </c>
    </row>
    <row r="38" spans="1:42" ht="18" customHeight="1">
      <c r="A38" s="1331"/>
      <c r="B38" s="97" t="s">
        <v>34</v>
      </c>
      <c r="C38" s="16" t="s">
        <v>27</v>
      </c>
      <c r="D38" s="22">
        <v>673277</v>
      </c>
      <c r="E38" s="28"/>
      <c r="F38" s="29"/>
      <c r="G38" s="29"/>
      <c r="H38" s="29"/>
      <c r="I38" s="30"/>
      <c r="J38" s="28"/>
      <c r="K38" s="29"/>
      <c r="L38" s="29"/>
      <c r="M38" s="29"/>
      <c r="N38" s="321"/>
      <c r="O38" s="29"/>
      <c r="P38" s="30"/>
      <c r="Q38" s="75"/>
      <c r="R38" s="183" t="s">
        <v>88</v>
      </c>
      <c r="S38" s="1216" t="s">
        <v>245</v>
      </c>
      <c r="T38" s="183" t="s">
        <v>81</v>
      </c>
      <c r="U38" s="183" t="s">
        <v>81</v>
      </c>
      <c r="V38" s="29"/>
      <c r="W38" s="65"/>
      <c r="X38" s="28"/>
      <c r="Y38" s="29"/>
      <c r="Z38" s="29"/>
      <c r="AA38" s="29"/>
      <c r="AB38" s="29"/>
      <c r="AC38" s="29"/>
      <c r="AD38" s="30"/>
      <c r="AE38" s="75"/>
      <c r="AF38" s="29"/>
      <c r="AG38" s="29"/>
      <c r="AH38" s="29"/>
      <c r="AI38" s="30"/>
      <c r="AJ38" s="89" cm="1">
        <f t="array" ref="AJ38">SUMPRODUCT(($E$33:$AI$33="HR")*(E38:AI38=""))+SUMPRODUCT((E38:AI38="HR")*1)</f>
        <v>1</v>
      </c>
      <c r="AK38" s="89" cm="1">
        <f t="array" ref="AK38">SUMPRODUCT(($E$33:$AI$33="N0")*(E38:AI38=""))+SUMPRODUCT((E38:AI38="N")*1)</f>
        <v>20</v>
      </c>
      <c r="AL38" s="88" cm="1">
        <f t="array" ref="AL38">SUMPRODUCT(($E$33:$AI$33="RD")*(E38:AI38=""))+SUMPRODUCT((E38:AI38="RD")*1)</f>
        <v>6</v>
      </c>
      <c r="AM38" s="89" cm="1">
        <f t="array" ref="AM38">SUMPRODUCT((F38:AI38="AL")*1)</f>
        <v>2</v>
      </c>
      <c r="AN38" s="89" cm="1">
        <f t="array" ref="AN38">SUMPRODUCT((F38:AI38="SH")*1)</f>
        <v>1</v>
      </c>
      <c r="AO38" s="89" cm="1">
        <f t="array" ref="AO38">SUMPRODUCT((E38:AI38="SL")*1)</f>
        <v>0</v>
      </c>
      <c r="AP38" s="140" t="e">
        <f>#REF!-AJ38-AK38-AL38-AM38-AN38-AO38</f>
        <v>#REF!</v>
      </c>
    </row>
    <row r="39" spans="1:42" ht="18" customHeight="1">
      <c r="A39" s="1331"/>
      <c r="B39" s="150" t="s">
        <v>118</v>
      </c>
      <c r="C39" s="133" t="s">
        <v>27</v>
      </c>
      <c r="D39" s="108">
        <v>674432</v>
      </c>
      <c r="E39" s="247"/>
      <c r="F39" s="244"/>
      <c r="G39" s="244"/>
      <c r="H39" s="244"/>
      <c r="I39" s="248"/>
      <c r="J39" s="247"/>
      <c r="K39" s="244"/>
      <c r="L39" s="244"/>
      <c r="M39" s="1278" t="s">
        <v>96</v>
      </c>
      <c r="N39" s="250"/>
      <c r="O39" s="244"/>
      <c r="P39" s="248"/>
      <c r="Q39" s="249"/>
      <c r="R39" s="244"/>
      <c r="S39" s="244"/>
      <c r="T39" s="244"/>
      <c r="U39" s="244"/>
      <c r="V39" s="244"/>
      <c r="W39" s="250"/>
      <c r="X39" s="247"/>
      <c r="Y39" s="244"/>
      <c r="Z39" s="244"/>
      <c r="AA39" s="244"/>
      <c r="AB39" s="241" t="s">
        <v>88</v>
      </c>
      <c r="AC39" s="244"/>
      <c r="AD39" s="245" t="s">
        <v>88</v>
      </c>
      <c r="AE39" s="313" t="s">
        <v>81</v>
      </c>
      <c r="AF39" s="241" t="s">
        <v>81</v>
      </c>
      <c r="AG39" s="244"/>
      <c r="AH39" s="244"/>
      <c r="AI39" s="248"/>
      <c r="AJ39" s="89" cm="1">
        <f t="array" ref="AJ39">SUMPRODUCT(($E$33:$AI$33="HR")*(E39:AI39=""))+SUMPRODUCT((E39:AI39="HR")*1)</f>
        <v>5</v>
      </c>
      <c r="AK39" s="89" cm="1">
        <f t="array" ref="AK39">SUMPRODUCT(($E$33:$AI$33="N0")*(E39:AI39=""))+SUMPRODUCT((E39:AI39="N")*1)</f>
        <v>15</v>
      </c>
      <c r="AL39" s="88" cm="1">
        <f t="array" ref="AL39">SUMPRODUCT(($E$33:$AI$33="RD")*(E39:AI39=""))+SUMPRODUCT((E39:AI39="RD")*1)</f>
        <v>6</v>
      </c>
      <c r="AM39" s="89" cm="1">
        <f t="array" ref="AM39">SUMPRODUCT((F39:AI39="AL")*1)</f>
        <v>2</v>
      </c>
      <c r="AN39" s="89" cm="1">
        <f t="array" ref="AN39">SUMPRODUCT((F39:AI39="SH")*1)</f>
        <v>2</v>
      </c>
      <c r="AO39" s="89" cm="1">
        <f t="array" ref="AO39">SUMPRODUCT((E39:AI39="SL")*1)</f>
        <v>1</v>
      </c>
      <c r="AP39" s="140" t="e">
        <f>#REF!-AJ39-AK39-AL39-AM39-AN39-AO39</f>
        <v>#REF!</v>
      </c>
    </row>
    <row r="40" spans="1:42" ht="18" customHeight="1">
      <c r="A40" s="1316" t="s">
        <v>119</v>
      </c>
      <c r="B40" s="1334" t="s">
        <v>110</v>
      </c>
      <c r="C40" s="1332"/>
      <c r="D40" s="1332"/>
      <c r="E40" s="387" t="s">
        <v>94</v>
      </c>
      <c r="F40" s="388" t="s">
        <v>94</v>
      </c>
      <c r="G40" s="388" t="s">
        <v>94</v>
      </c>
      <c r="H40" s="389" t="s">
        <v>84</v>
      </c>
      <c r="I40" s="393" t="s">
        <v>94</v>
      </c>
      <c r="J40" s="387" t="s">
        <v>94</v>
      </c>
      <c r="K40" s="388" t="s">
        <v>94</v>
      </c>
      <c r="L40" s="388" t="s">
        <v>94</v>
      </c>
      <c r="M40" s="388" t="s">
        <v>94</v>
      </c>
      <c r="N40" s="388" t="s">
        <v>94</v>
      </c>
      <c r="O40" s="389" t="s">
        <v>84</v>
      </c>
      <c r="P40" s="393" t="s">
        <v>94</v>
      </c>
      <c r="Q40" s="392" t="s">
        <v>94</v>
      </c>
      <c r="R40" s="388" t="s">
        <v>94</v>
      </c>
      <c r="S40" s="388" t="s">
        <v>94</v>
      </c>
      <c r="T40" s="388" t="s">
        <v>94</v>
      </c>
      <c r="U40" s="388" t="s">
        <v>94</v>
      </c>
      <c r="V40" s="389" t="s">
        <v>84</v>
      </c>
      <c r="W40" s="391" t="s">
        <v>84</v>
      </c>
      <c r="X40" s="394" t="s">
        <v>95</v>
      </c>
      <c r="Y40" s="395" t="s">
        <v>95</v>
      </c>
      <c r="Z40" s="395" t="s">
        <v>95</v>
      </c>
      <c r="AA40" s="395" t="s">
        <v>95</v>
      </c>
      <c r="AB40" s="395" t="s">
        <v>95</v>
      </c>
      <c r="AC40" s="389" t="s">
        <v>84</v>
      </c>
      <c r="AD40" s="390" t="s">
        <v>84</v>
      </c>
      <c r="AE40" s="392" t="s">
        <v>94</v>
      </c>
      <c r="AF40" s="388" t="s">
        <v>94</v>
      </c>
      <c r="AG40" s="388" t="s">
        <v>94</v>
      </c>
      <c r="AH40" s="388" t="s">
        <v>94</v>
      </c>
      <c r="AI40" s="393" t="s">
        <v>94</v>
      </c>
      <c r="AJ40" s="137" t="s">
        <v>95</v>
      </c>
      <c r="AK40" s="137" t="s">
        <v>38</v>
      </c>
      <c r="AL40" s="138" t="s">
        <v>84</v>
      </c>
      <c r="AM40" s="137" t="s">
        <v>81</v>
      </c>
      <c r="AN40" s="137" t="s">
        <v>88</v>
      </c>
      <c r="AO40" s="137" t="s">
        <v>96</v>
      </c>
      <c r="AP40" s="139" t="s">
        <v>97</v>
      </c>
    </row>
    <row r="41" spans="1:42" ht="18" customHeight="1">
      <c r="A41" s="1331"/>
      <c r="B41" s="44" t="s">
        <v>274</v>
      </c>
      <c r="C41" s="17" t="s">
        <v>16</v>
      </c>
      <c r="D41" s="21">
        <v>422380</v>
      </c>
      <c r="E41" s="232"/>
      <c r="F41" s="221"/>
      <c r="G41" s="221"/>
      <c r="H41" s="221"/>
      <c r="I41" s="222"/>
      <c r="J41" s="232"/>
      <c r="K41" s="221"/>
      <c r="L41" s="221"/>
      <c r="M41" s="221"/>
      <c r="N41" s="221"/>
      <c r="O41" s="221"/>
      <c r="P41" s="222"/>
      <c r="Q41" s="1224" t="s">
        <v>96</v>
      </c>
      <c r="R41" s="843" t="s">
        <v>96</v>
      </c>
      <c r="S41" s="207" t="s">
        <v>81</v>
      </c>
      <c r="T41" s="207" t="s">
        <v>81</v>
      </c>
      <c r="U41" s="207" t="s">
        <v>81</v>
      </c>
      <c r="V41" s="221"/>
      <c r="W41" s="234"/>
      <c r="X41" s="232" t="s">
        <v>94</v>
      </c>
      <c r="Y41" s="221" t="s">
        <v>94</v>
      </c>
      <c r="Z41" s="221" t="s">
        <v>94</v>
      </c>
      <c r="AA41" s="221" t="s">
        <v>94</v>
      </c>
      <c r="AB41" s="221" t="s">
        <v>94</v>
      </c>
      <c r="AC41" s="221"/>
      <c r="AD41" s="222"/>
      <c r="AE41" s="230"/>
      <c r="AF41" s="221"/>
      <c r="AG41" s="221"/>
      <c r="AH41" s="221"/>
      <c r="AI41" s="222"/>
      <c r="AJ41" s="89" cm="1">
        <f t="array" ref="AJ41">SUMPRODUCT(($E$40:$AI$40="HR")*(E41:AI41=""))+SUMPRODUCT((E41:AI41="HR")*1)</f>
        <v>0</v>
      </c>
      <c r="AK41" s="89" cm="1">
        <f t="array" ref="AK41">SUMPRODUCT(($E$40:$AI$40="N0")*(E41:AI41=""))+SUMPRODUCT((E41:AI41="N")*1)</f>
        <v>15</v>
      </c>
      <c r="AL41" s="88" cm="1">
        <f t="array" ref="AL41">SUMPRODUCT(($E$40:$AI$40="RD")*(E41:AI41=""))+SUMPRODUCT((E41:AI41="RD")*1)</f>
        <v>6</v>
      </c>
      <c r="AM41" s="89" cm="1">
        <f t="array" ref="AM41">SUMPRODUCT((F41:AI41="AL")*1)</f>
        <v>3</v>
      </c>
      <c r="AN41" s="89" cm="1">
        <f t="array" ref="AN41">SUMPRODUCT((F41:AI41="SH")*1)</f>
        <v>0</v>
      </c>
      <c r="AO41" s="89" cm="1">
        <f t="array" ref="AO41">SUMPRODUCT((E41:AI41="SL")*1)</f>
        <v>2</v>
      </c>
      <c r="AP41" s="140" t="e">
        <f>#REF!-AJ41-AK41-AL41-AM41-AN41-AO41</f>
        <v>#REF!</v>
      </c>
    </row>
    <row r="42" spans="1:42" ht="18" customHeight="1">
      <c r="A42" s="1331"/>
      <c r="B42" s="45" t="s">
        <v>36</v>
      </c>
      <c r="C42" s="16" t="s">
        <v>16</v>
      </c>
      <c r="D42" s="22">
        <v>669557</v>
      </c>
      <c r="E42" s="28"/>
      <c r="F42" s="29"/>
      <c r="G42" s="29"/>
      <c r="H42" s="29"/>
      <c r="I42" s="30"/>
      <c r="J42" s="28"/>
      <c r="K42" s="29"/>
      <c r="L42" s="29"/>
      <c r="M42" s="29"/>
      <c r="N42" s="29"/>
      <c r="O42" s="29"/>
      <c r="P42" s="30"/>
      <c r="Q42" s="75"/>
      <c r="R42" s="29"/>
      <c r="S42" s="29"/>
      <c r="T42" s="29"/>
      <c r="U42" s="183" t="s">
        <v>88</v>
      </c>
      <c r="V42" s="29"/>
      <c r="W42" s="65"/>
      <c r="X42" s="28"/>
      <c r="Y42" s="29"/>
      <c r="Z42" s="29"/>
      <c r="AA42" s="29" t="s">
        <v>211</v>
      </c>
      <c r="AB42" s="29"/>
      <c r="AC42" s="29"/>
      <c r="AD42" s="30"/>
      <c r="AE42" s="1214" t="s">
        <v>312</v>
      </c>
      <c r="AF42" s="29" t="s">
        <v>312</v>
      </c>
      <c r="AG42" s="29"/>
      <c r="AH42" s="29"/>
      <c r="AI42" s="30"/>
      <c r="AJ42" s="89" cm="1">
        <f t="array" ref="AJ42">SUMPRODUCT(($E$40:$AI$40="HR")*(E42:AI42=""))+SUMPRODUCT((E42:AI42="HR")*1)</f>
        <v>4</v>
      </c>
      <c r="AK42" s="89" cm="1">
        <f t="array" ref="AK42">SUMPRODUCT(($E$40:$AI$40="N0")*(E42:AI42=""))+SUMPRODUCT((E42:AI42="N")*1)</f>
        <v>17</v>
      </c>
      <c r="AL42" s="88" cm="1">
        <f t="array" ref="AL42">SUMPRODUCT(($E$40:$AI$40="RD")*(E42:AI42=""))+SUMPRODUCT((E42:AI42="RD")*1)</f>
        <v>6</v>
      </c>
      <c r="AM42" s="89" cm="1">
        <f t="array" ref="AM42">SUMPRODUCT((F42:AI42="AL")*1)</f>
        <v>0</v>
      </c>
      <c r="AN42" s="89" cm="1">
        <f t="array" ref="AN42">SUMPRODUCT((F42:AI42="SH")*1)</f>
        <v>1</v>
      </c>
      <c r="AO42" s="89" cm="1">
        <f t="array" ref="AO42">SUMPRODUCT((E42:AI42="SL")*1)</f>
        <v>0</v>
      </c>
      <c r="AP42" s="140" t="e">
        <f>#REF!-AJ42-AK42-AL42-AM42-AN42-AO42</f>
        <v>#REF!</v>
      </c>
    </row>
    <row r="43" spans="1:42" ht="18" customHeight="1">
      <c r="A43" s="1331"/>
      <c r="B43" s="45" t="s">
        <v>275</v>
      </c>
      <c r="C43" s="16" t="s">
        <v>16</v>
      </c>
      <c r="D43" s="22">
        <v>505935</v>
      </c>
      <c r="E43" s="28"/>
      <c r="F43" s="29"/>
      <c r="G43" s="29"/>
      <c r="H43" s="29"/>
      <c r="I43" s="30"/>
      <c r="J43" s="28"/>
      <c r="K43" s="29"/>
      <c r="L43" s="29"/>
      <c r="M43" s="29"/>
      <c r="N43" s="29"/>
      <c r="O43" s="29"/>
      <c r="P43" s="30"/>
      <c r="Q43" s="75"/>
      <c r="R43" s="29"/>
      <c r="S43" s="29"/>
      <c r="T43" s="29"/>
      <c r="U43" s="29"/>
      <c r="V43" s="29"/>
      <c r="W43" s="65"/>
      <c r="X43" s="28" t="s">
        <v>94</v>
      </c>
      <c r="Y43" s="29" t="s">
        <v>94</v>
      </c>
      <c r="Z43" s="208" t="s">
        <v>96</v>
      </c>
      <c r="AA43" s="208" t="s">
        <v>96</v>
      </c>
      <c r="AB43" s="183" t="s">
        <v>88</v>
      </c>
      <c r="AC43" s="29"/>
      <c r="AD43" s="30"/>
      <c r="AE43" s="75"/>
      <c r="AF43" s="29"/>
      <c r="AG43" s="29"/>
      <c r="AH43" s="29"/>
      <c r="AI43" s="30"/>
      <c r="AJ43" s="89" cm="1">
        <f t="array" ref="AJ43">SUMPRODUCT(($E$40:$AI$40="HR")*(E43:AI43=""))+SUMPRODUCT((E43:AI43="HR")*1)</f>
        <v>0</v>
      </c>
      <c r="AK43" s="89" cm="1">
        <f t="array" ref="AK43">SUMPRODUCT(($E$40:$AI$40="N0")*(E43:AI43=""))+SUMPRODUCT((E43:AI43="N")*1)</f>
        <v>20</v>
      </c>
      <c r="AL43" s="88" cm="1">
        <f t="array" ref="AL43">SUMPRODUCT(($E$40:$AI$40="RD")*(E43:AI43=""))+SUMPRODUCT((E43:AI43="RD")*1)</f>
        <v>6</v>
      </c>
      <c r="AM43" s="89" cm="1">
        <f t="array" ref="AM43">SUMPRODUCT((F43:AI43="AL")*1)</f>
        <v>0</v>
      </c>
      <c r="AN43" s="89" cm="1">
        <f t="array" ref="AN43">SUMPRODUCT((F43:AI43="SH")*1)</f>
        <v>1</v>
      </c>
      <c r="AO43" s="89" cm="1">
        <f t="array" ref="AO43">SUMPRODUCT((E43:AI43="SL")*1)</f>
        <v>2</v>
      </c>
      <c r="AP43" s="140" t="e">
        <f>#REF!-AJ43-AK43-AL43-AM43-AN43-AO43</f>
        <v>#REF!</v>
      </c>
    </row>
    <row r="44" spans="1:42" ht="18" customHeight="1">
      <c r="A44" s="1331"/>
      <c r="B44" s="45" t="s">
        <v>25</v>
      </c>
      <c r="C44" s="16" t="s">
        <v>27</v>
      </c>
      <c r="D44" s="22">
        <v>580058</v>
      </c>
      <c r="E44" s="184" t="s">
        <v>88</v>
      </c>
      <c r="F44" s="183" t="s">
        <v>88</v>
      </c>
      <c r="G44" s="183" t="s">
        <v>81</v>
      </c>
      <c r="H44" s="29"/>
      <c r="I44" s="30"/>
      <c r="J44" s="28"/>
      <c r="K44" s="29"/>
      <c r="L44" s="29"/>
      <c r="M44" s="29"/>
      <c r="N44" s="29"/>
      <c r="O44" s="29"/>
      <c r="P44" s="30"/>
      <c r="Q44" s="593" t="s">
        <v>96</v>
      </c>
      <c r="R44" s="208" t="s">
        <v>96</v>
      </c>
      <c r="S44" s="29"/>
      <c r="T44" s="29"/>
      <c r="U44" s="29"/>
      <c r="V44" s="29"/>
      <c r="W44" s="65"/>
      <c r="X44" s="28" t="s">
        <v>149</v>
      </c>
      <c r="Y44" s="29" t="s">
        <v>149</v>
      </c>
      <c r="Z44" s="29"/>
      <c r="AA44" s="29" t="s">
        <v>211</v>
      </c>
      <c r="AB44" s="29" t="s">
        <v>261</v>
      </c>
      <c r="AC44" s="29"/>
      <c r="AD44" s="30"/>
      <c r="AE44" s="75"/>
      <c r="AF44" s="29"/>
      <c r="AG44" s="134"/>
      <c r="AH44" s="29"/>
      <c r="AI44" s="30"/>
      <c r="AJ44" s="89" cm="1">
        <f t="array" ref="AJ44">SUMPRODUCT(($E$40:$AI$40="HR")*(E44:AI44=""))+SUMPRODUCT((E44:AI44="HR")*1)</f>
        <v>1</v>
      </c>
      <c r="AK44" s="89" cm="1">
        <f t="array" ref="AK44">SUMPRODUCT(($E$40:$AI$40="N0")*(E44:AI44=""))+SUMPRODUCT((E44:AI44="N")*1)</f>
        <v>15</v>
      </c>
      <c r="AL44" s="88" cm="1">
        <f t="array" ref="AL44">SUMPRODUCT(($E$40:$AI$40="RD")*(E44:AI44=""))+SUMPRODUCT((E44:AI44="RD")*1)</f>
        <v>6</v>
      </c>
      <c r="AM44" s="89" cm="1">
        <f t="array" ref="AM44">SUMPRODUCT((F44:AI44="AL")*1)</f>
        <v>1</v>
      </c>
      <c r="AN44" s="89" cm="1">
        <f t="array" ref="AN44">SUMPRODUCT((F44:AI44="SH")*1)</f>
        <v>1</v>
      </c>
      <c r="AO44" s="89" cm="1">
        <f t="array" ref="AO44">SUMPRODUCT((E44:AI44="SL")*1)</f>
        <v>2</v>
      </c>
      <c r="AP44" s="140" t="e">
        <f>#REF!-AJ44-AK44-AL44-AM44-AN44-AO44</f>
        <v>#REF!</v>
      </c>
    </row>
    <row r="45" spans="1:42" ht="18" customHeight="1">
      <c r="A45" s="1331"/>
      <c r="B45" s="45" t="s">
        <v>37</v>
      </c>
      <c r="C45" s="16" t="s">
        <v>27</v>
      </c>
      <c r="D45" s="22">
        <v>680417</v>
      </c>
      <c r="E45" s="28"/>
      <c r="F45" s="29"/>
      <c r="G45" s="29"/>
      <c r="H45" s="29"/>
      <c r="I45" s="30"/>
      <c r="J45" s="28"/>
      <c r="K45" s="29"/>
      <c r="L45" s="29"/>
      <c r="M45" s="29"/>
      <c r="N45" s="29"/>
      <c r="O45" s="29"/>
      <c r="P45" s="30"/>
      <c r="Q45" s="75"/>
      <c r="R45" s="29"/>
      <c r="S45" s="29"/>
      <c r="T45" s="208" t="s">
        <v>96</v>
      </c>
      <c r="U45" s="208" t="s">
        <v>96</v>
      </c>
      <c r="V45" s="29"/>
      <c r="W45" s="65"/>
      <c r="X45" s="28" t="s">
        <v>103</v>
      </c>
      <c r="Y45" s="29" t="s">
        <v>103</v>
      </c>
      <c r="Z45" s="29" t="s">
        <v>123</v>
      </c>
      <c r="AA45" s="29" t="s">
        <v>211</v>
      </c>
      <c r="AB45" s="29" t="s">
        <v>261</v>
      </c>
      <c r="AC45" s="29"/>
      <c r="AD45" s="30"/>
      <c r="AE45" s="75"/>
      <c r="AF45" s="29"/>
      <c r="AG45" s="29"/>
      <c r="AH45" s="29"/>
      <c r="AI45" s="30"/>
      <c r="AJ45" s="89" cm="1">
        <f t="array" ref="AJ45">SUMPRODUCT(($E$40:$AI$40="HR")*(E45:AI45=""))+SUMPRODUCT((E45:AI45="HR")*1)</f>
        <v>0</v>
      </c>
      <c r="AK45" s="89" cm="1">
        <f t="array" ref="AK45">SUMPRODUCT(($E$40:$AI$40="N0")*(E45:AI45=""))+SUMPRODUCT((E45:AI45="N")*1)</f>
        <v>18</v>
      </c>
      <c r="AL45" s="88" cm="1">
        <f t="array" ref="AL45">SUMPRODUCT(($E$40:$AI$40="RD")*(E45:AI45=""))+SUMPRODUCT((E45:AI45="RD")*1)</f>
        <v>6</v>
      </c>
      <c r="AM45" s="89" cm="1">
        <f t="array" ref="AM45">SUMPRODUCT((F45:AI45="AL")*1)</f>
        <v>0</v>
      </c>
      <c r="AN45" s="89" cm="1">
        <f t="array" ref="AN45">SUMPRODUCT((F45:AI45="SH")*1)</f>
        <v>0</v>
      </c>
      <c r="AO45" s="89" cm="1">
        <f t="array" ref="AO45">SUMPRODUCT((E45:AI45="SL")*1)</f>
        <v>2</v>
      </c>
      <c r="AP45" s="140" t="e">
        <f>#REF!-AJ45-AK45-AL45-AM45-AN45-AO45</f>
        <v>#REF!</v>
      </c>
    </row>
    <row r="46" spans="1:42" ht="18" customHeight="1">
      <c r="A46" s="1331"/>
      <c r="B46" s="120" t="s">
        <v>49</v>
      </c>
      <c r="C46" s="16" t="s">
        <v>27</v>
      </c>
      <c r="D46" s="22">
        <v>684119</v>
      </c>
      <c r="E46" s="184" t="s">
        <v>81</v>
      </c>
      <c r="F46" s="183" t="s">
        <v>81</v>
      </c>
      <c r="G46" s="183" t="s">
        <v>81</v>
      </c>
      <c r="H46" s="29"/>
      <c r="I46" s="30"/>
      <c r="J46" s="28"/>
      <c r="K46" s="29"/>
      <c r="L46" s="29"/>
      <c r="M46" s="29"/>
      <c r="N46" s="29"/>
      <c r="O46" s="29"/>
      <c r="P46" s="30"/>
      <c r="Q46" s="75"/>
      <c r="R46" s="29"/>
      <c r="S46" s="29"/>
      <c r="T46" s="29"/>
      <c r="U46" s="29"/>
      <c r="V46" s="29"/>
      <c r="W46" s="65"/>
      <c r="X46" s="28"/>
      <c r="Y46" s="29"/>
      <c r="Z46" s="29"/>
      <c r="AA46" s="29" t="s">
        <v>211</v>
      </c>
      <c r="AB46" s="29" t="s">
        <v>261</v>
      </c>
      <c r="AC46" s="29"/>
      <c r="AD46" s="30"/>
      <c r="AE46" s="75"/>
      <c r="AF46" s="29"/>
      <c r="AG46" s="29"/>
      <c r="AH46" s="29"/>
      <c r="AI46" s="30"/>
      <c r="AJ46" s="89" cm="1">
        <f t="array" ref="AJ46">SUMPRODUCT(($E$40:$AI$40="HR")*(E46:AI46=""))+SUMPRODUCT((E46:AI46="HR")*1)</f>
        <v>3</v>
      </c>
      <c r="AK46" s="89" cm="1">
        <f t="array" ref="AK46">SUMPRODUCT(($E$40:$AI$40="N0")*(E46:AI46=""))+SUMPRODUCT((E46:AI46="N")*1)</f>
        <v>17</v>
      </c>
      <c r="AL46" s="88" cm="1">
        <f t="array" ref="AL46">SUMPRODUCT(($E$40:$AI$40="RD")*(E46:AI46=""))+SUMPRODUCT((E46:AI46="RD")*1)</f>
        <v>6</v>
      </c>
      <c r="AM46" s="89" cm="1">
        <f t="array" ref="AM46">SUMPRODUCT((F46:AI46="AL")*1)</f>
        <v>2</v>
      </c>
      <c r="AN46" s="89" cm="1">
        <f t="array" ref="AN46">SUMPRODUCT((F46:AI46="SH")*1)</f>
        <v>0</v>
      </c>
      <c r="AO46" s="89" cm="1">
        <f t="array" ref="AO46">SUMPRODUCT((E46:AI46="SL")*1)</f>
        <v>0</v>
      </c>
      <c r="AP46" s="140" t="e">
        <f>#REF!-AJ46-AK46-AL46-AM46-AN46-AO46</f>
        <v>#REF!</v>
      </c>
    </row>
    <row r="47" spans="1:42" ht="18" customHeight="1">
      <c r="A47" s="1333"/>
      <c r="B47" s="117" t="s">
        <v>57</v>
      </c>
      <c r="C47" s="104" t="s">
        <v>58</v>
      </c>
      <c r="D47" s="105">
        <v>676140</v>
      </c>
      <c r="E47" s="243" t="s">
        <v>88</v>
      </c>
      <c r="F47" s="244" t="s">
        <v>72</v>
      </c>
      <c r="G47" s="240"/>
      <c r="H47" s="240"/>
      <c r="I47" s="238"/>
      <c r="J47" s="246"/>
      <c r="K47" s="240"/>
      <c r="L47" s="240"/>
      <c r="M47" s="240"/>
      <c r="N47" s="240"/>
      <c r="O47" s="240"/>
      <c r="P47" s="238"/>
      <c r="Q47" s="239"/>
      <c r="R47" s="240"/>
      <c r="S47" s="241" t="s">
        <v>81</v>
      </c>
      <c r="T47" s="241" t="s">
        <v>81</v>
      </c>
      <c r="U47" s="241" t="s">
        <v>81</v>
      </c>
      <c r="V47" s="240"/>
      <c r="W47" s="242"/>
      <c r="X47" s="243" t="s">
        <v>88</v>
      </c>
      <c r="Y47" s="240"/>
      <c r="Z47" s="240"/>
      <c r="AA47" s="240"/>
      <c r="AB47" s="240"/>
      <c r="AC47" s="240"/>
      <c r="AD47" s="238"/>
      <c r="AE47" s="1260" t="s">
        <v>315</v>
      </c>
      <c r="AF47" s="1261" t="s">
        <v>315</v>
      </c>
      <c r="AG47" s="241" t="s">
        <v>88</v>
      </c>
      <c r="AH47" s="240"/>
      <c r="AI47" s="238"/>
      <c r="AJ47" s="89" cm="1">
        <f t="array" ref="AJ47">SUMPRODUCT(($E$40:$AI$40="HR")*(E47:AI47=""))+SUMPRODUCT((E47:AI47="HR")*1)</f>
        <v>4</v>
      </c>
      <c r="AK47" s="89" cm="1">
        <f t="array" ref="AK47">SUMPRODUCT(($E$40:$AI$40="N0")*(E47:AI47=""))+SUMPRODUCT((E47:AI47="N")*1)</f>
        <v>12</v>
      </c>
      <c r="AL47" s="88" cm="1">
        <f t="array" ref="AL47">SUMPRODUCT(($E$40:$AI$40="RD")*(E47:AI47=""))+SUMPRODUCT((E47:AI47="RD")*1)</f>
        <v>6</v>
      </c>
      <c r="AM47" s="89" cm="1">
        <f t="array" ref="AM47">SUMPRODUCT((F47:AI47="AL")*1)</f>
        <v>3</v>
      </c>
      <c r="AN47" s="89" cm="1">
        <f t="array" ref="AN47">SUMPRODUCT((F47:AI47="SH")*1)</f>
        <v>2</v>
      </c>
      <c r="AO47" s="89" cm="1">
        <f t="array" ref="AO47">SUMPRODUCT((E47:AI47="SL")*1)</f>
        <v>0</v>
      </c>
      <c r="AP47" s="140" t="e">
        <f>#REF!-AJ47-AK47-AL47-AM47-AN47-AO47</f>
        <v>#REF!</v>
      </c>
    </row>
    <row r="48" spans="1:42" ht="18" customHeight="1">
      <c r="A48" s="1320" t="s">
        <v>125</v>
      </c>
      <c r="B48" s="1334" t="s">
        <v>93</v>
      </c>
      <c r="C48" s="1332"/>
      <c r="D48" s="1332"/>
      <c r="E48" s="387" t="s">
        <v>87</v>
      </c>
      <c r="F48" s="388" t="s">
        <v>87</v>
      </c>
      <c r="G48" s="388" t="s">
        <v>87</v>
      </c>
      <c r="H48" s="389" t="s">
        <v>84</v>
      </c>
      <c r="I48" s="390" t="s">
        <v>84</v>
      </c>
      <c r="J48" s="387" t="s">
        <v>87</v>
      </c>
      <c r="K48" s="388" t="s">
        <v>87</v>
      </c>
      <c r="L48" s="388" t="s">
        <v>87</v>
      </c>
      <c r="M48" s="388" t="s">
        <v>87</v>
      </c>
      <c r="N48" s="388" t="s">
        <v>87</v>
      </c>
      <c r="O48" s="389" t="s">
        <v>84</v>
      </c>
      <c r="P48" s="390" t="s">
        <v>84</v>
      </c>
      <c r="Q48" s="336" t="s">
        <v>87</v>
      </c>
      <c r="R48" s="335" t="s">
        <v>87</v>
      </c>
      <c r="S48" s="335" t="s">
        <v>87</v>
      </c>
      <c r="T48" s="335" t="s">
        <v>87</v>
      </c>
      <c r="U48" s="335" t="s">
        <v>87</v>
      </c>
      <c r="V48" s="389" t="s">
        <v>84</v>
      </c>
      <c r="W48" s="391" t="s">
        <v>84</v>
      </c>
      <c r="X48" s="387" t="s">
        <v>87</v>
      </c>
      <c r="Y48" s="388" t="s">
        <v>87</v>
      </c>
      <c r="Z48" s="388" t="s">
        <v>87</v>
      </c>
      <c r="AA48" s="388" t="s">
        <v>87</v>
      </c>
      <c r="AB48" s="388" t="s">
        <v>87</v>
      </c>
      <c r="AC48" s="389" t="s">
        <v>84</v>
      </c>
      <c r="AD48" s="390" t="s">
        <v>84</v>
      </c>
      <c r="AE48" s="392" t="s">
        <v>87</v>
      </c>
      <c r="AF48" s="388" t="s">
        <v>87</v>
      </c>
      <c r="AG48" s="388" t="s">
        <v>87</v>
      </c>
      <c r="AH48" s="388" t="s">
        <v>87</v>
      </c>
      <c r="AI48" s="393" t="s">
        <v>87</v>
      </c>
    </row>
    <row r="49" spans="1:35" ht="18" customHeight="1">
      <c r="A49" s="1373"/>
      <c r="B49" s="126" t="s">
        <v>43</v>
      </c>
      <c r="C49" s="122" t="s">
        <v>45</v>
      </c>
      <c r="D49" s="158">
        <v>555851</v>
      </c>
      <c r="E49" s="334"/>
      <c r="F49" s="335"/>
      <c r="G49" s="345" t="s">
        <v>316</v>
      </c>
      <c r="H49" s="335"/>
      <c r="I49" s="385"/>
      <c r="J49" s="337"/>
      <c r="K49" s="335"/>
      <c r="L49" s="335"/>
      <c r="M49" s="335"/>
      <c r="N49" s="345" t="s">
        <v>81</v>
      </c>
      <c r="O49" s="335"/>
      <c r="P49" s="385"/>
      <c r="Q49" s="336"/>
      <c r="R49" s="335"/>
      <c r="S49" s="1233" t="s">
        <v>96</v>
      </c>
      <c r="T49" s="335"/>
      <c r="U49" s="335"/>
      <c r="V49" s="335"/>
      <c r="W49" s="386"/>
      <c r="X49" s="337"/>
      <c r="Y49" s="335"/>
      <c r="Z49" s="335"/>
      <c r="AA49" s="335"/>
      <c r="AB49" s="335"/>
      <c r="AC49" s="335"/>
      <c r="AD49" s="385"/>
      <c r="AE49" s="336"/>
      <c r="AF49" s="335"/>
      <c r="AG49" s="335"/>
      <c r="AH49" s="335"/>
      <c r="AI49" s="385"/>
    </row>
    <row r="50" spans="1:35" ht="18" customHeight="1">
      <c r="A50" s="1222" t="s">
        <v>276</v>
      </c>
      <c r="B50" s="1169" t="s">
        <v>277</v>
      </c>
      <c r="C50" s="754" t="s">
        <v>27</v>
      </c>
      <c r="D50" s="755">
        <v>673850</v>
      </c>
      <c r="E50" s="1212" t="s">
        <v>88</v>
      </c>
      <c r="F50" s="60" t="s">
        <v>95</v>
      </c>
      <c r="G50" s="60" t="s">
        <v>95</v>
      </c>
      <c r="H50" s="60" t="s">
        <v>95</v>
      </c>
      <c r="I50" s="64" t="s">
        <v>84</v>
      </c>
      <c r="J50" s="398" t="s">
        <v>95</v>
      </c>
      <c r="K50" s="60" t="s">
        <v>95</v>
      </c>
      <c r="L50" s="60" t="s">
        <v>95</v>
      </c>
      <c r="M50" s="60" t="s">
        <v>95</v>
      </c>
      <c r="N50" s="60" t="s">
        <v>95</v>
      </c>
      <c r="O50" s="399" t="s">
        <v>84</v>
      </c>
      <c r="P50" s="64" t="s">
        <v>84</v>
      </c>
      <c r="Q50" s="62" t="s">
        <v>317</v>
      </c>
      <c r="R50" s="60" t="s">
        <v>317</v>
      </c>
      <c r="S50" s="60" t="s">
        <v>317</v>
      </c>
      <c r="T50" s="60" t="s">
        <v>317</v>
      </c>
      <c r="U50" s="60" t="s">
        <v>95</v>
      </c>
      <c r="V50" s="60" t="s">
        <v>95</v>
      </c>
      <c r="W50" s="63" t="s">
        <v>84</v>
      </c>
      <c r="X50" s="398" t="s">
        <v>95</v>
      </c>
      <c r="Y50" s="60" t="s">
        <v>95</v>
      </c>
      <c r="Z50" s="60" t="s">
        <v>95</v>
      </c>
      <c r="AA50" s="60" t="s">
        <v>95</v>
      </c>
      <c r="AB50" s="60" t="s">
        <v>95</v>
      </c>
      <c r="AC50" s="399" t="s">
        <v>84</v>
      </c>
      <c r="AD50" s="64" t="s">
        <v>84</v>
      </c>
      <c r="AE50" s="62" t="s">
        <v>95</v>
      </c>
      <c r="AF50" s="60" t="s">
        <v>95</v>
      </c>
      <c r="AG50" s="60" t="s">
        <v>95</v>
      </c>
      <c r="AH50" s="60" t="s">
        <v>95</v>
      </c>
      <c r="AI50" s="61" t="s">
        <v>95</v>
      </c>
    </row>
    <row r="51" spans="1:35" ht="18" customHeight="1">
      <c r="A51" s="1398" t="s">
        <v>165</v>
      </c>
      <c r="B51" s="962" t="s">
        <v>282</v>
      </c>
      <c r="C51" s="111" t="s">
        <v>283</v>
      </c>
      <c r="D51" s="112">
        <v>685487</v>
      </c>
      <c r="E51" s="1185" t="s">
        <v>94</v>
      </c>
      <c r="F51" s="834" t="s">
        <v>94</v>
      </c>
      <c r="G51" s="1186" t="s">
        <v>94</v>
      </c>
      <c r="H51" s="839" t="s">
        <v>84</v>
      </c>
      <c r="I51" s="1187" t="s">
        <v>84</v>
      </c>
      <c r="J51" s="1132"/>
      <c r="K51" s="1133"/>
      <c r="L51" s="1133"/>
      <c r="M51" s="1133"/>
      <c r="N51" s="1133"/>
      <c r="O51" s="1133"/>
      <c r="P51" s="1134"/>
      <c r="Q51" s="1135"/>
      <c r="R51" s="1133"/>
      <c r="S51" s="1133"/>
      <c r="T51" s="1133"/>
      <c r="U51" s="1133"/>
      <c r="V51" s="1133"/>
      <c r="W51" s="1136"/>
      <c r="X51" s="1132"/>
      <c r="Y51" s="1133"/>
      <c r="Z51" s="1133"/>
      <c r="AA51" s="1133"/>
      <c r="AB51" s="1133"/>
      <c r="AC51" s="1133"/>
      <c r="AD51" s="1134"/>
      <c r="AE51" s="1135"/>
      <c r="AF51" s="1133"/>
      <c r="AG51" s="1133"/>
      <c r="AH51" s="1133"/>
      <c r="AI51" s="1134"/>
    </row>
    <row r="52" spans="1:35" ht="18" customHeight="1">
      <c r="A52" s="1398"/>
      <c r="B52" s="962" t="s">
        <v>281</v>
      </c>
      <c r="C52" s="111" t="s">
        <v>133</v>
      </c>
      <c r="D52" s="112">
        <v>685417</v>
      </c>
      <c r="E52" s="1194" t="s">
        <v>94</v>
      </c>
      <c r="F52" s="613" t="s">
        <v>94</v>
      </c>
      <c r="G52" s="345" t="s">
        <v>88</v>
      </c>
      <c r="H52" s="345" t="s">
        <v>84</v>
      </c>
      <c r="I52" s="344" t="s">
        <v>84</v>
      </c>
      <c r="J52" s="1161"/>
      <c r="K52" s="1162"/>
      <c r="L52" s="1162"/>
      <c r="M52" s="1162"/>
      <c r="N52" s="1162"/>
      <c r="O52" s="1162"/>
      <c r="P52" s="1163"/>
      <c r="Q52" s="1164"/>
      <c r="R52" s="1162"/>
      <c r="S52" s="1162"/>
      <c r="T52" s="1162"/>
      <c r="U52" s="1162"/>
      <c r="V52" s="1162"/>
      <c r="W52" s="1165"/>
      <c r="X52" s="1161"/>
      <c r="Y52" s="1162"/>
      <c r="Z52" s="1162"/>
      <c r="AA52" s="1162"/>
      <c r="AB52" s="1162"/>
      <c r="AC52" s="1162"/>
      <c r="AD52" s="1163"/>
      <c r="AE52" s="1164"/>
      <c r="AF52" s="1162"/>
      <c r="AG52" s="1162"/>
      <c r="AH52" s="1162"/>
      <c r="AI52" s="1163"/>
    </row>
    <row r="53" spans="1:35">
      <c r="A53" s="1398"/>
      <c r="B53" s="962" t="s">
        <v>318</v>
      </c>
      <c r="C53" s="111" t="s">
        <v>319</v>
      </c>
      <c r="D53" s="112">
        <v>685449</v>
      </c>
      <c r="E53" s="1225"/>
      <c r="F53" s="1226"/>
      <c r="G53" s="1227"/>
      <c r="H53" s="1227"/>
      <c r="I53" s="1228"/>
      <c r="J53" s="1161"/>
      <c r="K53" s="1162"/>
      <c r="L53" s="1162"/>
      <c r="M53" s="1162"/>
      <c r="N53" s="1162"/>
      <c r="O53" s="1162"/>
      <c r="P53" s="1163"/>
      <c r="Q53" s="336" t="s">
        <v>87</v>
      </c>
      <c r="R53" s="335" t="s">
        <v>87</v>
      </c>
      <c r="S53" s="335" t="s">
        <v>87</v>
      </c>
      <c r="T53" s="335" t="s">
        <v>87</v>
      </c>
      <c r="U53" s="335" t="s">
        <v>87</v>
      </c>
      <c r="V53" s="345" t="s">
        <v>84</v>
      </c>
      <c r="W53" s="1229" t="s">
        <v>94</v>
      </c>
      <c r="X53" s="1194" t="s">
        <v>94</v>
      </c>
      <c r="Y53" s="613" t="s">
        <v>94</v>
      </c>
      <c r="Z53" s="613" t="s">
        <v>94</v>
      </c>
      <c r="AA53" s="613" t="s">
        <v>94</v>
      </c>
      <c r="AB53" s="613" t="s">
        <v>94</v>
      </c>
      <c r="AC53" s="345" t="s">
        <v>84</v>
      </c>
      <c r="AD53" s="344" t="s">
        <v>84</v>
      </c>
      <c r="AE53" s="1164"/>
      <c r="AF53" s="1162"/>
      <c r="AG53" s="1162"/>
      <c r="AH53" s="1162"/>
      <c r="AI53" s="1163"/>
    </row>
    <row r="54" spans="1:35">
      <c r="A54" s="14"/>
      <c r="B54" s="14"/>
      <c r="C54" s="15"/>
      <c r="D54" s="15"/>
      <c r="E54" s="1124"/>
      <c r="F54" s="1124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27"/>
      <c r="X54" s="327"/>
      <c r="Y54" s="327"/>
      <c r="Z54" s="327"/>
      <c r="AA54" s="327"/>
      <c r="AB54" s="327"/>
      <c r="AC54" s="327"/>
      <c r="AD54" s="327"/>
      <c r="AE54" s="327"/>
      <c r="AF54" s="327"/>
      <c r="AG54" s="327"/>
      <c r="AH54" s="327"/>
      <c r="AI54" s="327"/>
    </row>
    <row r="55" spans="1:35" ht="18" customHeight="1">
      <c r="D55" s="124" t="s">
        <v>123</v>
      </c>
      <c r="E55" s="123"/>
      <c r="F55" s="1081" t="s">
        <v>320</v>
      </c>
      <c r="G55" s="123"/>
      <c r="H55" s="123"/>
      <c r="I55" s="123"/>
      <c r="J55" s="123"/>
      <c r="K55" s="123"/>
      <c r="L55" s="123"/>
      <c r="M55" s="123"/>
      <c r="N55" s="145"/>
      <c r="O55" s="145"/>
      <c r="U55" s="124" t="s">
        <v>135</v>
      </c>
      <c r="V55" s="123"/>
      <c r="W55" s="1081" t="s">
        <v>321</v>
      </c>
      <c r="X55" s="123"/>
      <c r="Y55" s="123"/>
      <c r="Z55" s="123"/>
      <c r="AA55" s="123"/>
      <c r="AB55" s="123"/>
      <c r="AC55" s="123"/>
      <c r="AD55" s="123"/>
      <c r="AE55" s="135"/>
      <c r="AF55" s="135"/>
      <c r="AG55" s="135"/>
      <c r="AH55" s="135"/>
      <c r="AI55" s="135"/>
    </row>
    <row r="56" spans="1:35" ht="18" customHeight="1"/>
    <row r="57" spans="1:35" ht="18" customHeight="1">
      <c r="D57" s="124" t="s">
        <v>137</v>
      </c>
      <c r="E57" s="123"/>
      <c r="F57" s="123" t="s">
        <v>255</v>
      </c>
      <c r="G57" s="123"/>
      <c r="H57" s="123"/>
      <c r="I57" s="123"/>
      <c r="J57" s="123"/>
      <c r="K57" s="123"/>
      <c r="L57" s="123"/>
      <c r="M57" s="123"/>
      <c r="U57" s="124" t="s">
        <v>124</v>
      </c>
      <c r="V57" s="123"/>
      <c r="W57" s="1081" t="s">
        <v>144</v>
      </c>
      <c r="X57" s="123"/>
      <c r="Y57" s="123"/>
      <c r="Z57" s="123"/>
      <c r="AA57" s="123"/>
      <c r="AB57" s="123"/>
      <c r="AC57" s="123"/>
      <c r="AD57" s="123"/>
    </row>
    <row r="58" spans="1:35" ht="18" customHeight="1">
      <c r="F58" s="123"/>
      <c r="W58" s="1081"/>
    </row>
    <row r="59" spans="1:35" ht="18" customHeight="1">
      <c r="D59" s="124" t="s">
        <v>107</v>
      </c>
      <c r="F59" s="123" t="s">
        <v>146</v>
      </c>
      <c r="G59" s="1082"/>
      <c r="H59" s="1082"/>
      <c r="I59" s="1082"/>
      <c r="J59" s="1082"/>
      <c r="K59" s="1082"/>
      <c r="L59" s="1082"/>
      <c r="M59" s="1082"/>
      <c r="N59" s="1082"/>
      <c r="O59" s="1082"/>
      <c r="P59" s="1082"/>
      <c r="U59" s="124" t="s">
        <v>140</v>
      </c>
      <c r="W59" s="1081" t="s">
        <v>147</v>
      </c>
      <c r="X59" s="123"/>
      <c r="Y59" s="123"/>
      <c r="Z59" s="123"/>
      <c r="AA59" s="123"/>
      <c r="AB59" s="123"/>
      <c r="AC59" s="123"/>
    </row>
    <row r="60" spans="1:35" ht="18" customHeight="1"/>
    <row r="61" spans="1:35" ht="18" customHeight="1">
      <c r="D61" s="124" t="s">
        <v>108</v>
      </c>
      <c r="F61" s="123" t="s">
        <v>287</v>
      </c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U61" s="124" t="s">
        <v>103</v>
      </c>
      <c r="W61" s="1081" t="s">
        <v>286</v>
      </c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</row>
    <row r="62" spans="1:35" ht="18" customHeight="1"/>
    <row r="63" spans="1:35" ht="18" customHeight="1">
      <c r="D63" s="124" t="s">
        <v>105</v>
      </c>
      <c r="F63" s="123" t="s">
        <v>322</v>
      </c>
      <c r="U63" s="124" t="s">
        <v>145</v>
      </c>
      <c r="W63" s="1081" t="s">
        <v>323</v>
      </c>
    </row>
    <row r="64" spans="1:35" ht="18" customHeight="1"/>
    <row r="65" spans="1:41" ht="18" customHeight="1">
      <c r="A65" s="123"/>
      <c r="B65" s="123"/>
      <c r="C65" s="123"/>
      <c r="D65" s="124" t="s">
        <v>122</v>
      </c>
      <c r="E65" s="123"/>
      <c r="F65" s="123" t="s">
        <v>324</v>
      </c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4" t="s">
        <v>115</v>
      </c>
      <c r="W65" s="1081" t="s">
        <v>325</v>
      </c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</row>
    <row r="66" spans="1:41" ht="18" customHeight="1"/>
    <row r="67" spans="1:41" ht="18" customHeight="1">
      <c r="D67" s="124" t="s">
        <v>149</v>
      </c>
      <c r="F67" s="123" t="s">
        <v>326</v>
      </c>
      <c r="U67" s="124" t="s">
        <v>208</v>
      </c>
      <c r="W67" s="1081" t="s">
        <v>253</v>
      </c>
    </row>
    <row r="68" spans="1:41" ht="18" customHeight="1">
      <c r="D68" s="750"/>
      <c r="F68" s="123"/>
      <c r="U68" s="1025"/>
    </row>
    <row r="69" spans="1:41" ht="18" customHeight="1">
      <c r="D69" s="124" t="s">
        <v>230</v>
      </c>
      <c r="F69" s="123" t="s">
        <v>216</v>
      </c>
      <c r="U69" s="124" t="s">
        <v>210</v>
      </c>
      <c r="W69" s="1081" t="s">
        <v>254</v>
      </c>
    </row>
    <row r="70" spans="1:41" ht="18" customHeight="1">
      <c r="D70" s="750"/>
      <c r="F70" s="123"/>
      <c r="U70" s="1025"/>
    </row>
    <row r="71" spans="1:41" ht="18" customHeight="1">
      <c r="D71" s="124" t="s">
        <v>214</v>
      </c>
      <c r="F71" s="123" t="s">
        <v>327</v>
      </c>
      <c r="U71" s="124" t="s">
        <v>212</v>
      </c>
      <c r="W71" s="1081" t="s">
        <v>228</v>
      </c>
    </row>
    <row r="72" spans="1:41" ht="18" customHeight="1">
      <c r="D72" s="750"/>
      <c r="F72" s="123"/>
      <c r="U72" s="750"/>
      <c r="W72" s="1081"/>
    </row>
    <row r="73" spans="1:41" ht="18" customHeight="1">
      <c r="D73" s="124" t="s">
        <v>235</v>
      </c>
      <c r="F73" s="123" t="s">
        <v>328</v>
      </c>
      <c r="U73" s="124" t="s">
        <v>209</v>
      </c>
      <c r="W73" s="1081" t="s">
        <v>229</v>
      </c>
    </row>
    <row r="74" spans="1:41" ht="18" customHeight="1">
      <c r="D74" s="750"/>
      <c r="F74" s="123"/>
      <c r="U74" s="750"/>
      <c r="W74" s="1081"/>
    </row>
    <row r="75" spans="1:41" ht="18" customHeight="1">
      <c r="D75" s="124" t="s">
        <v>211</v>
      </c>
      <c r="F75" s="123" t="s">
        <v>329</v>
      </c>
      <c r="U75" s="124" t="s">
        <v>245</v>
      </c>
      <c r="W75" s="1081" t="s">
        <v>330</v>
      </c>
    </row>
    <row r="76" spans="1:41" ht="18" customHeight="1">
      <c r="D76" s="750"/>
      <c r="F76" s="123"/>
      <c r="U76" s="750"/>
      <c r="W76" s="1081"/>
    </row>
    <row r="77" spans="1:41" ht="18" customHeight="1">
      <c r="D77" s="124" t="s">
        <v>261</v>
      </c>
      <c r="F77" s="123" t="s">
        <v>236</v>
      </c>
      <c r="U77" s="124" t="s">
        <v>309</v>
      </c>
      <c r="W77" s="1081" t="s">
        <v>331</v>
      </c>
    </row>
    <row r="78" spans="1:41" ht="18" customHeight="1">
      <c r="D78" s="750"/>
      <c r="F78" s="123"/>
      <c r="U78" s="750"/>
      <c r="W78" s="1081"/>
    </row>
    <row r="79" spans="1:41" ht="18" customHeight="1">
      <c r="D79" s="124" t="s">
        <v>332</v>
      </c>
      <c r="F79" s="123" t="s">
        <v>333</v>
      </c>
      <c r="U79" s="124" t="s">
        <v>334</v>
      </c>
      <c r="W79" s="1081" t="s">
        <v>335</v>
      </c>
    </row>
    <row r="80" spans="1:41" ht="18" customHeight="1">
      <c r="D80" s="750"/>
      <c r="F80" s="123"/>
      <c r="U80" s="750"/>
      <c r="W80" s="1081"/>
    </row>
    <row r="81" spans="4:35" ht="18" customHeight="1">
      <c r="D81" s="124" t="s">
        <v>310</v>
      </c>
      <c r="F81" s="123" t="s">
        <v>138</v>
      </c>
      <c r="U81" s="124" t="s">
        <v>311</v>
      </c>
      <c r="W81" s="1081" t="s">
        <v>336</v>
      </c>
    </row>
    <row r="82" spans="4:35" ht="18" customHeight="1">
      <c r="D82" s="750"/>
      <c r="F82" s="123"/>
      <c r="U82" s="750"/>
      <c r="W82" s="1081"/>
    </row>
    <row r="83" spans="4:35" ht="18" customHeight="1">
      <c r="D83" s="124" t="s">
        <v>317</v>
      </c>
      <c r="F83" s="123" t="s">
        <v>337</v>
      </c>
      <c r="U83" s="124" t="s">
        <v>312</v>
      </c>
      <c r="W83" s="1081" t="s">
        <v>226</v>
      </c>
    </row>
    <row r="84" spans="4:35" ht="18" customHeight="1">
      <c r="D84" s="750"/>
      <c r="F84" s="123"/>
      <c r="U84" s="750"/>
      <c r="W84" s="1081"/>
    </row>
    <row r="85" spans="4:35" ht="18" customHeight="1">
      <c r="D85" s="124" t="s">
        <v>338</v>
      </c>
      <c r="F85" s="123" t="s">
        <v>292</v>
      </c>
      <c r="U85" s="124" t="s">
        <v>339</v>
      </c>
      <c r="W85" s="1081" t="s">
        <v>340</v>
      </c>
    </row>
    <row r="86" spans="4:35" ht="18" customHeight="1">
      <c r="D86" s="750"/>
      <c r="F86" s="123"/>
      <c r="U86" s="1025" t="s">
        <v>341</v>
      </c>
      <c r="V86" t="s">
        <v>342</v>
      </c>
    </row>
    <row r="87" spans="4:35" ht="16.5" customHeight="1">
      <c r="D87" s="124" t="s">
        <v>308</v>
      </c>
      <c r="F87" s="123"/>
    </row>
    <row r="89" spans="4:35" ht="18" thickTop="1" thickBot="1">
      <c r="D89" s="141" t="s">
        <v>150</v>
      </c>
      <c r="E89" s="62" t="s">
        <v>94</v>
      </c>
      <c r="F89" s="60" t="s">
        <v>94</v>
      </c>
      <c r="G89" s="60" t="s">
        <v>94</v>
      </c>
      <c r="H89" s="60" t="s">
        <v>94</v>
      </c>
      <c r="I89" s="60" t="s">
        <v>94</v>
      </c>
      <c r="J89" s="73" t="s">
        <v>84</v>
      </c>
      <c r="K89" s="61" t="s">
        <v>94</v>
      </c>
      <c r="L89" s="62" t="s">
        <v>94</v>
      </c>
      <c r="M89" s="60" t="s">
        <v>94</v>
      </c>
      <c r="N89" s="60" t="s">
        <v>94</v>
      </c>
      <c r="O89" s="60" t="s">
        <v>94</v>
      </c>
      <c r="P89" s="60" t="s">
        <v>94</v>
      </c>
      <c r="Q89" s="63" t="s">
        <v>84</v>
      </c>
      <c r="R89" s="64" t="s">
        <v>84</v>
      </c>
      <c r="S89" s="129" t="s">
        <v>95</v>
      </c>
      <c r="T89" s="129" t="s">
        <v>95</v>
      </c>
      <c r="U89" s="129" t="s">
        <v>95</v>
      </c>
      <c r="V89" s="129" t="s">
        <v>95</v>
      </c>
      <c r="W89" s="129" t="s">
        <v>95</v>
      </c>
      <c r="X89" s="68" t="s">
        <v>84</v>
      </c>
      <c r="Y89" s="59" t="s">
        <v>84</v>
      </c>
      <c r="Z89" s="62" t="s">
        <v>94</v>
      </c>
      <c r="AA89" s="60" t="s">
        <v>94</v>
      </c>
      <c r="AB89" s="60" t="s">
        <v>94</v>
      </c>
      <c r="AC89" s="60" t="s">
        <v>94</v>
      </c>
      <c r="AD89" s="60" t="s">
        <v>94</v>
      </c>
      <c r="AE89" s="63" t="s">
        <v>84</v>
      </c>
      <c r="AF89" s="60" t="s">
        <v>94</v>
      </c>
      <c r="AG89" s="60" t="s">
        <v>94</v>
      </c>
      <c r="AH89" s="74"/>
      <c r="AI89" s="63" t="s">
        <v>84</v>
      </c>
    </row>
    <row r="90" spans="4:35" ht="17.5" thickBot="1">
      <c r="D90" s="142" t="s">
        <v>151</v>
      </c>
      <c r="E90" s="311">
        <f>COUNTBLANK(E19:E24)</f>
        <v>5</v>
      </c>
      <c r="F90" s="311">
        <f t="shared" ref="F90:AI90" si="0">COUNTBLANK(F19:F24)</f>
        <v>6</v>
      </c>
      <c r="G90" s="311">
        <f t="shared" si="0"/>
        <v>4</v>
      </c>
      <c r="H90" s="311">
        <f t="shared" si="0"/>
        <v>5</v>
      </c>
      <c r="I90" s="311">
        <f t="shared" si="0"/>
        <v>6</v>
      </c>
      <c r="J90" s="311">
        <f t="shared" si="0"/>
        <v>6</v>
      </c>
      <c r="K90" s="311">
        <f t="shared" si="0"/>
        <v>6</v>
      </c>
      <c r="L90" s="311">
        <f t="shared" si="0"/>
        <v>6</v>
      </c>
      <c r="M90" s="311">
        <f t="shared" si="0"/>
        <v>5</v>
      </c>
      <c r="N90" s="311">
        <f t="shared" si="0"/>
        <v>3</v>
      </c>
      <c r="O90" s="311">
        <f t="shared" si="0"/>
        <v>6</v>
      </c>
      <c r="P90" s="311">
        <f t="shared" si="0"/>
        <v>4</v>
      </c>
      <c r="Q90" s="311">
        <f t="shared" si="0"/>
        <v>3</v>
      </c>
      <c r="R90" s="311">
        <f t="shared" si="0"/>
        <v>4</v>
      </c>
      <c r="S90" s="311">
        <f t="shared" si="0"/>
        <v>4</v>
      </c>
      <c r="T90" s="311">
        <f t="shared" si="0"/>
        <v>5</v>
      </c>
      <c r="U90" s="311">
        <f t="shared" si="0"/>
        <v>5</v>
      </c>
      <c r="V90" s="311">
        <f t="shared" si="0"/>
        <v>6</v>
      </c>
      <c r="W90" s="311">
        <f t="shared" si="0"/>
        <v>4</v>
      </c>
      <c r="X90" s="311">
        <f t="shared" si="0"/>
        <v>5</v>
      </c>
      <c r="Y90" s="311">
        <f t="shared" si="0"/>
        <v>5</v>
      </c>
      <c r="Z90" s="311">
        <f t="shared" si="0"/>
        <v>5</v>
      </c>
      <c r="AA90" s="311">
        <f t="shared" si="0"/>
        <v>5</v>
      </c>
      <c r="AB90" s="311">
        <f t="shared" si="0"/>
        <v>4</v>
      </c>
      <c r="AC90" s="311">
        <f t="shared" si="0"/>
        <v>6</v>
      </c>
      <c r="AD90" s="311">
        <f t="shared" si="0"/>
        <v>6</v>
      </c>
      <c r="AE90" s="311">
        <f t="shared" si="0"/>
        <v>4</v>
      </c>
      <c r="AF90" s="311">
        <f t="shared" si="0"/>
        <v>5</v>
      </c>
      <c r="AG90" s="311">
        <f t="shared" si="0"/>
        <v>5</v>
      </c>
      <c r="AH90" s="311"/>
      <c r="AI90" s="311">
        <f t="shared" si="0"/>
        <v>5</v>
      </c>
    </row>
    <row r="91" spans="4:35" ht="18" thickTop="1" thickBot="1">
      <c r="D91" s="143" t="s">
        <v>150</v>
      </c>
      <c r="E91" s="128" t="s">
        <v>94</v>
      </c>
      <c r="F91" s="70" t="s">
        <v>94</v>
      </c>
      <c r="G91" s="70" t="s">
        <v>94</v>
      </c>
      <c r="H91" s="70" t="s">
        <v>94</v>
      </c>
      <c r="I91" s="70" t="s">
        <v>94</v>
      </c>
      <c r="J91" s="71" t="s">
        <v>84</v>
      </c>
      <c r="K91" s="69" t="s">
        <v>94</v>
      </c>
      <c r="L91" s="77" t="s">
        <v>94</v>
      </c>
      <c r="M91" s="70" t="s">
        <v>94</v>
      </c>
      <c r="N91" s="70" t="s">
        <v>94</v>
      </c>
      <c r="O91" s="70" t="s">
        <v>94</v>
      </c>
      <c r="P91" s="70" t="s">
        <v>94</v>
      </c>
      <c r="Q91" s="68" t="s">
        <v>84</v>
      </c>
      <c r="R91" s="69" t="s">
        <v>94</v>
      </c>
      <c r="S91" s="77" t="s">
        <v>94</v>
      </c>
      <c r="T91" s="70" t="s">
        <v>94</v>
      </c>
      <c r="U91" s="70" t="s">
        <v>94</v>
      </c>
      <c r="V91" s="70" t="s">
        <v>94</v>
      </c>
      <c r="W91" s="70" t="s">
        <v>94</v>
      </c>
      <c r="X91" s="76" t="s">
        <v>84</v>
      </c>
      <c r="Y91" s="59" t="s">
        <v>84</v>
      </c>
      <c r="Z91" s="129" t="s">
        <v>95</v>
      </c>
      <c r="AA91" s="129" t="s">
        <v>95</v>
      </c>
      <c r="AB91" s="129" t="s">
        <v>95</v>
      </c>
      <c r="AC91" s="129" t="s">
        <v>95</v>
      </c>
      <c r="AD91" s="129" t="s">
        <v>95</v>
      </c>
      <c r="AE91" s="68" t="s">
        <v>84</v>
      </c>
      <c r="AF91" s="129" t="s">
        <v>95</v>
      </c>
      <c r="AG91" s="129" t="s">
        <v>95</v>
      </c>
      <c r="AH91" s="129"/>
      <c r="AI91" s="68" t="s">
        <v>84</v>
      </c>
    </row>
    <row r="92" spans="4:35" ht="17.5" thickBot="1">
      <c r="D92" s="142" t="s">
        <v>152</v>
      </c>
      <c r="E92" s="311">
        <f>COUNTBLANK(E26:E32)</f>
        <v>4</v>
      </c>
      <c r="F92" s="311">
        <f t="shared" ref="F92:AI92" si="1">COUNTBLANK(F26:F32)</f>
        <v>5</v>
      </c>
      <c r="G92" s="311">
        <f t="shared" si="1"/>
        <v>5</v>
      </c>
      <c r="H92" s="311">
        <f t="shared" si="1"/>
        <v>7</v>
      </c>
      <c r="I92" s="311">
        <f t="shared" si="1"/>
        <v>7</v>
      </c>
      <c r="J92" s="311">
        <f t="shared" si="1"/>
        <v>5</v>
      </c>
      <c r="K92" s="311">
        <f t="shared" si="1"/>
        <v>0</v>
      </c>
      <c r="L92" s="311">
        <f t="shared" si="1"/>
        <v>4</v>
      </c>
      <c r="M92" s="311">
        <f t="shared" si="1"/>
        <v>4</v>
      </c>
      <c r="N92" s="311">
        <f t="shared" si="1"/>
        <v>4</v>
      </c>
      <c r="O92" s="311">
        <f t="shared" si="1"/>
        <v>7</v>
      </c>
      <c r="P92" s="311">
        <f t="shared" si="1"/>
        <v>7</v>
      </c>
      <c r="Q92" s="311">
        <f t="shared" si="1"/>
        <v>6</v>
      </c>
      <c r="R92" s="311">
        <f t="shared" si="1"/>
        <v>6</v>
      </c>
      <c r="S92" s="311">
        <f t="shared" si="1"/>
        <v>6</v>
      </c>
      <c r="T92" s="311">
        <f t="shared" si="1"/>
        <v>6</v>
      </c>
      <c r="U92" s="311">
        <f t="shared" si="1"/>
        <v>4</v>
      </c>
      <c r="V92" s="311">
        <f t="shared" si="1"/>
        <v>6</v>
      </c>
      <c r="W92" s="311">
        <f t="shared" si="1"/>
        <v>5</v>
      </c>
      <c r="X92" s="311">
        <f t="shared" si="1"/>
        <v>6</v>
      </c>
      <c r="Y92" s="311">
        <f t="shared" si="1"/>
        <v>6</v>
      </c>
      <c r="Z92" s="311">
        <f t="shared" si="1"/>
        <v>6</v>
      </c>
      <c r="AA92" s="311">
        <f t="shared" si="1"/>
        <v>6</v>
      </c>
      <c r="AB92" s="311">
        <f t="shared" si="1"/>
        <v>6</v>
      </c>
      <c r="AC92" s="311">
        <f t="shared" si="1"/>
        <v>6</v>
      </c>
      <c r="AD92" s="311">
        <f t="shared" si="1"/>
        <v>5</v>
      </c>
      <c r="AE92" s="311">
        <f t="shared" si="1"/>
        <v>5</v>
      </c>
      <c r="AF92" s="311">
        <f t="shared" si="1"/>
        <v>5</v>
      </c>
      <c r="AG92" s="311">
        <f t="shared" si="1"/>
        <v>6</v>
      </c>
      <c r="AH92" s="311"/>
      <c r="AI92" s="311">
        <f t="shared" si="1"/>
        <v>5</v>
      </c>
    </row>
    <row r="93" spans="4:35" ht="18" thickTop="1" thickBot="1">
      <c r="D93" s="143" t="s">
        <v>150</v>
      </c>
      <c r="E93" s="129" t="s">
        <v>95</v>
      </c>
      <c r="F93" s="129" t="s">
        <v>95</v>
      </c>
      <c r="G93" s="129" t="s">
        <v>95</v>
      </c>
      <c r="H93" s="129" t="s">
        <v>95</v>
      </c>
      <c r="I93" s="129" t="s">
        <v>95</v>
      </c>
      <c r="J93" s="76" t="s">
        <v>84</v>
      </c>
      <c r="K93" s="59" t="s">
        <v>84</v>
      </c>
      <c r="L93" s="128" t="s">
        <v>94</v>
      </c>
      <c r="M93" s="70" t="s">
        <v>94</v>
      </c>
      <c r="N93" s="70" t="s">
        <v>94</v>
      </c>
      <c r="O93" s="70" t="s">
        <v>94</v>
      </c>
      <c r="P93" s="70" t="s">
        <v>94</v>
      </c>
      <c r="Q93" s="71" t="s">
        <v>84</v>
      </c>
      <c r="R93" s="69" t="s">
        <v>94</v>
      </c>
      <c r="S93" s="77" t="s">
        <v>94</v>
      </c>
      <c r="T93" s="70" t="s">
        <v>94</v>
      </c>
      <c r="U93" s="70" t="s">
        <v>94</v>
      </c>
      <c r="V93" s="70" t="s">
        <v>94</v>
      </c>
      <c r="W93" s="70" t="s">
        <v>94</v>
      </c>
      <c r="X93" s="76" t="s">
        <v>84</v>
      </c>
      <c r="Y93" s="69" t="s">
        <v>94</v>
      </c>
      <c r="Z93" s="77" t="s">
        <v>94</v>
      </c>
      <c r="AA93" s="70" t="s">
        <v>94</v>
      </c>
      <c r="AB93" s="70" t="s">
        <v>94</v>
      </c>
      <c r="AC93" s="70" t="s">
        <v>94</v>
      </c>
      <c r="AD93" s="70" t="s">
        <v>94</v>
      </c>
      <c r="AE93" s="76" t="s">
        <v>84</v>
      </c>
      <c r="AF93" s="70" t="s">
        <v>94</v>
      </c>
      <c r="AG93" s="70" t="s">
        <v>94</v>
      </c>
      <c r="AH93" s="77"/>
      <c r="AI93" s="76" t="s">
        <v>84</v>
      </c>
    </row>
    <row r="94" spans="4:35" ht="17.5" thickBot="1">
      <c r="D94" s="142" t="s">
        <v>117</v>
      </c>
      <c r="E94" s="311">
        <f t="shared" ref="E94:AG94" si="2">COUNTBLANK(E34:E39)</f>
        <v>6</v>
      </c>
      <c r="F94" s="311">
        <f t="shared" si="2"/>
        <v>6</v>
      </c>
      <c r="G94" s="311">
        <f t="shared" si="2"/>
        <v>5</v>
      </c>
      <c r="H94" s="311">
        <f t="shared" si="2"/>
        <v>6</v>
      </c>
      <c r="I94" s="311">
        <f t="shared" si="2"/>
        <v>5</v>
      </c>
      <c r="J94" s="311">
        <f t="shared" si="2"/>
        <v>6</v>
      </c>
      <c r="K94" s="311">
        <f t="shared" si="2"/>
        <v>6</v>
      </c>
      <c r="L94" s="311">
        <f t="shared" si="2"/>
        <v>6</v>
      </c>
      <c r="M94" s="311">
        <f t="shared" si="2"/>
        <v>5</v>
      </c>
      <c r="N94" s="311">
        <f t="shared" si="2"/>
        <v>5</v>
      </c>
      <c r="O94" s="311">
        <f t="shared" si="2"/>
        <v>6</v>
      </c>
      <c r="P94" s="311">
        <f t="shared" si="2"/>
        <v>6</v>
      </c>
      <c r="Q94" s="311">
        <f t="shared" si="2"/>
        <v>3</v>
      </c>
      <c r="R94" s="311">
        <f t="shared" si="2"/>
        <v>3</v>
      </c>
      <c r="S94" s="311">
        <f t="shared" si="2"/>
        <v>3</v>
      </c>
      <c r="T94" s="311">
        <f t="shared" si="2"/>
        <v>3</v>
      </c>
      <c r="U94" s="311">
        <f t="shared" si="2"/>
        <v>3</v>
      </c>
      <c r="V94" s="311">
        <f t="shared" si="2"/>
        <v>5</v>
      </c>
      <c r="W94" s="311">
        <f t="shared" si="2"/>
        <v>6</v>
      </c>
      <c r="X94" s="311">
        <f t="shared" si="2"/>
        <v>5</v>
      </c>
      <c r="Y94" s="311">
        <f t="shared" si="2"/>
        <v>6</v>
      </c>
      <c r="Z94" s="311">
        <f t="shared" si="2"/>
        <v>6</v>
      </c>
      <c r="AA94" s="311">
        <f t="shared" si="2"/>
        <v>6</v>
      </c>
      <c r="AB94" s="311">
        <f t="shared" si="2"/>
        <v>4</v>
      </c>
      <c r="AC94" s="311">
        <f t="shared" si="2"/>
        <v>6</v>
      </c>
      <c r="AD94" s="311">
        <f t="shared" si="2"/>
        <v>4</v>
      </c>
      <c r="AE94" s="311">
        <f t="shared" si="2"/>
        <v>4</v>
      </c>
      <c r="AF94" s="311">
        <f t="shared" si="2"/>
        <v>3</v>
      </c>
      <c r="AG94" s="311">
        <f t="shared" si="2"/>
        <v>4</v>
      </c>
      <c r="AH94" s="311"/>
      <c r="AI94" s="311">
        <f>COUNTBLANK(AI34:AI39)</f>
        <v>4</v>
      </c>
    </row>
    <row r="95" spans="4:35" ht="18" thickTop="1" thickBot="1">
      <c r="D95" s="144" t="s">
        <v>150</v>
      </c>
      <c r="E95" s="109" t="s">
        <v>94</v>
      </c>
      <c r="F95" s="110" t="s">
        <v>84</v>
      </c>
      <c r="G95" s="59" t="s">
        <v>84</v>
      </c>
      <c r="H95" s="129" t="s">
        <v>95</v>
      </c>
      <c r="I95" s="129" t="s">
        <v>95</v>
      </c>
      <c r="J95" s="129" t="s">
        <v>95</v>
      </c>
      <c r="K95" s="129" t="s">
        <v>95</v>
      </c>
      <c r="L95" s="129" t="s">
        <v>95</v>
      </c>
      <c r="M95" s="76" t="s">
        <v>84</v>
      </c>
      <c r="N95" s="59" t="s">
        <v>84</v>
      </c>
      <c r="O95" s="128" t="s">
        <v>94</v>
      </c>
      <c r="P95" s="70" t="s">
        <v>94</v>
      </c>
      <c r="Q95" s="70" t="s">
        <v>94</v>
      </c>
      <c r="R95" s="70" t="s">
        <v>94</v>
      </c>
      <c r="S95" s="70" t="s">
        <v>94</v>
      </c>
      <c r="T95" s="71" t="s">
        <v>84</v>
      </c>
      <c r="U95" s="69" t="s">
        <v>94</v>
      </c>
      <c r="V95" s="77" t="s">
        <v>94</v>
      </c>
      <c r="W95" s="70" t="s">
        <v>94</v>
      </c>
      <c r="X95" s="70" t="s">
        <v>94</v>
      </c>
      <c r="Y95" s="70" t="s">
        <v>94</v>
      </c>
      <c r="Z95" s="70" t="s">
        <v>94</v>
      </c>
      <c r="AA95" s="76" t="s">
        <v>84</v>
      </c>
      <c r="AB95" s="69" t="s">
        <v>94</v>
      </c>
      <c r="AC95" s="77" t="s">
        <v>94</v>
      </c>
      <c r="AD95" s="70" t="s">
        <v>94</v>
      </c>
      <c r="AE95" s="69" t="s">
        <v>94</v>
      </c>
      <c r="AF95" s="77" t="s">
        <v>94</v>
      </c>
      <c r="AG95" s="70" t="s">
        <v>94</v>
      </c>
      <c r="AH95" s="66"/>
      <c r="AI95" s="69" t="s">
        <v>94</v>
      </c>
    </row>
    <row r="96" spans="4:35" ht="17.5" thickBot="1">
      <c r="D96" s="142" t="s">
        <v>119</v>
      </c>
      <c r="E96" s="311">
        <f>COUNTBLANK(E41:E47)</f>
        <v>4</v>
      </c>
      <c r="F96" s="311">
        <f t="shared" ref="F96:AI96" si="3">COUNTBLANK(F41:F47)</f>
        <v>4</v>
      </c>
      <c r="G96" s="311">
        <f t="shared" si="3"/>
        <v>5</v>
      </c>
      <c r="H96" s="311">
        <f t="shared" si="3"/>
        <v>7</v>
      </c>
      <c r="I96" s="311">
        <f t="shared" si="3"/>
        <v>7</v>
      </c>
      <c r="J96" s="311">
        <f t="shared" si="3"/>
        <v>7</v>
      </c>
      <c r="K96" s="311">
        <f t="shared" si="3"/>
        <v>7</v>
      </c>
      <c r="L96" s="311">
        <f t="shared" si="3"/>
        <v>7</v>
      </c>
      <c r="M96" s="311">
        <f t="shared" si="3"/>
        <v>7</v>
      </c>
      <c r="N96" s="311">
        <f t="shared" si="3"/>
        <v>7</v>
      </c>
      <c r="O96" s="311">
        <f t="shared" si="3"/>
        <v>7</v>
      </c>
      <c r="P96" s="311">
        <f t="shared" si="3"/>
        <v>7</v>
      </c>
      <c r="Q96" s="311">
        <f t="shared" si="3"/>
        <v>5</v>
      </c>
      <c r="R96" s="311">
        <f t="shared" si="3"/>
        <v>5</v>
      </c>
      <c r="S96" s="311">
        <f t="shared" si="3"/>
        <v>5</v>
      </c>
      <c r="T96" s="311">
        <f t="shared" si="3"/>
        <v>4</v>
      </c>
      <c r="U96" s="311">
        <f t="shared" si="3"/>
        <v>3</v>
      </c>
      <c r="V96" s="311">
        <f t="shared" si="3"/>
        <v>7</v>
      </c>
      <c r="W96" s="311">
        <f t="shared" si="3"/>
        <v>7</v>
      </c>
      <c r="X96" s="311">
        <f t="shared" si="3"/>
        <v>2</v>
      </c>
      <c r="Y96" s="311">
        <f t="shared" si="3"/>
        <v>3</v>
      </c>
      <c r="Z96" s="311">
        <f t="shared" si="3"/>
        <v>4</v>
      </c>
      <c r="AA96" s="311">
        <f t="shared" si="3"/>
        <v>1</v>
      </c>
      <c r="AB96" s="311">
        <f t="shared" si="3"/>
        <v>2</v>
      </c>
      <c r="AC96" s="311">
        <f t="shared" si="3"/>
        <v>7</v>
      </c>
      <c r="AD96" s="311">
        <f t="shared" si="3"/>
        <v>7</v>
      </c>
      <c r="AE96" s="311">
        <f t="shared" si="3"/>
        <v>5</v>
      </c>
      <c r="AF96" s="311">
        <f t="shared" si="3"/>
        <v>5</v>
      </c>
      <c r="AG96" s="311">
        <f t="shared" si="3"/>
        <v>6</v>
      </c>
      <c r="AH96" s="311"/>
      <c r="AI96" s="311">
        <f t="shared" si="3"/>
        <v>7</v>
      </c>
    </row>
  </sheetData>
  <sheetProtection algorithmName="SHA-512" hashValue="SBicfBhlMy+P/rjeiHUsuJuOkww0lYYFml4S06xTC5O+45pTUJoiYcA17auYvPtZ5r3p0V8CmWNiGA1n7yqovg==" saltValue="xISRukLfMeOLKVuAniLn8Q==" spinCount="100000" sheet="1" objects="1" scenarios="1"/>
  <mergeCells count="26">
    <mergeCell ref="A51:A53"/>
    <mergeCell ref="A18:A24"/>
    <mergeCell ref="B18:D18"/>
    <mergeCell ref="B48:D48"/>
    <mergeCell ref="A25:A32"/>
    <mergeCell ref="B25:D25"/>
    <mergeCell ref="A33:A39"/>
    <mergeCell ref="B33:D33"/>
    <mergeCell ref="A40:A47"/>
    <mergeCell ref="B40:D40"/>
    <mergeCell ref="A48:A49"/>
    <mergeCell ref="A14:A15"/>
    <mergeCell ref="B14:D14"/>
    <mergeCell ref="A16:A17"/>
    <mergeCell ref="B16:D16"/>
    <mergeCell ref="E2:AI2"/>
    <mergeCell ref="E3:AI3"/>
    <mergeCell ref="A8:A9"/>
    <mergeCell ref="A10:A11"/>
    <mergeCell ref="A12:A13"/>
    <mergeCell ref="B12:D12"/>
    <mergeCell ref="J4:P4"/>
    <mergeCell ref="Q4:W4"/>
    <mergeCell ref="X4:AD4"/>
    <mergeCell ref="E4:I4"/>
    <mergeCell ref="AE4:AI4"/>
  </mergeCells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4C28DEC8-220B-4C52-B7EF-4452DA17F253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8864FFD7-A4D6-43FD-8A16-286FD6D2CC8C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0D99EF02-B6F9-4E0C-8AE2-EA88E4A68787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FF11E395-184A-4E30-89B4-0F0EBF0E9C7F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169ABBE8-F250-47F2-96CB-B9CDAE3B9A79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29EE1E00-F7CD-45E2-B8CA-EB3C10BDE3CA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F80AE456-3769-4619-B518-A0301FF822AF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0B8E9E98-8EC4-4964-93AA-65F529005C4D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97D16633-119C-4295-AF10-DDC3723132C3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329B72D6-5F0C-4655-900E-7FC0DEC84829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2C61A886-F7EF-4BE2-A9DB-438853DC37DB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68EF256E-7502-4630-BC35-DA58FABFEBDB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50A0E792-A537-4319-9F69-3F9C85908FC1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4F463015-77DA-4D68-BE1F-FA8F7DBE1FFA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0799A342-95BF-4643-9F24-92AD740FD72E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4DA4F3A6-1847-4B75-9597-092832FBD083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F10C1891-E13B-4CA7-A8AE-82B170299D4C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EF3DC782-E5DF-4EDD-8B27-4F718288EBCB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8B160519-028F-494F-A995-ABD22656C2C6}">
            <xm:f>'OHLR DUAT'!$F$18&gt;2</xm:f>
            <x14:dxf/>
          </x14:cfRule>
          <x14:cfRule type="expression" priority="21" stopIfTrue="1" id="{41336E73-80C8-4B0F-9930-8D09A4708FE0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75087D4D-1962-4D24-962F-3E19A8A40FE7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5586991A-8006-4D63-9AED-D8446ACE8B3A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EDFFEE3E-696E-4BA8-8BFA-0DDE8747FA9D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5B70888F-0C03-405D-99CF-6EB76DD17D06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697A17B6-7163-4508-986A-886D535734E2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39BFACB7-4EF6-4160-9D24-267D00EC5AC5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AC8F9473-D58E-4489-BD35-7C55BE380350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E7C5E771-A2FC-43A0-8A0C-7120E4865133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6584ACA3-4B8D-4CD4-AF1B-7E9BD4C94EC1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D1649BE6-156D-4684-979B-EBF6A13E00EC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6B000909-CE39-457A-8458-B462A84D22D4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B303F7C7-C60B-4DBB-87FB-1F0E639AB4C5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FA902AAE-6E75-43FF-9F92-657FC0A06A2B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E4693D3D-5939-493D-8F1A-B8EAC4085546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99020FE1-4B47-476E-B22A-665500DE3409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0" id="{43AA2DAE-3EBE-4CFB-9EA5-29D3FE511373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ABD5504B-FD13-4421-AEBC-D3F62DA33D34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49F199C5-C752-4B2A-9F04-E427610B00A8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" id="{6E2E5A78-7EE5-47AA-BEEE-7DD50CDA5C49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15EDF79F-7B4F-4330-831C-3E61FF1463B5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4577BA65-4223-4D27-9793-8A51BE220DB1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" id="{19D61687-DD2A-490F-9C2A-88E462C89AA0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A6849E9F-073E-4CF1-AB5F-944BA758EAA4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A5ABBF85-E6EE-4FB0-A5F3-7B19233233DD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2" stopIfTrue="1" id="{7AF1F63A-83A8-43B1-B4B5-E927B1818A8D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82EC5514-AB55-4391-B4EF-41C9D643289C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963F65F4-61CE-4BF3-81D6-4AFB2DAF02D4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96110706-D9C5-478E-8504-8097A54C9DDA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F16E4762-EEAB-4055-8706-BF559E260DDE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FB0873B1-9D5E-4E98-AF42-2E9EADF217EA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A282FADD-1C0B-4FC5-8CE5-4DBE1B81FDA2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36D8D098-AD18-464A-9797-0F510FC2F106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5844B7EC-95F6-419E-A7BF-A9280877938E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F5474C01-0B46-4685-98B3-3B6AE54BAD48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D2751FDC-34E3-45F6-98B5-E04329CB8A4E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C5F7226D-1DB2-4ABA-A360-D0D8BE02F244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F04FD3EE-3976-4361-A3D4-2C90DA380D6E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570464F5-3057-45CC-8864-06F020B726FD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0A27D8EA-E63F-4975-8101-27F514A388AF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C7570393-BA10-4A40-A75D-525848E017BA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64366BCE-0D54-40CB-9DC3-AAEBB77FE37A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AF1FE4A2-44C7-4BA3-AABD-7E895389DDFC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42B2E9BE-F84E-4771-A582-75A8B0C432D9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5B029FC9-3DC7-4630-A189-A9079283FCA0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CDB1238E-A5BD-46F5-8C0D-380239D02037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56CFB1E6-4593-4932-ACCD-4CECB7DB8AD9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A791EEB1-3B88-46AB-B965-84000814FC2E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E7FFAB30-7949-445C-B085-760AB4EAC414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0406ECFE-5854-4721-B33E-90A49F993153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D56BC54E-A4C7-4032-A017-F30838A1E0EA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716196D5-73CF-4796-9B33-0C227D0CA5DB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693513AE-F0C6-4EE8-96D0-B4766B3EE05B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E42C97D6-BC1B-436B-A218-E19ECB0C91FB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B50829BC-E00E-46D0-9ABF-4FDD76B222C6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E78FA854-68E6-4F43-BACB-912B39D90285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A892E2CD-BB71-4C77-948F-B5DE76AC393C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8C312D9F-F93C-4E5D-B646-5391C67104D7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ED8EB7B8-16E1-4CD6-B1E5-C2D6FACE5873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37" id="{8AD10DA9-F2C2-4260-A37F-0C416E663C66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3" id="{7F1E86C7-2FC0-48E6-B761-FB55BCCC3CD1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6" id="{9C77D87A-2B4F-4A5C-8CD6-7186C601C5A3}">
            <xm:f>VLOOKUP(#REF!,'OHLR DUAT'!$B$4:$E$15,4,FALSE)</xm:f>
            <x14:dxf/>
          </x14:cfRule>
          <xm:sqref>E8:AI9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6547-0101-4A27-A3BF-B0940EABC838}">
  <dimension ref="A1:AP86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Q64" sqref="Q64"/>
    </sheetView>
  </sheetViews>
  <sheetFormatPr defaultRowHeight="15" customHeight="1"/>
  <cols>
    <col min="1" max="1" width="11.453125" bestFit="1" customWidth="1"/>
    <col min="2" max="2" width="23.26953125" style="49" bestFit="1" customWidth="1"/>
    <col min="3" max="4" width="10.6328125" customWidth="1"/>
    <col min="5" max="7" width="6.6328125" customWidth="1"/>
    <col min="8" max="8" width="7.6328125" bestFit="1" customWidth="1"/>
    <col min="9" max="9" width="6.6328125" customWidth="1"/>
    <col min="10" max="10" width="8.6328125" bestFit="1" customWidth="1"/>
    <col min="11" max="11" width="8.26953125" bestFit="1" customWidth="1"/>
    <col min="12" max="14" width="6.6328125" customWidth="1"/>
    <col min="15" max="15" width="8.6328125" bestFit="1" customWidth="1"/>
    <col min="16" max="21" width="6.6328125" customWidth="1"/>
    <col min="22" max="22" width="8.7265625" customWidth="1"/>
    <col min="23" max="23" width="6.6328125" customWidth="1"/>
    <col min="24" max="24" width="8.7265625" bestFit="1" customWidth="1"/>
    <col min="25" max="25" width="12.90625" bestFit="1" customWidth="1"/>
    <col min="26" max="27" width="6.6328125" customWidth="1"/>
    <col min="28" max="28" width="8.7265625" bestFit="1" customWidth="1"/>
    <col min="29" max="30" width="6.6328125" customWidth="1"/>
    <col min="31" max="31" width="7.08984375" bestFit="1" customWidth="1"/>
    <col min="32" max="35" width="6.6328125" customWidth="1"/>
  </cols>
  <sheetData>
    <row r="1" spans="1:42" ht="17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42" ht="20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448"/>
    </row>
    <row r="3" spans="1:42" ht="18" customHeight="1">
      <c r="A3" s="19"/>
      <c r="B3" s="43"/>
      <c r="C3" s="19"/>
      <c r="D3" s="19"/>
      <c r="E3" s="1405" t="s">
        <v>343</v>
      </c>
      <c r="F3" s="1406"/>
      <c r="G3" s="1406"/>
      <c r="H3" s="1406"/>
      <c r="I3" s="1406"/>
      <c r="J3" s="1406"/>
      <c r="K3" s="1406"/>
      <c r="L3" s="1406"/>
      <c r="M3" s="1406"/>
      <c r="N3" s="1406"/>
      <c r="O3" s="1406"/>
      <c r="P3" s="1406"/>
      <c r="Q3" s="1406"/>
      <c r="R3" s="1406"/>
      <c r="S3" s="1406"/>
      <c r="T3" s="1406"/>
      <c r="U3" s="1406"/>
      <c r="V3" s="1406"/>
      <c r="W3" s="1406"/>
      <c r="X3" s="1406"/>
      <c r="Y3" s="1406"/>
      <c r="Z3" s="1406"/>
      <c r="AA3" s="1406"/>
      <c r="AB3" s="1406"/>
      <c r="AC3" s="1406"/>
      <c r="AD3" s="1406"/>
      <c r="AE3" s="1406"/>
      <c r="AF3" s="1406"/>
      <c r="AG3" s="1406"/>
      <c r="AH3" s="1406"/>
      <c r="AI3" s="1406"/>
    </row>
    <row r="4" spans="1:42" s="31" customFormat="1" ht="18" customHeight="1">
      <c r="A4" s="19"/>
      <c r="B4" s="43"/>
      <c r="C4" s="19"/>
      <c r="D4" s="19"/>
      <c r="E4" s="1399" t="s">
        <v>300</v>
      </c>
      <c r="F4" s="1403"/>
      <c r="G4" s="1399" t="s">
        <v>344</v>
      </c>
      <c r="H4" s="1400"/>
      <c r="I4" s="1400"/>
      <c r="J4" s="1400"/>
      <c r="K4" s="1400"/>
      <c r="L4" s="1400"/>
      <c r="M4" s="1401"/>
      <c r="N4" s="1402" t="s">
        <v>345</v>
      </c>
      <c r="O4" s="1400"/>
      <c r="P4" s="1400"/>
      <c r="Q4" s="1400"/>
      <c r="R4" s="1400"/>
      <c r="S4" s="1400"/>
      <c r="T4" s="1403"/>
      <c r="U4" s="1399" t="s">
        <v>346</v>
      </c>
      <c r="V4" s="1400"/>
      <c r="W4" s="1400"/>
      <c r="X4" s="1400"/>
      <c r="Y4" s="1400"/>
      <c r="Z4" s="1400"/>
      <c r="AA4" s="1401"/>
      <c r="AB4" s="1404" t="s">
        <v>347</v>
      </c>
      <c r="AC4" s="1404"/>
      <c r="AD4" s="1404"/>
      <c r="AE4" s="1404"/>
      <c r="AF4" s="1404"/>
      <c r="AG4" s="1404"/>
      <c r="AH4" s="1404"/>
      <c r="AI4" s="1108" t="s">
        <v>348</v>
      </c>
    </row>
    <row r="5" spans="1:42" s="31" customFormat="1" ht="18" customHeight="1">
      <c r="A5" s="14"/>
      <c r="B5" s="42"/>
      <c r="C5" s="15"/>
      <c r="D5" s="15"/>
      <c r="E5" s="428">
        <v>46235</v>
      </c>
      <c r="F5" s="432">
        <v>46236</v>
      </c>
      <c r="G5" s="428">
        <v>46237</v>
      </c>
      <c r="H5" s="418">
        <v>46238</v>
      </c>
      <c r="I5" s="418">
        <v>46239</v>
      </c>
      <c r="J5" s="418">
        <v>46240</v>
      </c>
      <c r="K5" s="418">
        <v>46241</v>
      </c>
      <c r="L5" s="418">
        <v>46242</v>
      </c>
      <c r="M5" s="429">
        <v>46243</v>
      </c>
      <c r="N5" s="426">
        <v>46244</v>
      </c>
      <c r="O5" s="418">
        <v>46245</v>
      </c>
      <c r="P5" s="418">
        <v>46246</v>
      </c>
      <c r="Q5" s="418">
        <v>46247</v>
      </c>
      <c r="R5" s="418">
        <v>46248</v>
      </c>
      <c r="S5" s="418">
        <v>46249</v>
      </c>
      <c r="T5" s="432">
        <v>46250</v>
      </c>
      <c r="U5" s="428">
        <v>46251</v>
      </c>
      <c r="V5" s="418">
        <v>46252</v>
      </c>
      <c r="W5" s="418">
        <v>46253</v>
      </c>
      <c r="X5" s="418">
        <v>46254</v>
      </c>
      <c r="Y5" s="418">
        <v>46255</v>
      </c>
      <c r="Z5" s="418">
        <v>46256</v>
      </c>
      <c r="AA5" s="429">
        <v>46257</v>
      </c>
      <c r="AB5" s="426">
        <v>46258</v>
      </c>
      <c r="AC5" s="418">
        <v>46259</v>
      </c>
      <c r="AD5" s="418">
        <v>46260</v>
      </c>
      <c r="AE5" s="418">
        <v>46261</v>
      </c>
      <c r="AF5" s="418">
        <v>46262</v>
      </c>
      <c r="AG5" s="418">
        <v>46263</v>
      </c>
      <c r="AH5" s="432">
        <v>46264</v>
      </c>
      <c r="AI5" s="1123">
        <v>31</v>
      </c>
    </row>
    <row r="6" spans="1:42" s="31" customFormat="1" ht="18" customHeight="1">
      <c r="A6" s="19"/>
      <c r="B6" s="43"/>
      <c r="C6" s="19"/>
      <c r="D6" s="19"/>
      <c r="E6" s="424" t="s">
        <v>69</v>
      </c>
      <c r="F6" s="433" t="s">
        <v>70</v>
      </c>
      <c r="G6" s="424" t="s">
        <v>71</v>
      </c>
      <c r="H6" s="419" t="s">
        <v>72</v>
      </c>
      <c r="I6" s="419" t="s">
        <v>73</v>
      </c>
      <c r="J6" s="419" t="s">
        <v>67</v>
      </c>
      <c r="K6" s="419" t="s">
        <v>68</v>
      </c>
      <c r="L6" s="419" t="s">
        <v>69</v>
      </c>
      <c r="M6" s="425" t="s">
        <v>70</v>
      </c>
      <c r="N6" s="427" t="s">
        <v>71</v>
      </c>
      <c r="O6" s="419" t="s">
        <v>72</v>
      </c>
      <c r="P6" s="419" t="s">
        <v>73</v>
      </c>
      <c r="Q6" s="419" t="s">
        <v>67</v>
      </c>
      <c r="R6" s="419" t="s">
        <v>68</v>
      </c>
      <c r="S6" s="419" t="s">
        <v>69</v>
      </c>
      <c r="T6" s="433" t="s">
        <v>70</v>
      </c>
      <c r="U6" s="424" t="s">
        <v>71</v>
      </c>
      <c r="V6" s="1281" t="s">
        <v>72</v>
      </c>
      <c r="W6" s="1281" t="s">
        <v>73</v>
      </c>
      <c r="X6" s="1281" t="s">
        <v>67</v>
      </c>
      <c r="Y6" s="419" t="s">
        <v>68</v>
      </c>
      <c r="Z6" s="419" t="s">
        <v>69</v>
      </c>
      <c r="AA6" s="425" t="s">
        <v>70</v>
      </c>
      <c r="AB6" s="427" t="s">
        <v>71</v>
      </c>
      <c r="AC6" s="419" t="s">
        <v>72</v>
      </c>
      <c r="AD6" s="419" t="s">
        <v>73</v>
      </c>
      <c r="AE6" s="419" t="s">
        <v>67</v>
      </c>
      <c r="AF6" s="419" t="s">
        <v>68</v>
      </c>
      <c r="AG6" s="419" t="s">
        <v>69</v>
      </c>
      <c r="AH6" s="433" t="s">
        <v>70</v>
      </c>
      <c r="AI6" s="1109" t="s">
        <v>71</v>
      </c>
    </row>
    <row r="7" spans="1:42" ht="18" customHeight="1">
      <c r="A7" s="24" t="s">
        <v>74</v>
      </c>
      <c r="B7" s="113" t="s">
        <v>75</v>
      </c>
      <c r="C7" s="25" t="s">
        <v>76</v>
      </c>
      <c r="D7" s="26" t="s">
        <v>77</v>
      </c>
      <c r="E7" s="430"/>
      <c r="F7" s="434"/>
      <c r="G7" s="437"/>
      <c r="H7" s="438"/>
      <c r="I7" s="438"/>
      <c r="J7" s="438"/>
      <c r="K7" s="438"/>
      <c r="L7" s="438"/>
      <c r="M7" s="439"/>
      <c r="N7" s="440"/>
      <c r="O7" s="438"/>
      <c r="P7" s="438"/>
      <c r="Q7" s="438"/>
      <c r="R7" s="438"/>
      <c r="S7" s="438"/>
      <c r="T7" s="442"/>
      <c r="U7" s="437"/>
      <c r="V7" s="438"/>
      <c r="W7" s="438"/>
      <c r="X7" s="438"/>
      <c r="Y7" s="438"/>
      <c r="Z7" s="438"/>
      <c r="AA7" s="439"/>
      <c r="AB7" s="440"/>
      <c r="AC7" s="438"/>
      <c r="AD7" s="438"/>
      <c r="AE7" s="438"/>
      <c r="AF7" s="438"/>
      <c r="AG7" s="438"/>
      <c r="AH7" s="439"/>
      <c r="AI7" s="1107"/>
    </row>
    <row r="8" spans="1:42" ht="18" customHeight="1">
      <c r="A8" s="1346" t="s">
        <v>78</v>
      </c>
      <c r="B8" s="44" t="s">
        <v>79</v>
      </c>
      <c r="C8" s="17" t="s">
        <v>80</v>
      </c>
      <c r="D8" s="21">
        <v>300179</v>
      </c>
      <c r="E8" s="414"/>
      <c r="F8" s="415"/>
      <c r="G8" s="441"/>
      <c r="H8" s="431"/>
      <c r="I8" s="431"/>
      <c r="J8" s="1148" t="s">
        <v>81</v>
      </c>
      <c r="K8" s="431"/>
      <c r="L8" s="431"/>
      <c r="M8" s="436"/>
      <c r="N8" s="435"/>
      <c r="O8" s="431"/>
      <c r="P8" s="431"/>
      <c r="Q8" s="431"/>
      <c r="R8" s="431"/>
      <c r="S8" s="431"/>
      <c r="T8" s="443"/>
      <c r="U8" s="441"/>
      <c r="V8" s="431"/>
      <c r="W8" s="431"/>
      <c r="X8" s="431"/>
      <c r="Y8" s="431"/>
      <c r="Z8" s="431"/>
      <c r="AA8" s="436"/>
      <c r="AB8" s="435"/>
      <c r="AC8" s="431"/>
      <c r="AD8" s="431"/>
      <c r="AE8" s="431"/>
      <c r="AF8" s="431"/>
      <c r="AG8" s="431"/>
      <c r="AH8" s="436"/>
      <c r="AI8" s="1110"/>
    </row>
    <row r="9" spans="1:42" ht="18" customHeight="1">
      <c r="A9" s="1347"/>
      <c r="B9" s="115" t="s">
        <v>82</v>
      </c>
      <c r="C9" s="20" t="s">
        <v>80</v>
      </c>
      <c r="D9" s="156">
        <v>668695</v>
      </c>
      <c r="E9" s="516"/>
      <c r="F9" s="517"/>
      <c r="G9" s="516"/>
      <c r="H9" s="518"/>
      <c r="I9" s="518"/>
      <c r="J9" s="518"/>
      <c r="K9" s="518"/>
      <c r="L9" s="518"/>
      <c r="M9" s="517"/>
      <c r="N9" s="519"/>
      <c r="O9" s="518"/>
      <c r="P9" s="518"/>
      <c r="Q9" s="518"/>
      <c r="R9" s="518" t="s">
        <v>83</v>
      </c>
      <c r="S9" s="518"/>
      <c r="T9" s="520"/>
      <c r="U9" s="1211" t="s">
        <v>84</v>
      </c>
      <c r="V9" s="518"/>
      <c r="W9" s="518"/>
      <c r="X9" s="518"/>
      <c r="Y9" s="518"/>
      <c r="Z9" s="518"/>
      <c r="AA9" s="517"/>
      <c r="AB9" s="519"/>
      <c r="AC9" s="518"/>
      <c r="AD9" s="518"/>
      <c r="AE9" s="518"/>
      <c r="AF9" s="518"/>
      <c r="AG9" s="518"/>
      <c r="AH9" s="517"/>
      <c r="AI9" s="1111"/>
    </row>
    <row r="10" spans="1:42" ht="18" customHeight="1">
      <c r="A10" s="1331" t="s">
        <v>85</v>
      </c>
      <c r="B10" s="90" t="s">
        <v>86</v>
      </c>
      <c r="C10" s="17" t="s">
        <v>13</v>
      </c>
      <c r="D10" s="21">
        <v>231061</v>
      </c>
      <c r="E10" s="851" t="s">
        <v>84</v>
      </c>
      <c r="F10" s="534" t="s">
        <v>38</v>
      </c>
      <c r="G10" s="527" t="s">
        <v>38</v>
      </c>
      <c r="H10" s="528" t="s">
        <v>38</v>
      </c>
      <c r="I10" s="528" t="s">
        <v>38</v>
      </c>
      <c r="J10" s="528" t="s">
        <v>38</v>
      </c>
      <c r="K10" s="528" t="s">
        <v>38</v>
      </c>
      <c r="L10" s="529" t="s">
        <v>84</v>
      </c>
      <c r="M10" s="534" t="s">
        <v>38</v>
      </c>
      <c r="N10" s="532" t="s">
        <v>38</v>
      </c>
      <c r="O10" s="528" t="s">
        <v>38</v>
      </c>
      <c r="P10" s="528" t="s">
        <v>38</v>
      </c>
      <c r="Q10" s="528" t="s">
        <v>38</v>
      </c>
      <c r="R10" s="528" t="s">
        <v>38</v>
      </c>
      <c r="S10" s="529" t="s">
        <v>84</v>
      </c>
      <c r="T10" s="533" t="s">
        <v>84</v>
      </c>
      <c r="U10" s="527" t="s">
        <v>87</v>
      </c>
      <c r="V10" s="528" t="s">
        <v>87</v>
      </c>
      <c r="W10" s="528" t="s">
        <v>87</v>
      </c>
      <c r="X10" s="528" t="s">
        <v>87</v>
      </c>
      <c r="Y10" s="528" t="s">
        <v>87</v>
      </c>
      <c r="Z10" s="529" t="s">
        <v>84</v>
      </c>
      <c r="AA10" s="531" t="s">
        <v>84</v>
      </c>
      <c r="AB10" s="532" t="s">
        <v>87</v>
      </c>
      <c r="AC10" s="529" t="s">
        <v>81</v>
      </c>
      <c r="AD10" s="528" t="s">
        <v>87</v>
      </c>
      <c r="AE10" s="528" t="s">
        <v>87</v>
      </c>
      <c r="AF10" s="529" t="s">
        <v>84</v>
      </c>
      <c r="AG10" s="529" t="s">
        <v>84</v>
      </c>
      <c r="AH10" s="534" t="s">
        <v>38</v>
      </c>
      <c r="AI10" s="1112" t="s">
        <v>38</v>
      </c>
    </row>
    <row r="11" spans="1:42" ht="18" customHeight="1">
      <c r="A11" s="1331"/>
      <c r="B11" s="86" t="s">
        <v>24</v>
      </c>
      <c r="C11" s="18" t="s">
        <v>13</v>
      </c>
      <c r="D11" s="52" t="s">
        <v>89</v>
      </c>
      <c r="E11" s="483" t="s">
        <v>84</v>
      </c>
      <c r="F11" s="484" t="s">
        <v>84</v>
      </c>
      <c r="G11" s="485" t="s">
        <v>87</v>
      </c>
      <c r="H11" s="486" t="s">
        <v>87</v>
      </c>
      <c r="I11" s="486" t="s">
        <v>87</v>
      </c>
      <c r="J11" s="486" t="s">
        <v>87</v>
      </c>
      <c r="K11" s="487" t="s">
        <v>87</v>
      </c>
      <c r="L11" s="489" t="s">
        <v>91</v>
      </c>
      <c r="M11" s="484" t="s">
        <v>84</v>
      </c>
      <c r="N11" s="488" t="s">
        <v>87</v>
      </c>
      <c r="O11" s="486" t="s">
        <v>87</v>
      </c>
      <c r="P11" s="486" t="s">
        <v>87</v>
      </c>
      <c r="Q11" s="486" t="s">
        <v>87</v>
      </c>
      <c r="R11" s="486" t="s">
        <v>87</v>
      </c>
      <c r="S11" s="489" t="s">
        <v>84</v>
      </c>
      <c r="T11" s="490" t="s">
        <v>84</v>
      </c>
      <c r="U11" s="485" t="s">
        <v>87</v>
      </c>
      <c r="V11" s="486" t="s">
        <v>87</v>
      </c>
      <c r="W11" s="486" t="s">
        <v>87</v>
      </c>
      <c r="X11" s="486" t="s">
        <v>87</v>
      </c>
      <c r="Y11" s="487" t="s">
        <v>87</v>
      </c>
      <c r="Z11" s="486" t="s">
        <v>90</v>
      </c>
      <c r="AA11" s="484" t="s">
        <v>84</v>
      </c>
      <c r="AB11" s="1291" t="s">
        <v>87</v>
      </c>
      <c r="AC11" s="486" t="s">
        <v>87</v>
      </c>
      <c r="AD11" s="486" t="s">
        <v>87</v>
      </c>
      <c r="AE11" s="489" t="s">
        <v>207</v>
      </c>
      <c r="AF11" s="487" t="s">
        <v>87</v>
      </c>
      <c r="AG11" s="489" t="s">
        <v>84</v>
      </c>
      <c r="AH11" s="484" t="s">
        <v>84</v>
      </c>
      <c r="AI11" s="1113" t="s">
        <v>87</v>
      </c>
    </row>
    <row r="12" spans="1:42" ht="18" customHeight="1">
      <c r="A12" s="1316" t="s">
        <v>92</v>
      </c>
      <c r="B12" s="1334" t="s">
        <v>93</v>
      </c>
      <c r="C12" s="1332"/>
      <c r="D12" s="1332"/>
      <c r="E12" s="476" t="s">
        <v>95</v>
      </c>
      <c r="F12" s="477" t="s">
        <v>84</v>
      </c>
      <c r="G12" s="476" t="s">
        <v>95</v>
      </c>
      <c r="H12" s="478" t="s">
        <v>95</v>
      </c>
      <c r="I12" s="478" t="s">
        <v>95</v>
      </c>
      <c r="J12" s="478" t="s">
        <v>95</v>
      </c>
      <c r="K12" s="478" t="s">
        <v>95</v>
      </c>
      <c r="L12" s="479" t="s">
        <v>84</v>
      </c>
      <c r="M12" s="480" t="s">
        <v>84</v>
      </c>
      <c r="N12" s="481" t="s">
        <v>94</v>
      </c>
      <c r="O12" s="478" t="s">
        <v>94</v>
      </c>
      <c r="P12" s="478" t="s">
        <v>94</v>
      </c>
      <c r="Q12" s="478" t="s">
        <v>94</v>
      </c>
      <c r="R12" s="478" t="s">
        <v>94</v>
      </c>
      <c r="S12" s="479" t="s">
        <v>84</v>
      </c>
      <c r="T12" s="482" t="s">
        <v>94</v>
      </c>
      <c r="U12" s="476" t="s">
        <v>94</v>
      </c>
      <c r="V12" s="478" t="s">
        <v>94</v>
      </c>
      <c r="W12" s="478" t="s">
        <v>94</v>
      </c>
      <c r="X12" s="478" t="s">
        <v>94</v>
      </c>
      <c r="Y12" s="478" t="s">
        <v>94</v>
      </c>
      <c r="Z12" s="479" t="s">
        <v>84</v>
      </c>
      <c r="AA12" s="480" t="s">
        <v>84</v>
      </c>
      <c r="AB12" s="481" t="s">
        <v>95</v>
      </c>
      <c r="AC12" s="478" t="s">
        <v>95</v>
      </c>
      <c r="AD12" s="478" t="s">
        <v>95</v>
      </c>
      <c r="AE12" s="478" t="s">
        <v>95</v>
      </c>
      <c r="AF12" s="478" t="s">
        <v>95</v>
      </c>
      <c r="AG12" s="478" t="s">
        <v>95</v>
      </c>
      <c r="AH12" s="477" t="s">
        <v>84</v>
      </c>
      <c r="AI12" s="1114" t="s">
        <v>95</v>
      </c>
      <c r="AJ12" s="137" t="s">
        <v>95</v>
      </c>
      <c r="AK12" s="137" t="s">
        <v>38</v>
      </c>
      <c r="AL12" s="138" t="s">
        <v>84</v>
      </c>
      <c r="AM12" s="137" t="s">
        <v>81</v>
      </c>
      <c r="AN12" s="137" t="s">
        <v>88</v>
      </c>
      <c r="AO12" s="137" t="s">
        <v>96</v>
      </c>
      <c r="AP12" s="139" t="s">
        <v>97</v>
      </c>
    </row>
    <row r="13" spans="1:42" ht="18" customHeight="1">
      <c r="A13" s="1333"/>
      <c r="B13" s="116" t="s">
        <v>22</v>
      </c>
      <c r="C13" s="53" t="s">
        <v>16</v>
      </c>
      <c r="D13" s="23">
        <v>517968</v>
      </c>
      <c r="E13" s="494"/>
      <c r="F13" s="495"/>
      <c r="G13" s="1276" t="s">
        <v>96</v>
      </c>
      <c r="H13" s="1277" t="s">
        <v>96</v>
      </c>
      <c r="I13" s="496"/>
      <c r="J13" s="496"/>
      <c r="K13" s="496"/>
      <c r="L13" s="496"/>
      <c r="M13" s="495"/>
      <c r="N13" s="497"/>
      <c r="O13" s="496"/>
      <c r="P13" s="496"/>
      <c r="Q13" s="496"/>
      <c r="R13" s="496"/>
      <c r="S13" s="496"/>
      <c r="T13" s="498"/>
      <c r="U13" s="494"/>
      <c r="V13" s="496"/>
      <c r="W13" s="496"/>
      <c r="X13" s="496"/>
      <c r="Y13" s="496"/>
      <c r="Z13" s="496"/>
      <c r="AA13" s="495"/>
      <c r="AB13" s="497"/>
      <c r="AC13" s="496"/>
      <c r="AD13" s="496"/>
      <c r="AE13" s="496"/>
      <c r="AF13" s="496"/>
      <c r="AG13" s="496"/>
      <c r="AH13" s="495"/>
      <c r="AI13" s="1115"/>
      <c r="AJ13" s="89" cm="1">
        <f t="array" ref="AJ13">SUMPRODUCT(($E$12:$AH$12="HR")*($E$13:$AH$13=""))+SUMPRODUCT(($E$13:$AH$13="HR")*1)</f>
        <v>10</v>
      </c>
      <c r="AK13" s="89" cm="1">
        <f t="array" ref="AK13">SUMPRODUCT(($E$12:$AH$12="N0")*($E$13:$AH$13=""))+SUMPRODUCT(($E$13:$AH$13="N")*1)</f>
        <v>11</v>
      </c>
      <c r="AL13" s="89" cm="1">
        <f t="array" ref="AL13">SUMPRODUCT(($E$12:$AH$12="RD")*($E$13:$AH$13=""))+SUMPRODUCT(($E$13:$AH$13="RD")*1)</f>
        <v>7</v>
      </c>
      <c r="AM13" s="89" cm="1">
        <f t="array" ref="AM13">SUMPRODUCT(($E$13:$AH$13="AL")*1)</f>
        <v>0</v>
      </c>
      <c r="AN13" s="89" cm="1">
        <f t="array" ref="AN13">SUMPRODUCT(($E$13:$AH$13="SH")*1)</f>
        <v>0</v>
      </c>
      <c r="AO13" s="89" cm="1">
        <f t="array" ref="AO13">SUMPRODUCT(($E$13:$AH$13="SL")*1)</f>
        <v>2</v>
      </c>
      <c r="AP13" s="140" t="e">
        <f>#REF!-AJ13-AK13-AL13-AM13-AN13-AO13</f>
        <v>#REF!</v>
      </c>
    </row>
    <row r="14" spans="1:42" ht="18" customHeight="1">
      <c r="A14" s="1316" t="s">
        <v>98</v>
      </c>
      <c r="B14" s="1330" t="s">
        <v>93</v>
      </c>
      <c r="C14" s="1330"/>
      <c r="D14" s="1330"/>
      <c r="E14" s="491" t="s">
        <v>84</v>
      </c>
      <c r="F14" s="492" t="s">
        <v>94</v>
      </c>
      <c r="G14" s="476" t="s">
        <v>94</v>
      </c>
      <c r="H14" s="478" t="s">
        <v>94</v>
      </c>
      <c r="I14" s="478" t="s">
        <v>94</v>
      </c>
      <c r="J14" s="478" t="s">
        <v>94</v>
      </c>
      <c r="K14" s="478" t="s">
        <v>94</v>
      </c>
      <c r="L14" s="479" t="s">
        <v>84</v>
      </c>
      <c r="M14" s="480" t="s">
        <v>84</v>
      </c>
      <c r="N14" s="481" t="s">
        <v>95</v>
      </c>
      <c r="O14" s="478" t="s">
        <v>95</v>
      </c>
      <c r="P14" s="478" t="s">
        <v>95</v>
      </c>
      <c r="Q14" s="478" t="s">
        <v>95</v>
      </c>
      <c r="R14" s="478" t="s">
        <v>95</v>
      </c>
      <c r="S14" s="478" t="s">
        <v>95</v>
      </c>
      <c r="T14" s="493" t="s">
        <v>84</v>
      </c>
      <c r="U14" s="476" t="s">
        <v>95</v>
      </c>
      <c r="V14" s="478" t="s">
        <v>95</v>
      </c>
      <c r="W14" s="478" t="s">
        <v>95</v>
      </c>
      <c r="X14" s="478" t="s">
        <v>95</v>
      </c>
      <c r="Y14" s="478" t="s">
        <v>95</v>
      </c>
      <c r="Z14" s="479" t="s">
        <v>84</v>
      </c>
      <c r="AA14" s="480" t="s">
        <v>84</v>
      </c>
      <c r="AB14" s="481" t="s">
        <v>94</v>
      </c>
      <c r="AC14" s="478" t="s">
        <v>94</v>
      </c>
      <c r="AD14" s="478" t="s">
        <v>94</v>
      </c>
      <c r="AE14" s="478" t="s">
        <v>94</v>
      </c>
      <c r="AF14" s="478" t="s">
        <v>94</v>
      </c>
      <c r="AG14" s="479" t="s">
        <v>84</v>
      </c>
      <c r="AH14" s="492" t="s">
        <v>94</v>
      </c>
      <c r="AI14" s="1114" t="s">
        <v>94</v>
      </c>
      <c r="AJ14" s="137" t="s">
        <v>95</v>
      </c>
      <c r="AK14" s="137" t="s">
        <v>38</v>
      </c>
      <c r="AL14" s="138" t="s">
        <v>84</v>
      </c>
      <c r="AM14" s="137" t="s">
        <v>81</v>
      </c>
      <c r="AN14" s="137" t="s">
        <v>88</v>
      </c>
      <c r="AO14" s="137" t="s">
        <v>96</v>
      </c>
      <c r="AP14" s="139" t="s">
        <v>97</v>
      </c>
    </row>
    <row r="15" spans="1:42" ht="18" customHeight="1">
      <c r="A15" s="1333"/>
      <c r="B15" s="55" t="s">
        <v>46</v>
      </c>
      <c r="C15" s="53" t="s">
        <v>16</v>
      </c>
      <c r="D15" s="54">
        <v>673706</v>
      </c>
      <c r="E15" s="500"/>
      <c r="F15" s="501"/>
      <c r="G15" s="500"/>
      <c r="H15" s="1277" t="s">
        <v>96</v>
      </c>
      <c r="I15" s="502"/>
      <c r="J15" s="502"/>
      <c r="K15" s="502"/>
      <c r="L15" s="502" t="s">
        <v>38</v>
      </c>
      <c r="M15" s="501"/>
      <c r="N15" s="503"/>
      <c r="O15" s="502"/>
      <c r="P15" s="502"/>
      <c r="Q15" s="502"/>
      <c r="R15" s="502" t="s">
        <v>123</v>
      </c>
      <c r="S15" s="1223"/>
      <c r="T15" s="504"/>
      <c r="U15" s="500" t="s">
        <v>212</v>
      </c>
      <c r="V15" s="502" t="s">
        <v>212</v>
      </c>
      <c r="W15" s="502"/>
      <c r="X15" s="502"/>
      <c r="Y15" s="1230" t="s">
        <v>88</v>
      </c>
      <c r="Z15" s="502"/>
      <c r="AA15" s="505"/>
      <c r="AB15" s="1264" t="s">
        <v>84</v>
      </c>
      <c r="AC15" s="502"/>
      <c r="AD15" s="502"/>
      <c r="AE15" s="502"/>
      <c r="AF15" s="502"/>
      <c r="AG15" s="502"/>
      <c r="AH15" s="501"/>
      <c r="AI15" s="1116"/>
      <c r="AJ15" s="89" cm="1">
        <f t="array" ref="AJ15">SUMPRODUCT(($E$14:$AH$14="HR")*($E$15:$AH$15=""))+SUMPRODUCT(($E$15:$AH$15="HR")*1)</f>
        <v>7</v>
      </c>
      <c r="AK15" s="89" cm="1">
        <f t="array" ref="AK15">SUMPRODUCT(($E$14:$AH$14="N0")*($E$15:$AH$15=""))+SUMPRODUCT(($E$15:$AH$15="N")*1)</f>
        <v>11</v>
      </c>
      <c r="AL15" s="89" cm="1">
        <f t="array" ref="AL15">SUMPRODUCT(($E$14:$AH$14="RD")*($E$15:$AH$15=""))+SUMPRODUCT(($E$15:$AH$15="RD")*1)</f>
        <v>7</v>
      </c>
      <c r="AM15" s="89" cm="1">
        <f t="array" ref="AM15">SUMPRODUCT(($E$15:$AH$15="AL")*1)</f>
        <v>0</v>
      </c>
      <c r="AN15" s="89" cm="1">
        <f t="array" ref="AN15">SUMPRODUCT(($E$15:$AH$15="SH")*1)</f>
        <v>1</v>
      </c>
      <c r="AO15" s="89" cm="1">
        <f t="array" ref="AO15">SUMPRODUCT(($E$15:$AH$15="SL")*1)</f>
        <v>1</v>
      </c>
      <c r="AP15" s="140" t="e">
        <f>#REF!-AJ15-AK15-AL15-AM15-AN15-AO15</f>
        <v>#REF!</v>
      </c>
    </row>
    <row r="16" spans="1:42" ht="18" customHeight="1">
      <c r="A16" s="1335" t="s">
        <v>99</v>
      </c>
      <c r="B16" s="1330" t="s">
        <v>93</v>
      </c>
      <c r="C16" s="1330"/>
      <c r="D16" s="1330"/>
      <c r="E16" s="476" t="s">
        <v>95</v>
      </c>
      <c r="F16" s="480" t="s">
        <v>84</v>
      </c>
      <c r="G16" s="476" t="s">
        <v>95</v>
      </c>
      <c r="H16" s="478" t="s">
        <v>95</v>
      </c>
      <c r="I16" s="478" t="s">
        <v>95</v>
      </c>
      <c r="J16" s="478" t="s">
        <v>95</v>
      </c>
      <c r="K16" s="478" t="s">
        <v>95</v>
      </c>
      <c r="L16" s="479" t="s">
        <v>84</v>
      </c>
      <c r="M16" s="480" t="s">
        <v>84</v>
      </c>
      <c r="N16" s="481" t="s">
        <v>95</v>
      </c>
      <c r="O16" s="478" t="s">
        <v>95</v>
      </c>
      <c r="P16" s="478" t="s">
        <v>95</v>
      </c>
      <c r="Q16" s="478" t="s">
        <v>95</v>
      </c>
      <c r="R16" s="478" t="s">
        <v>95</v>
      </c>
      <c r="S16" s="478" t="s">
        <v>95</v>
      </c>
      <c r="T16" s="499" t="s">
        <v>84</v>
      </c>
      <c r="U16" s="476" t="s">
        <v>95</v>
      </c>
      <c r="V16" s="478" t="s">
        <v>95</v>
      </c>
      <c r="W16" s="478" t="s">
        <v>95</v>
      </c>
      <c r="X16" s="478" t="s">
        <v>95</v>
      </c>
      <c r="Y16" s="478" t="s">
        <v>95</v>
      </c>
      <c r="Z16" s="479" t="s">
        <v>84</v>
      </c>
      <c r="AA16" s="480" t="s">
        <v>84</v>
      </c>
      <c r="AB16" s="481" t="s">
        <v>95</v>
      </c>
      <c r="AC16" s="478" t="s">
        <v>95</v>
      </c>
      <c r="AD16" s="478" t="s">
        <v>95</v>
      </c>
      <c r="AE16" s="478" t="s">
        <v>95</v>
      </c>
      <c r="AF16" s="478" t="s">
        <v>95</v>
      </c>
      <c r="AG16" s="478" t="s">
        <v>95</v>
      </c>
      <c r="AH16" s="480" t="s">
        <v>84</v>
      </c>
      <c r="AI16" s="1114" t="s">
        <v>95</v>
      </c>
      <c r="AJ16" s="137" t="s">
        <v>95</v>
      </c>
      <c r="AK16" s="137" t="s">
        <v>38</v>
      </c>
      <c r="AL16" s="138" t="s">
        <v>84</v>
      </c>
      <c r="AM16" s="137" t="s">
        <v>81</v>
      </c>
      <c r="AN16" s="137" t="s">
        <v>88</v>
      </c>
      <c r="AO16" s="137" t="s">
        <v>96</v>
      </c>
      <c r="AP16" s="139" t="s">
        <v>97</v>
      </c>
    </row>
    <row r="17" spans="1:42" ht="18" customHeight="1">
      <c r="A17" s="1336"/>
      <c r="B17" s="56" t="s">
        <v>100</v>
      </c>
      <c r="C17" s="53" t="s">
        <v>16</v>
      </c>
      <c r="D17" s="54">
        <v>469319</v>
      </c>
      <c r="E17" s="494"/>
      <c r="F17" s="495"/>
      <c r="G17" s="494"/>
      <c r="H17" s="496"/>
      <c r="I17" s="496"/>
      <c r="J17" s="496"/>
      <c r="K17" s="496"/>
      <c r="L17" s="496"/>
      <c r="M17" s="495"/>
      <c r="N17" s="1258" t="s">
        <v>88</v>
      </c>
      <c r="O17" s="1259" t="s">
        <v>88</v>
      </c>
      <c r="P17" s="1259" t="s">
        <v>81</v>
      </c>
      <c r="Q17" s="496"/>
      <c r="R17" s="496"/>
      <c r="S17" s="496"/>
      <c r="T17" s="498"/>
      <c r="U17" s="494"/>
      <c r="V17" s="496"/>
      <c r="W17" s="496"/>
      <c r="X17" s="496"/>
      <c r="Y17" s="496"/>
      <c r="Z17" s="496"/>
      <c r="AA17" s="495"/>
      <c r="AB17" s="497"/>
      <c r="AC17" s="496"/>
      <c r="AD17" s="496"/>
      <c r="AE17" s="496"/>
      <c r="AF17" s="496"/>
      <c r="AG17" s="496"/>
      <c r="AH17" s="495"/>
      <c r="AI17" s="1115"/>
      <c r="AJ17" s="89" cm="1">
        <f t="array" ref="AJ17">SUMPRODUCT(($E$16:$AH$16="HR")*($E$17:$AH$17=""))+SUMPRODUCT(($E$17:$AH$17="HR")*1)</f>
        <v>20</v>
      </c>
      <c r="AK17" s="89" cm="1">
        <f t="array" ref="AK17">SUMPRODUCT(($E$16:$AH$16="N0")*($E$17:$AH$17=""))+SUMPRODUCT(($E$17:$AH$17="N")*1)</f>
        <v>0</v>
      </c>
      <c r="AL17" s="89" cm="1">
        <f t="array" ref="AL17">SUMPRODUCT(($E$16:$AH$16="RD")*($E$17:$AH$17=""))+SUMPRODUCT(($E$17:$AH$17="RD")*1)</f>
        <v>7</v>
      </c>
      <c r="AM17" s="89" cm="1">
        <f t="array" ref="AM17">SUMPRODUCT(($E$17:$AH$17="AL")*1)</f>
        <v>1</v>
      </c>
      <c r="AN17" s="89" cm="1">
        <f t="array" ref="AN17">SUMPRODUCT(($E$17:$AH$17="SH")*1)</f>
        <v>2</v>
      </c>
      <c r="AO17" s="89" cm="1">
        <f t="array" ref="AO17">SUMPRODUCT(($E$17:$AH$17="SL")*1)</f>
        <v>0</v>
      </c>
      <c r="AP17" s="140" t="e">
        <f>#REF!-AJ17-AK17-AL17-AM17-AN17-AO17</f>
        <v>#REF!</v>
      </c>
    </row>
    <row r="18" spans="1:42" ht="18" customHeight="1">
      <c r="A18" s="1340" t="s">
        <v>101</v>
      </c>
      <c r="B18" s="1343" t="s">
        <v>93</v>
      </c>
      <c r="C18" s="1344"/>
      <c r="D18" s="1345"/>
      <c r="E18" s="506" t="s">
        <v>84</v>
      </c>
      <c r="F18" s="477" t="s">
        <v>84</v>
      </c>
      <c r="G18" s="476" t="s">
        <v>94</v>
      </c>
      <c r="H18" s="478" t="s">
        <v>94</v>
      </c>
      <c r="I18" s="478" t="s">
        <v>94</v>
      </c>
      <c r="J18" s="478" t="s">
        <v>94</v>
      </c>
      <c r="K18" s="478" t="s">
        <v>94</v>
      </c>
      <c r="L18" s="479" t="s">
        <v>84</v>
      </c>
      <c r="M18" s="507" t="s">
        <v>94</v>
      </c>
      <c r="N18" s="508" t="s">
        <v>94</v>
      </c>
      <c r="O18" s="509" t="s">
        <v>94</v>
      </c>
      <c r="P18" s="509" t="s">
        <v>94</v>
      </c>
      <c r="Q18" s="509" t="s">
        <v>94</v>
      </c>
      <c r="R18" s="509" t="s">
        <v>94</v>
      </c>
      <c r="S18" s="1232" t="s">
        <v>84</v>
      </c>
      <c r="T18" s="482" t="s">
        <v>94</v>
      </c>
      <c r="U18" s="476" t="s">
        <v>94</v>
      </c>
      <c r="V18" s="478" t="s">
        <v>94</v>
      </c>
      <c r="W18" s="478" t="s">
        <v>94</v>
      </c>
      <c r="X18" s="478" t="s">
        <v>94</v>
      </c>
      <c r="Y18" s="478" t="s">
        <v>94</v>
      </c>
      <c r="Z18" s="479" t="s">
        <v>84</v>
      </c>
      <c r="AA18" s="480" t="s">
        <v>84</v>
      </c>
      <c r="AB18" s="510" t="s">
        <v>95</v>
      </c>
      <c r="AC18" s="511" t="s">
        <v>95</v>
      </c>
      <c r="AD18" s="511" t="s">
        <v>95</v>
      </c>
      <c r="AE18" s="511" t="s">
        <v>95</v>
      </c>
      <c r="AF18" s="511" t="s">
        <v>95</v>
      </c>
      <c r="AG18" s="512" t="s">
        <v>84</v>
      </c>
      <c r="AH18" s="477" t="s">
        <v>84</v>
      </c>
      <c r="AI18" s="1114" t="s">
        <v>94</v>
      </c>
      <c r="AJ18" s="137" t="s">
        <v>95</v>
      </c>
      <c r="AK18" s="137" t="s">
        <v>38</v>
      </c>
      <c r="AL18" s="138" t="s">
        <v>84</v>
      </c>
      <c r="AM18" s="137" t="s">
        <v>81</v>
      </c>
      <c r="AN18" s="137" t="s">
        <v>88</v>
      </c>
      <c r="AO18" s="137" t="s">
        <v>96</v>
      </c>
      <c r="AP18" s="139" t="s">
        <v>97</v>
      </c>
    </row>
    <row r="19" spans="1:42" ht="18" customHeight="1">
      <c r="A19" s="1341"/>
      <c r="B19" s="121" t="s">
        <v>14</v>
      </c>
      <c r="C19" s="111" t="s">
        <v>16</v>
      </c>
      <c r="D19" s="112">
        <v>321508</v>
      </c>
      <c r="E19" s="441"/>
      <c r="F19" s="436"/>
      <c r="G19" s="441"/>
      <c r="H19" s="431"/>
      <c r="I19" s="431"/>
      <c r="J19" s="431"/>
      <c r="K19" s="431"/>
      <c r="L19" s="431"/>
      <c r="M19" s="1279" t="s">
        <v>88</v>
      </c>
      <c r="N19" s="435"/>
      <c r="O19" s="431"/>
      <c r="P19" s="431"/>
      <c r="Q19" s="431"/>
      <c r="R19" s="431"/>
      <c r="S19" s="431"/>
      <c r="T19" s="443"/>
      <c r="U19" s="441"/>
      <c r="V19" s="431"/>
      <c r="W19" s="431"/>
      <c r="X19" s="431"/>
      <c r="Y19" s="431"/>
      <c r="Z19" s="431"/>
      <c r="AA19" s="436"/>
      <c r="AB19" s="435"/>
      <c r="AC19" s="431"/>
      <c r="AD19" s="431"/>
      <c r="AE19" s="431"/>
      <c r="AF19" s="431"/>
      <c r="AG19" s="431"/>
      <c r="AH19" s="436"/>
      <c r="AI19" s="1110"/>
      <c r="AJ19" s="89" cm="1">
        <f t="array" ref="AJ19">SUMPRODUCT(($E$18:$AH$18="HR")*(E19:AH19=""))+SUMPRODUCT((E19:AH19="HR")*1)</f>
        <v>5</v>
      </c>
      <c r="AK19" s="89" cm="1">
        <f t="array" ref="AK19">SUMPRODUCT(($E$18:$AH$18="N0")*(E19:AH19=""))+SUMPRODUCT((E19:AH19="N")*1)</f>
        <v>16</v>
      </c>
      <c r="AL19" s="88" cm="1">
        <f t="array" ref="AL19">SUMPRODUCT(($E$18:$AH$18="RD")*(E19:AH19=""))+SUMPRODUCT((E19:AH19="RD")*1)</f>
        <v>8</v>
      </c>
      <c r="AM19" s="89" cm="1">
        <f t="array" ref="AM19">SUMPRODUCT((F19:AH19="AL")*1)</f>
        <v>0</v>
      </c>
      <c r="AN19" s="89" cm="1">
        <f t="array" ref="AN19">SUMPRODUCT((F19:AH19="SH")*1)</f>
        <v>1</v>
      </c>
      <c r="AO19" s="89" cm="1">
        <f t="array" ref="AO19">SUMPRODUCT((E19:AH19="SL")*1)</f>
        <v>0</v>
      </c>
      <c r="AP19" s="140" t="e">
        <f>#REF!-AJ19-AK19-AL19-AM19-AN19-AO19</f>
        <v>#REF!</v>
      </c>
    </row>
    <row r="20" spans="1:42" ht="18" customHeight="1">
      <c r="A20" s="1341"/>
      <c r="B20" s="118" t="s">
        <v>102</v>
      </c>
      <c r="C20" s="99" t="s">
        <v>16</v>
      </c>
      <c r="D20" s="103">
        <v>461865</v>
      </c>
      <c r="E20" s="416"/>
      <c r="F20" s="417"/>
      <c r="G20" s="416"/>
      <c r="H20" s="413"/>
      <c r="I20" s="413"/>
      <c r="J20" s="413"/>
      <c r="K20" s="413"/>
      <c r="L20" s="413"/>
      <c r="M20" s="417"/>
      <c r="N20" s="421"/>
      <c r="O20" s="413"/>
      <c r="P20" s="413"/>
      <c r="Q20" s="413"/>
      <c r="R20" s="413"/>
      <c r="S20" s="413"/>
      <c r="T20" s="444"/>
      <c r="U20" s="416"/>
      <c r="V20" s="413"/>
      <c r="W20" s="413"/>
      <c r="X20" s="413"/>
      <c r="Y20" s="413"/>
      <c r="Z20" s="413"/>
      <c r="AA20" s="417"/>
      <c r="AB20" s="421"/>
      <c r="AC20" s="413"/>
      <c r="AD20" s="413"/>
      <c r="AE20" s="413"/>
      <c r="AF20" s="413"/>
      <c r="AG20" s="413"/>
      <c r="AH20" s="417"/>
      <c r="AI20" s="1117"/>
      <c r="AJ20" s="89" cm="1">
        <f t="array" ref="AJ20">SUMPRODUCT(($E$18:$AH$18="HR")*(E20:AH20=""))+SUMPRODUCT((E20:AH20="HR")*1)</f>
        <v>5</v>
      </c>
      <c r="AK20" s="89" cm="1">
        <f t="array" ref="AK20">SUMPRODUCT(($E$18:$AH$18="N0")*(E20:AH20=""))+SUMPRODUCT((E20:AH20="N")*1)</f>
        <v>17</v>
      </c>
      <c r="AL20" s="88" cm="1">
        <f t="array" ref="AL20">SUMPRODUCT(($E$18:$AH$18="RD")*(E20:AH20=""))+SUMPRODUCT((E20:AH20="RD")*1)</f>
        <v>8</v>
      </c>
      <c r="AM20" s="89" cm="1">
        <f t="array" ref="AM20">SUMPRODUCT((F20:AH20="AL")*1)</f>
        <v>0</v>
      </c>
      <c r="AN20" s="89" cm="1">
        <f t="array" ref="AN20">SUMPRODUCT((F20:AH20="SH")*1)</f>
        <v>0</v>
      </c>
      <c r="AO20" s="89" cm="1">
        <f t="array" ref="AO20">SUMPRODUCT((E20:AH20="SL")*1)</f>
        <v>0</v>
      </c>
      <c r="AP20" s="140" t="e">
        <f>#REF!-AJ20-AK20-AL20-AM20-AN20-AO20</f>
        <v>#REF!</v>
      </c>
    </row>
    <row r="21" spans="1:42" ht="18" customHeight="1">
      <c r="A21" s="1341"/>
      <c r="B21" s="101" t="s">
        <v>41</v>
      </c>
      <c r="C21" s="99" t="s">
        <v>27</v>
      </c>
      <c r="D21" s="103">
        <v>676095</v>
      </c>
      <c r="E21" s="416"/>
      <c r="F21" s="417"/>
      <c r="G21" s="1047" t="s">
        <v>81</v>
      </c>
      <c r="H21" s="1048" t="s">
        <v>81</v>
      </c>
      <c r="I21" s="1048" t="s">
        <v>81</v>
      </c>
      <c r="J21" s="1048" t="s">
        <v>81</v>
      </c>
      <c r="K21" s="1048" t="s">
        <v>81</v>
      </c>
      <c r="L21" s="1048"/>
      <c r="M21" s="1154" t="s">
        <v>81</v>
      </c>
      <c r="N21" s="1049" t="s">
        <v>88</v>
      </c>
      <c r="O21" s="413"/>
      <c r="P21" s="413"/>
      <c r="Q21" s="413"/>
      <c r="R21" s="413"/>
      <c r="S21" s="413"/>
      <c r="T21" s="444"/>
      <c r="U21" s="416"/>
      <c r="V21" s="413"/>
      <c r="W21" s="413"/>
      <c r="X21" s="413"/>
      <c r="Y21" s="413"/>
      <c r="Z21" s="413"/>
      <c r="AA21" s="417"/>
      <c r="AB21" s="421"/>
      <c r="AC21" s="413"/>
      <c r="AD21" s="413"/>
      <c r="AE21" s="413" t="s">
        <v>105</v>
      </c>
      <c r="AF21" s="413"/>
      <c r="AG21" s="413"/>
      <c r="AH21" s="417"/>
      <c r="AI21" s="1117"/>
      <c r="AJ21" s="89" cm="1">
        <f t="array" ref="AJ21">SUMPRODUCT(($E$18:$AH$18="HR")*(E21:AH21=""))+SUMPRODUCT((E21:AH21="HR")*1)</f>
        <v>4</v>
      </c>
      <c r="AK21" s="89" cm="1">
        <f t="array" ref="AK21">SUMPRODUCT(($E$18:$AH$18="N0")*(E21:AH21=""))+SUMPRODUCT((E21:AH21="N")*1)</f>
        <v>10</v>
      </c>
      <c r="AL21" s="88" cm="1">
        <f t="array" ref="AL21">SUMPRODUCT(($E$18:$AH$18="RD")*(E21:AH21=""))+SUMPRODUCT((E21:AH21="RD")*1)</f>
        <v>8</v>
      </c>
      <c r="AM21" s="89" cm="1">
        <f t="array" ref="AM21">SUMPRODUCT((F21:AH21="AL")*1)</f>
        <v>6</v>
      </c>
      <c r="AN21" s="89" cm="1">
        <f t="array" ref="AN21">SUMPRODUCT((F21:AH21="SH")*1)</f>
        <v>1</v>
      </c>
      <c r="AO21" s="89" cm="1">
        <f t="array" ref="AO21">SUMPRODUCT((E21:AH21="SL")*1)</f>
        <v>0</v>
      </c>
      <c r="AP21" s="140" t="e">
        <f>#REF!-AJ21-AK21-AL21-AM21-AN21-AO21</f>
        <v>#REF!</v>
      </c>
    </row>
    <row r="22" spans="1:42" ht="18" customHeight="1">
      <c r="A22" s="1341"/>
      <c r="B22" s="118" t="s">
        <v>104</v>
      </c>
      <c r="C22" s="99" t="s">
        <v>27</v>
      </c>
      <c r="D22" s="103">
        <v>681383</v>
      </c>
      <c r="E22" s="416"/>
      <c r="F22" s="417"/>
      <c r="G22" s="416"/>
      <c r="H22" s="413"/>
      <c r="I22" s="413"/>
      <c r="J22" s="413"/>
      <c r="K22" s="413"/>
      <c r="L22" s="413"/>
      <c r="M22" s="417"/>
      <c r="N22" s="421"/>
      <c r="O22" s="413"/>
      <c r="P22" s="413"/>
      <c r="Q22" s="420" t="s">
        <v>96</v>
      </c>
      <c r="R22" s="413"/>
      <c r="S22" s="413"/>
      <c r="T22" s="444"/>
      <c r="U22" s="416"/>
      <c r="V22" s="413"/>
      <c r="W22" s="413"/>
      <c r="X22" s="413"/>
      <c r="Y22" s="413"/>
      <c r="Z22" s="413"/>
      <c r="AA22" s="417"/>
      <c r="AB22" s="421"/>
      <c r="AC22" s="1048" t="s">
        <v>81</v>
      </c>
      <c r="AD22" s="413" t="s">
        <v>123</v>
      </c>
      <c r="AE22" s="413" t="s">
        <v>135</v>
      </c>
      <c r="AF22" s="413" t="s">
        <v>135</v>
      </c>
      <c r="AG22" s="413"/>
      <c r="AH22" s="417"/>
      <c r="AI22" s="1117"/>
      <c r="AJ22" s="89" cm="1">
        <f t="array" ref="AJ22">SUMPRODUCT(($E$18:$AH$18="HR")*(E22:AH22=""))+SUMPRODUCT((E22:AH22="HR")*1)</f>
        <v>1</v>
      </c>
      <c r="AK22" s="89" cm="1">
        <f t="array" ref="AK22">SUMPRODUCT(($E$18:$AH$18="N0")*(E22:AH22=""))+SUMPRODUCT((E22:AH22="N")*1)</f>
        <v>16</v>
      </c>
      <c r="AL22" s="88" cm="1">
        <f t="array" ref="AL22">SUMPRODUCT(($E$18:$AH$18="RD")*(E22:AH22=""))+SUMPRODUCT((E22:AH22="RD")*1)</f>
        <v>8</v>
      </c>
      <c r="AM22" s="89" cm="1">
        <f t="array" ref="AM22">SUMPRODUCT((F22:AH22="AL")*1)</f>
        <v>1</v>
      </c>
      <c r="AN22" s="89" cm="1">
        <f t="array" ref="AN22">SUMPRODUCT((F22:AH22="SH")*1)</f>
        <v>0</v>
      </c>
      <c r="AO22" s="89" cm="1">
        <f t="array" ref="AO22">SUMPRODUCT((E22:AH22="SL")*1)</f>
        <v>1</v>
      </c>
      <c r="AP22" s="140" t="e">
        <f>#REF!-AJ22-AK22-AL22-AM22-AN22-AO22</f>
        <v>#REF!</v>
      </c>
    </row>
    <row r="23" spans="1:42" ht="18" customHeight="1">
      <c r="A23" s="1341"/>
      <c r="B23" s="100" t="s">
        <v>30</v>
      </c>
      <c r="C23" s="99" t="s">
        <v>27</v>
      </c>
      <c r="D23" s="103">
        <v>679417</v>
      </c>
      <c r="E23" s="416"/>
      <c r="F23" s="417"/>
      <c r="G23" s="416"/>
      <c r="H23" s="413"/>
      <c r="I23" s="413"/>
      <c r="J23" s="413"/>
      <c r="K23" s="413"/>
      <c r="L23" s="413"/>
      <c r="M23" s="1154" t="s">
        <v>81</v>
      </c>
      <c r="N23" s="1049" t="s">
        <v>81</v>
      </c>
      <c r="O23" s="1048" t="s">
        <v>81</v>
      </c>
      <c r="P23" s="1048" t="s">
        <v>81</v>
      </c>
      <c r="Q23" s="1048" t="s">
        <v>81</v>
      </c>
      <c r="R23" s="1048" t="s">
        <v>81</v>
      </c>
      <c r="S23" s="1048"/>
      <c r="T23" s="1046" t="s">
        <v>81</v>
      </c>
      <c r="U23" s="1047" t="s">
        <v>88</v>
      </c>
      <c r="V23" s="1048" t="s">
        <v>88</v>
      </c>
      <c r="W23" s="1048" t="s">
        <v>88</v>
      </c>
      <c r="X23" s="1048" t="s">
        <v>88</v>
      </c>
      <c r="Y23" s="1048" t="s">
        <v>88</v>
      </c>
      <c r="Z23" s="413"/>
      <c r="AA23" s="417"/>
      <c r="AB23" s="421"/>
      <c r="AC23" s="413"/>
      <c r="AD23" s="413"/>
      <c r="AE23" s="413"/>
      <c r="AF23" s="413"/>
      <c r="AG23" s="413"/>
      <c r="AH23" s="417"/>
      <c r="AI23" s="1117"/>
      <c r="AJ23" s="89" cm="1">
        <f t="array" ref="AJ23">SUMPRODUCT(($E$18:$AH$18="HR")*(E23:AH23=""))+SUMPRODUCT((E23:AH23="HR")*1)</f>
        <v>5</v>
      </c>
      <c r="AK23" s="89" cm="1">
        <f t="array" ref="AK23">SUMPRODUCT(($E$18:$AH$18="N0")*(E23:AH23=""))+SUMPRODUCT((E23:AH23="N")*1)</f>
        <v>5</v>
      </c>
      <c r="AL23" s="88" cm="1">
        <f t="array" ref="AL23">SUMPRODUCT(($E$18:$AH$18="RD")*(E23:AH23=""))+SUMPRODUCT((E23:AH23="RD")*1)</f>
        <v>8</v>
      </c>
      <c r="AM23" s="89" cm="1">
        <f t="array" ref="AM23">SUMPRODUCT((F23:AH23="AL")*1)</f>
        <v>7</v>
      </c>
      <c r="AN23" s="89" cm="1">
        <f t="array" ref="AN23">SUMPRODUCT((F23:AH23="SH")*1)</f>
        <v>5</v>
      </c>
      <c r="AO23" s="89" cm="1">
        <f t="array" ref="AO23">SUMPRODUCT((E23:AH23="SL")*1)</f>
        <v>0</v>
      </c>
      <c r="AP23" s="140" t="e">
        <f>#REF!-AJ23-AK23-AL23-AM23-AN23-AO23</f>
        <v>#REF!</v>
      </c>
    </row>
    <row r="24" spans="1:42" ht="18" customHeight="1">
      <c r="A24" s="1342"/>
      <c r="B24" s="119" t="s">
        <v>48</v>
      </c>
      <c r="C24" s="106" t="s">
        <v>27</v>
      </c>
      <c r="D24" s="157">
        <v>684061</v>
      </c>
      <c r="E24" s="516"/>
      <c r="F24" s="517"/>
      <c r="G24" s="516"/>
      <c r="H24" s="518"/>
      <c r="I24" s="518"/>
      <c r="J24" s="518"/>
      <c r="K24" s="518"/>
      <c r="L24" s="518"/>
      <c r="M24" s="517"/>
      <c r="N24" s="519"/>
      <c r="O24" s="518"/>
      <c r="P24" s="518"/>
      <c r="Q24" s="518"/>
      <c r="R24" s="518"/>
      <c r="S24" s="518"/>
      <c r="T24" s="520"/>
      <c r="U24" s="516"/>
      <c r="V24" s="518"/>
      <c r="W24" s="518"/>
      <c r="X24" s="518"/>
      <c r="Y24" s="518"/>
      <c r="Z24" s="518"/>
      <c r="AA24" s="517"/>
      <c r="AB24" s="519"/>
      <c r="AC24" s="518"/>
      <c r="AD24" s="518" t="s">
        <v>123</v>
      </c>
      <c r="AE24" s="518"/>
      <c r="AF24" s="518"/>
      <c r="AG24" s="518"/>
      <c r="AH24" s="517"/>
      <c r="AI24" s="1111"/>
      <c r="AJ24" s="89" cm="1">
        <f t="array" ref="AJ24">SUMPRODUCT(($E$18:$AH$18="HR")*(E24:AH24=""))+SUMPRODUCT((E24:AH24="HR")*1)</f>
        <v>4</v>
      </c>
      <c r="AK24" s="89" cm="1">
        <f t="array" ref="AK24">SUMPRODUCT(($E$18:$AH$18="N0")*(E24:AH24=""))+SUMPRODUCT((E24:AH24="N")*1)</f>
        <v>17</v>
      </c>
      <c r="AL24" s="88" cm="1">
        <f t="array" ref="AL24">SUMPRODUCT(($E$18:$AH$18="RD")*(E24:AH24=""))+SUMPRODUCT((E24:AH24="RD")*1)</f>
        <v>8</v>
      </c>
      <c r="AM24" s="89" cm="1">
        <f t="array" ref="AM24">SUMPRODUCT((F24:AH24="AL")*1)</f>
        <v>0</v>
      </c>
      <c r="AN24" s="89" cm="1">
        <f t="array" ref="AN24">SUMPRODUCT((F24:AH24="SH")*1)</f>
        <v>0</v>
      </c>
      <c r="AO24" s="89" cm="1">
        <f t="array" ref="AO24">SUMPRODUCT((E24:AH24="SL")*1)</f>
        <v>0</v>
      </c>
      <c r="AP24" s="140" t="e">
        <f>#REF!-AJ24-AK24-AL24-AM24-AN24-AO24</f>
        <v>#REF!</v>
      </c>
    </row>
    <row r="25" spans="1:42" ht="18" customHeight="1">
      <c r="A25" s="1331" t="s">
        <v>109</v>
      </c>
      <c r="B25" s="1330" t="s">
        <v>110</v>
      </c>
      <c r="C25" s="1330"/>
      <c r="D25" s="1330"/>
      <c r="E25" s="506" t="s">
        <v>84</v>
      </c>
      <c r="F25" s="477" t="s">
        <v>84</v>
      </c>
      <c r="G25" s="513" t="s">
        <v>95</v>
      </c>
      <c r="H25" s="511" t="s">
        <v>95</v>
      </c>
      <c r="I25" s="511" t="s">
        <v>95</v>
      </c>
      <c r="J25" s="511" t="s">
        <v>95</v>
      </c>
      <c r="K25" s="511" t="s">
        <v>95</v>
      </c>
      <c r="L25" s="512" t="s">
        <v>84</v>
      </c>
      <c r="M25" s="477" t="s">
        <v>84</v>
      </c>
      <c r="N25" s="508" t="s">
        <v>94</v>
      </c>
      <c r="O25" s="509" t="s">
        <v>94</v>
      </c>
      <c r="P25" s="509" t="s">
        <v>94</v>
      </c>
      <c r="Q25" s="509" t="s">
        <v>94</v>
      </c>
      <c r="R25" s="509" t="s">
        <v>94</v>
      </c>
      <c r="S25" s="512" t="s">
        <v>84</v>
      </c>
      <c r="T25" s="514" t="s">
        <v>94</v>
      </c>
      <c r="U25" s="515" t="s">
        <v>94</v>
      </c>
      <c r="V25" s="509" t="s">
        <v>94</v>
      </c>
      <c r="W25" s="509" t="s">
        <v>94</v>
      </c>
      <c r="X25" s="509" t="s">
        <v>94</v>
      </c>
      <c r="Y25" s="509" t="s">
        <v>94</v>
      </c>
      <c r="Z25" s="512" t="s">
        <v>84</v>
      </c>
      <c r="AA25" s="507" t="s">
        <v>94</v>
      </c>
      <c r="AB25" s="508" t="s">
        <v>94</v>
      </c>
      <c r="AC25" s="509" t="s">
        <v>94</v>
      </c>
      <c r="AD25" s="509" t="s">
        <v>94</v>
      </c>
      <c r="AE25" s="509" t="s">
        <v>94</v>
      </c>
      <c r="AF25" s="509" t="s">
        <v>94</v>
      </c>
      <c r="AG25" s="512" t="s">
        <v>84</v>
      </c>
      <c r="AH25" s="477" t="s">
        <v>84</v>
      </c>
      <c r="AI25" s="1118" t="s">
        <v>95</v>
      </c>
      <c r="AJ25" s="137" t="s">
        <v>95</v>
      </c>
      <c r="AK25" s="137" t="s">
        <v>38</v>
      </c>
      <c r="AL25" s="138" t="s">
        <v>84</v>
      </c>
      <c r="AM25" s="137" t="s">
        <v>81</v>
      </c>
      <c r="AN25" s="137" t="s">
        <v>88</v>
      </c>
      <c r="AO25" s="137" t="s">
        <v>96</v>
      </c>
      <c r="AP25" s="139" t="s">
        <v>97</v>
      </c>
    </row>
    <row r="26" spans="1:42" ht="18" customHeight="1">
      <c r="A26" s="1331"/>
      <c r="B26" s="46" t="s">
        <v>111</v>
      </c>
      <c r="C26" s="27" t="s">
        <v>16</v>
      </c>
      <c r="D26" s="21">
        <v>265691</v>
      </c>
      <c r="E26" s="441"/>
      <c r="F26" s="436"/>
      <c r="G26" s="1043" t="s">
        <v>81</v>
      </c>
      <c r="H26" s="1044" t="s">
        <v>81</v>
      </c>
      <c r="I26" s="1044" t="s">
        <v>81</v>
      </c>
      <c r="J26" s="1044" t="s">
        <v>81</v>
      </c>
      <c r="K26" s="1044" t="s">
        <v>81</v>
      </c>
      <c r="L26" s="431"/>
      <c r="M26" s="436"/>
      <c r="N26" s="1045" t="s">
        <v>88</v>
      </c>
      <c r="O26" s="431"/>
      <c r="P26" s="431"/>
      <c r="Q26" s="431"/>
      <c r="R26" s="431"/>
      <c r="S26" s="431"/>
      <c r="T26" s="443"/>
      <c r="U26" s="441"/>
      <c r="V26" s="431"/>
      <c r="W26" s="431"/>
      <c r="X26" s="431"/>
      <c r="Y26" s="431"/>
      <c r="Z26" s="431"/>
      <c r="AA26" s="436"/>
      <c r="AB26" s="435"/>
      <c r="AC26" s="431"/>
      <c r="AD26" s="431"/>
      <c r="AE26" s="431"/>
      <c r="AF26" s="431"/>
      <c r="AG26" s="431"/>
      <c r="AH26" s="436"/>
      <c r="AI26" s="1110"/>
      <c r="AJ26" s="89" cm="1">
        <f t="array" ref="AJ26">SUMPRODUCT(($E$25:$AH$25="HR")*(E26:AH26=""))+SUMPRODUCT((E26:AH26="HR")*1)</f>
        <v>0</v>
      </c>
      <c r="AK26" s="89" cm="1">
        <f t="array" ref="AK26">SUMPRODUCT(($E$25:$AH$25="N0")*(E26:AH26=""))+SUMPRODUCT((E26:AH26="N")*1)</f>
        <v>16</v>
      </c>
      <c r="AL26" s="88" cm="1">
        <f t="array" ref="AL26">SUMPRODUCT(($E$25:$AH$25="RD")*(E26:AH26=""))+SUMPRODUCT((E26:AH26="RD")*1)</f>
        <v>8</v>
      </c>
      <c r="AM26" s="89" cm="1">
        <f t="array" ref="AM26">SUMPRODUCT((F26:AH26="AL")*1)</f>
        <v>5</v>
      </c>
      <c r="AN26" s="89" cm="1">
        <f t="array" ref="AN26">SUMPRODUCT((F26:AH26="SH")*1)</f>
        <v>1</v>
      </c>
      <c r="AO26" s="89" cm="1">
        <f t="array" ref="AO26">SUMPRODUCT((E26:AH26="SL")*1)</f>
        <v>0</v>
      </c>
      <c r="AP26" s="140" t="e">
        <f>#REF!-AJ26-AK26-AL26-AM26-AN26-AO26</f>
        <v>#REF!</v>
      </c>
    </row>
    <row r="27" spans="1:42" ht="18" customHeight="1">
      <c r="A27" s="1331"/>
      <c r="B27" s="125" t="s">
        <v>113</v>
      </c>
      <c r="C27" s="16" t="s">
        <v>16</v>
      </c>
      <c r="D27" s="22">
        <v>422401</v>
      </c>
      <c r="E27" s="416"/>
      <c r="F27" s="417"/>
      <c r="G27" s="416"/>
      <c r="H27" s="413"/>
      <c r="I27" s="413" t="s">
        <v>230</v>
      </c>
      <c r="J27" s="413"/>
      <c r="K27" s="413" t="s">
        <v>108</v>
      </c>
      <c r="L27" s="413"/>
      <c r="M27" s="417"/>
      <c r="N27" s="421"/>
      <c r="O27" s="413"/>
      <c r="P27" s="413"/>
      <c r="Q27" s="413"/>
      <c r="R27" s="413"/>
      <c r="S27" s="413"/>
      <c r="T27" s="1046" t="s">
        <v>81</v>
      </c>
      <c r="U27" s="1047" t="s">
        <v>88</v>
      </c>
      <c r="V27" s="413"/>
      <c r="W27" s="413"/>
      <c r="X27" s="1048" t="s">
        <v>88</v>
      </c>
      <c r="Y27" s="413"/>
      <c r="Z27" s="413"/>
      <c r="AA27" s="417"/>
      <c r="AB27" s="421"/>
      <c r="AC27" s="413"/>
      <c r="AD27" s="413"/>
      <c r="AE27" s="413"/>
      <c r="AF27" s="413"/>
      <c r="AG27" s="413"/>
      <c r="AH27" s="417"/>
      <c r="AI27" s="1111" t="s">
        <v>210</v>
      </c>
      <c r="AJ27" s="89" cm="1">
        <f t="array" ref="AJ27">SUMPRODUCT(($E$25:$AH$25="HR")*(E27:AH27=""))+SUMPRODUCT((E27:AH27="HR")*1)</f>
        <v>3</v>
      </c>
      <c r="AK27" s="89" cm="1">
        <f t="array" ref="AK27">SUMPRODUCT(($E$25:$AH$25="N0")*(E27:AH27=""))+SUMPRODUCT((E27:AH27="N")*1)</f>
        <v>14</v>
      </c>
      <c r="AL27" s="88" cm="1">
        <f t="array" ref="AL27">SUMPRODUCT(($E$25:$AH$25="RD")*(E27:AH27=""))+SUMPRODUCT((E27:AH27="RD")*1)</f>
        <v>8</v>
      </c>
      <c r="AM27" s="89" cm="1">
        <f t="array" ref="AM27">SUMPRODUCT((F27:AH27="AL")*1)</f>
        <v>1</v>
      </c>
      <c r="AN27" s="89" cm="1">
        <f t="array" ref="AN27">SUMPRODUCT((F27:AH27="SH")*1)</f>
        <v>2</v>
      </c>
      <c r="AO27" s="89" cm="1">
        <f t="array" ref="AO27">SUMPRODUCT((E27:AH27="SL")*1)</f>
        <v>0</v>
      </c>
      <c r="AP27" s="140" t="e">
        <f>#REF!-AJ27-AK27-AL27-AM27-AN27-AO27</f>
        <v>#REF!</v>
      </c>
    </row>
    <row r="28" spans="1:42" ht="18" customHeight="1">
      <c r="A28" s="1331"/>
      <c r="B28" s="102" t="s">
        <v>29</v>
      </c>
      <c r="C28" s="16" t="s">
        <v>27</v>
      </c>
      <c r="D28" s="22">
        <v>679365</v>
      </c>
      <c r="E28" s="416"/>
      <c r="F28" s="417"/>
      <c r="G28" s="416"/>
      <c r="H28" s="413"/>
      <c r="I28" s="413"/>
      <c r="J28" s="413"/>
      <c r="K28" s="413" t="s">
        <v>108</v>
      </c>
      <c r="L28" s="413"/>
      <c r="M28" s="417"/>
      <c r="N28" s="450" t="s">
        <v>96</v>
      </c>
      <c r="O28" s="420" t="s">
        <v>96</v>
      </c>
      <c r="P28" s="413"/>
      <c r="Q28" s="413"/>
      <c r="R28" s="1289" t="s">
        <v>96</v>
      </c>
      <c r="S28" s="413"/>
      <c r="T28" s="444"/>
      <c r="U28" s="416"/>
      <c r="V28" s="413"/>
      <c r="W28" s="413"/>
      <c r="X28" s="413"/>
      <c r="Y28" s="413"/>
      <c r="Z28" s="413"/>
      <c r="AA28" s="417"/>
      <c r="AB28" s="421"/>
      <c r="AC28" s="413"/>
      <c r="AD28" s="413"/>
      <c r="AE28" s="413"/>
      <c r="AF28" s="413"/>
      <c r="AG28" s="413"/>
      <c r="AH28" s="417"/>
      <c r="AI28" s="1117"/>
      <c r="AJ28" s="89" cm="1">
        <f t="array" ref="AJ28">SUMPRODUCT(($E$25:$AH$25="HR")*(E28:AH28=""))+SUMPRODUCT((E28:AH28="HR")*1)</f>
        <v>4</v>
      </c>
      <c r="AK28" s="89" cm="1">
        <f t="array" ref="AK28">SUMPRODUCT(($E$25:$AH$25="N0")*(E28:AH28=""))+SUMPRODUCT((E28:AH28="N")*1)</f>
        <v>14</v>
      </c>
      <c r="AL28" s="88" cm="1">
        <f t="array" ref="AL28">SUMPRODUCT(($E$25:$AH$25="RD")*(E28:AH28=""))+SUMPRODUCT((E28:AH28="RD")*1)</f>
        <v>8</v>
      </c>
      <c r="AM28" s="89" cm="1">
        <f t="array" ref="AM28">SUMPRODUCT((F28:AH28="AL")*1)</f>
        <v>0</v>
      </c>
      <c r="AN28" s="89" cm="1">
        <f t="array" ref="AN28">SUMPRODUCT((F28:AH28="SH")*1)</f>
        <v>0</v>
      </c>
      <c r="AO28" s="89" cm="1">
        <f t="array" ref="AO28">SUMPRODUCT((E28:AH28="SL")*1)</f>
        <v>3</v>
      </c>
      <c r="AP28" s="140" t="e">
        <f>#REF!-AJ28-AK28-AL28-AM28-AN28-AO28</f>
        <v>#REF!</v>
      </c>
    </row>
    <row r="29" spans="1:42" ht="18" customHeight="1">
      <c r="A29" s="1331"/>
      <c r="B29" s="97" t="s">
        <v>271</v>
      </c>
      <c r="C29" s="16" t="s">
        <v>27</v>
      </c>
      <c r="D29" s="22">
        <v>680682</v>
      </c>
      <c r="E29" s="416"/>
      <c r="F29" s="417"/>
      <c r="G29" s="416" t="s">
        <v>94</v>
      </c>
      <c r="H29" s="413" t="s">
        <v>94</v>
      </c>
      <c r="I29" s="1048" t="s">
        <v>81</v>
      </c>
      <c r="J29" s="1048" t="s">
        <v>81</v>
      </c>
      <c r="K29" s="1048" t="s">
        <v>81</v>
      </c>
      <c r="L29" s="413"/>
      <c r="M29" s="417"/>
      <c r="N29" s="421"/>
      <c r="O29" s="413"/>
      <c r="P29" s="413"/>
      <c r="Q29" s="413"/>
      <c r="R29" s="413"/>
      <c r="S29" s="413"/>
      <c r="T29" s="444"/>
      <c r="U29" s="416"/>
      <c r="V29" s="413"/>
      <c r="W29" s="413"/>
      <c r="X29" s="413"/>
      <c r="Y29" s="413"/>
      <c r="Z29" s="413"/>
      <c r="AA29" s="417"/>
      <c r="AB29" s="421"/>
      <c r="AC29" s="413"/>
      <c r="AD29" s="413"/>
      <c r="AE29" s="413"/>
      <c r="AF29" s="413"/>
      <c r="AG29" s="413"/>
      <c r="AH29" s="417"/>
      <c r="AI29" s="1110" t="s">
        <v>94</v>
      </c>
      <c r="AJ29" s="89" cm="1">
        <f t="array" ref="AJ29">SUMPRODUCT(($E$25:$AH$25="HR")*(E29:AH29=""))+SUMPRODUCT((E29:AH29="HR")*1)</f>
        <v>0</v>
      </c>
      <c r="AK29" s="89" cm="1">
        <f t="array" ref="AK29">SUMPRODUCT(($E$25:$AH$25="N0")*(E29:AH29=""))+SUMPRODUCT((E29:AH29="N")*1)</f>
        <v>17</v>
      </c>
      <c r="AL29" s="88" cm="1">
        <f t="array" ref="AL29">SUMPRODUCT(($E$25:$AH$25="RD")*(E29:AH29=""))+SUMPRODUCT((E29:AH29="RD")*1)</f>
        <v>8</v>
      </c>
      <c r="AM29" s="89" cm="1">
        <f t="array" ref="AM29">SUMPRODUCT((F29:AH29="AL")*1)</f>
        <v>3</v>
      </c>
      <c r="AN29" s="89" cm="1">
        <f t="array" ref="AN29">SUMPRODUCT((F29:AH29="SH")*1)</f>
        <v>0</v>
      </c>
      <c r="AO29" s="89" cm="1">
        <f t="array" ref="AO29">SUMPRODUCT((E29:AH29="SL")*1)</f>
        <v>0</v>
      </c>
      <c r="AP29" s="140" t="e">
        <f>#REF!-AJ29-AK29-AL29-AM29-AN29-AO29</f>
        <v>#REF!</v>
      </c>
    </row>
    <row r="30" spans="1:42" ht="18" customHeight="1">
      <c r="A30" s="1331"/>
      <c r="B30" s="605" t="s">
        <v>51</v>
      </c>
      <c r="C30" s="111" t="s">
        <v>32</v>
      </c>
      <c r="D30" s="600">
        <v>685750</v>
      </c>
      <c r="E30" s="1074"/>
      <c r="F30" s="1076"/>
      <c r="G30" s="1074"/>
      <c r="H30" s="1075"/>
      <c r="I30" s="1075"/>
      <c r="J30" s="1075"/>
      <c r="K30" s="1075"/>
      <c r="L30" s="1075"/>
      <c r="M30" s="1076"/>
      <c r="N30" s="1077"/>
      <c r="O30" s="1075"/>
      <c r="P30" s="1075"/>
      <c r="Q30" s="1075"/>
      <c r="R30" s="1289" t="s">
        <v>96</v>
      </c>
      <c r="S30" s="1075"/>
      <c r="T30" s="1078"/>
      <c r="U30" s="1074"/>
      <c r="V30" s="1075"/>
      <c r="W30" s="1075"/>
      <c r="X30" s="1075"/>
      <c r="Y30" s="1075"/>
      <c r="Z30" s="1075"/>
      <c r="AA30" s="1076"/>
      <c r="AB30" s="1077"/>
      <c r="AC30" s="1075"/>
      <c r="AD30" s="1075"/>
      <c r="AE30" s="1075"/>
      <c r="AF30" s="1075"/>
      <c r="AG30" s="1075"/>
      <c r="AH30" s="1076"/>
      <c r="AI30" s="1119"/>
      <c r="AJ30" s="89"/>
      <c r="AK30" s="89"/>
      <c r="AL30" s="88"/>
      <c r="AM30" s="89"/>
      <c r="AN30" s="89"/>
      <c r="AO30" s="89"/>
      <c r="AP30" s="140"/>
    </row>
    <row r="31" spans="1:42" ht="18" customHeight="1">
      <c r="A31" s="1331"/>
      <c r="B31" s="889" t="s">
        <v>116</v>
      </c>
      <c r="C31" s="111" t="s">
        <v>55</v>
      </c>
      <c r="D31" s="112">
        <v>682089</v>
      </c>
      <c r="E31" s="1074"/>
      <c r="F31" s="1076"/>
      <c r="G31" s="1074"/>
      <c r="H31" s="1075"/>
      <c r="I31" s="1075"/>
      <c r="J31" s="1075"/>
      <c r="K31" s="1075" t="s">
        <v>215</v>
      </c>
      <c r="L31" s="1075"/>
      <c r="M31" s="1076"/>
      <c r="N31" s="1265" t="s">
        <v>81</v>
      </c>
      <c r="O31" s="1266" t="s">
        <v>81</v>
      </c>
      <c r="P31" s="1266" t="s">
        <v>81</v>
      </c>
      <c r="Q31" s="1266" t="s">
        <v>81</v>
      </c>
      <c r="R31" s="1266" t="s">
        <v>81</v>
      </c>
      <c r="S31" s="1075"/>
      <c r="T31" s="1280" t="s">
        <v>88</v>
      </c>
      <c r="U31" s="1282" t="s">
        <v>88</v>
      </c>
      <c r="V31" s="1075"/>
      <c r="W31" s="1075"/>
      <c r="X31" s="1075"/>
      <c r="Y31" s="1075"/>
      <c r="Z31" s="1075"/>
      <c r="AA31" s="1076"/>
      <c r="AB31" s="1077"/>
      <c r="AC31" s="1075"/>
      <c r="AD31" s="1075"/>
      <c r="AE31" s="1075"/>
      <c r="AF31" s="1075"/>
      <c r="AG31" s="1075"/>
      <c r="AH31" s="1076"/>
      <c r="AI31" s="1119"/>
      <c r="AJ31" s="89"/>
      <c r="AK31" s="89"/>
      <c r="AL31" s="88"/>
      <c r="AM31" s="89"/>
      <c r="AN31" s="89"/>
      <c r="AO31" s="89"/>
      <c r="AP31" s="140"/>
    </row>
    <row r="32" spans="1:42" ht="18" customHeight="1">
      <c r="A32" s="1333"/>
      <c r="B32" s="132" t="s">
        <v>52</v>
      </c>
      <c r="C32" s="356" t="s">
        <v>27</v>
      </c>
      <c r="D32" s="23">
        <v>678954</v>
      </c>
      <c r="E32" s="516"/>
      <c r="F32" s="517"/>
      <c r="G32" s="516"/>
      <c r="H32" s="518"/>
      <c r="I32" s="518"/>
      <c r="J32" s="518"/>
      <c r="K32" s="518" t="s">
        <v>108</v>
      </c>
      <c r="L32" s="518"/>
      <c r="M32" s="517"/>
      <c r="N32" s="519"/>
      <c r="O32" s="518"/>
      <c r="P32" s="518"/>
      <c r="Q32" s="1288"/>
      <c r="R32" s="518"/>
      <c r="S32" s="518"/>
      <c r="T32" s="520"/>
      <c r="U32" s="516"/>
      <c r="V32" s="518"/>
      <c r="W32" s="518"/>
      <c r="X32" s="518"/>
      <c r="Y32" s="518"/>
      <c r="Z32" s="518"/>
      <c r="AA32" s="517"/>
      <c r="AB32" s="519"/>
      <c r="AC32" s="518"/>
      <c r="AD32" s="518"/>
      <c r="AE32" s="518"/>
      <c r="AF32" s="1221" t="s">
        <v>81</v>
      </c>
      <c r="AG32" s="518"/>
      <c r="AH32" s="517"/>
      <c r="AI32" s="1111" t="s">
        <v>210</v>
      </c>
      <c r="AJ32" s="89" cm="1">
        <f t="array" ref="AJ32">SUMPRODUCT(($E$25:$AH$25="HR")*(E32:AH32=""))+SUMPRODUCT((E32:AH32="HR")*1)</f>
        <v>4</v>
      </c>
      <c r="AK32" s="89" cm="1">
        <f t="array" ref="AK32">SUMPRODUCT(($E$25:$AH$25="N0")*(E32:AH32=""))+SUMPRODUCT((E32:AH32="N")*1)</f>
        <v>16</v>
      </c>
      <c r="AL32" s="88" cm="1">
        <f t="array" ref="AL32">SUMPRODUCT(($E$25:$AH$25="RD")*(E32:AH32=""))+SUMPRODUCT((E32:AH32="RD")*1)</f>
        <v>8</v>
      </c>
      <c r="AM32" s="89" cm="1">
        <f t="array" ref="AM32">SUMPRODUCT((F32:AH32="AL")*1)</f>
        <v>1</v>
      </c>
      <c r="AN32" s="89" cm="1">
        <f t="array" ref="AN32">SUMPRODUCT((F32:AH32="SH")*1)</f>
        <v>0</v>
      </c>
      <c r="AO32" s="89" cm="1">
        <f t="array" ref="AO32">SUMPRODUCT((E32:AH32="SL")*1)</f>
        <v>0</v>
      </c>
      <c r="AP32" s="140" t="e">
        <f>#REF!-AJ32-AK32-AL32-AM32-AN32-AO32</f>
        <v>#REF!</v>
      </c>
    </row>
    <row r="33" spans="1:42" ht="18" customHeight="1">
      <c r="A33" s="1316" t="s">
        <v>117</v>
      </c>
      <c r="B33" s="1332" t="s">
        <v>110</v>
      </c>
      <c r="C33" s="1332"/>
      <c r="D33" s="1332"/>
      <c r="E33" s="506" t="s">
        <v>84</v>
      </c>
      <c r="F33" s="507" t="s">
        <v>94</v>
      </c>
      <c r="G33" s="515" t="s">
        <v>94</v>
      </c>
      <c r="H33" s="509" t="s">
        <v>94</v>
      </c>
      <c r="I33" s="509" t="s">
        <v>94</v>
      </c>
      <c r="J33" s="509" t="s">
        <v>94</v>
      </c>
      <c r="K33" s="509" t="s">
        <v>94</v>
      </c>
      <c r="L33" s="512" t="s">
        <v>84</v>
      </c>
      <c r="M33" s="477" t="s">
        <v>84</v>
      </c>
      <c r="N33" s="510" t="s">
        <v>95</v>
      </c>
      <c r="O33" s="511" t="s">
        <v>95</v>
      </c>
      <c r="P33" s="511" t="s">
        <v>95</v>
      </c>
      <c r="Q33" s="511" t="s">
        <v>95</v>
      </c>
      <c r="R33" s="511" t="s">
        <v>95</v>
      </c>
      <c r="S33" s="512" t="s">
        <v>84</v>
      </c>
      <c r="T33" s="493" t="s">
        <v>84</v>
      </c>
      <c r="U33" s="515" t="s">
        <v>94</v>
      </c>
      <c r="V33" s="509" t="s">
        <v>94</v>
      </c>
      <c r="W33" s="509" t="s">
        <v>94</v>
      </c>
      <c r="X33" s="509" t="s">
        <v>94</v>
      </c>
      <c r="Y33" s="509" t="s">
        <v>94</v>
      </c>
      <c r="Z33" s="512" t="s">
        <v>84</v>
      </c>
      <c r="AA33" s="507" t="s">
        <v>94</v>
      </c>
      <c r="AB33" s="508" t="s">
        <v>94</v>
      </c>
      <c r="AC33" s="509" t="s">
        <v>94</v>
      </c>
      <c r="AD33" s="509" t="s">
        <v>94</v>
      </c>
      <c r="AE33" s="509" t="s">
        <v>94</v>
      </c>
      <c r="AF33" s="509" t="s">
        <v>94</v>
      </c>
      <c r="AG33" s="512" t="s">
        <v>84</v>
      </c>
      <c r="AH33" s="507" t="s">
        <v>94</v>
      </c>
      <c r="AI33" s="1120" t="s">
        <v>94</v>
      </c>
      <c r="AJ33" s="137" t="s">
        <v>95</v>
      </c>
      <c r="AK33" s="137" t="s">
        <v>38</v>
      </c>
      <c r="AL33" s="138" t="s">
        <v>84</v>
      </c>
      <c r="AM33" s="137" t="s">
        <v>81</v>
      </c>
      <c r="AN33" s="137" t="s">
        <v>88</v>
      </c>
      <c r="AO33" s="137" t="s">
        <v>96</v>
      </c>
      <c r="AP33" s="139" t="s">
        <v>97</v>
      </c>
    </row>
    <row r="34" spans="1:42" ht="18" customHeight="1">
      <c r="A34" s="1331"/>
      <c r="B34" s="46" t="s">
        <v>17</v>
      </c>
      <c r="C34" s="27" t="s">
        <v>16</v>
      </c>
      <c r="D34" s="21">
        <v>321524</v>
      </c>
      <c r="E34" s="441"/>
      <c r="F34" s="436"/>
      <c r="G34" s="441"/>
      <c r="H34" s="431"/>
      <c r="I34" s="431"/>
      <c r="J34" s="1044" t="s">
        <v>88</v>
      </c>
      <c r="K34" s="1044" t="s">
        <v>88</v>
      </c>
      <c r="L34" s="431"/>
      <c r="M34" s="436"/>
      <c r="N34" s="435"/>
      <c r="O34" s="431"/>
      <c r="P34" s="431"/>
      <c r="Q34" s="1044" t="s">
        <v>164</v>
      </c>
      <c r="R34" s="431"/>
      <c r="S34" s="431"/>
      <c r="T34" s="443"/>
      <c r="U34" s="441"/>
      <c r="V34" s="431"/>
      <c r="W34" s="431"/>
      <c r="X34" s="431"/>
      <c r="Y34" s="431"/>
      <c r="Z34" s="431"/>
      <c r="AA34" s="436"/>
      <c r="AB34" s="435"/>
      <c r="AC34" s="431"/>
      <c r="AD34" s="431"/>
      <c r="AE34" s="431"/>
      <c r="AF34" s="431"/>
      <c r="AG34" s="431"/>
      <c r="AH34" s="436"/>
      <c r="AI34" s="1117"/>
      <c r="AJ34" s="89" cm="1">
        <f t="array" ref="AJ34">SUMPRODUCT(($E$33:$AH$33="HR")*(E34:AH34=""))+SUMPRODUCT((E34:AH34="HR")*1)</f>
        <v>4</v>
      </c>
      <c r="AK34" s="89" cm="1">
        <f t="array" ref="AK34">SUMPRODUCT(($E$33:$AH$33="N0")*(E34:AH34=""))+SUMPRODUCT((E34:AH34="N")*1)</f>
        <v>16</v>
      </c>
      <c r="AL34" s="88" cm="1">
        <f t="array" ref="AL34">SUMPRODUCT(($E$33:$AH$33="RD")*(E34:AH34=""))+SUMPRODUCT((E34:AH34="RD")*1)</f>
        <v>7</v>
      </c>
      <c r="AM34" s="89" cm="1">
        <f t="array" ref="AM34">SUMPRODUCT((F34:AH34="AL")*1)</f>
        <v>0</v>
      </c>
      <c r="AN34" s="89" cm="1">
        <f t="array" ref="AN34">SUMPRODUCT((F34:AH34="SH")*1)</f>
        <v>2</v>
      </c>
      <c r="AO34" s="89" cm="1">
        <f t="array" ref="AO34">SUMPRODUCT((E34:AH34="SL")*1)</f>
        <v>0</v>
      </c>
      <c r="AP34" s="140" t="e">
        <f>#REF!-AJ34-AK34-AL34-AM34-AN34-AO34</f>
        <v>#REF!</v>
      </c>
    </row>
    <row r="35" spans="1:42" ht="18" customHeight="1">
      <c r="A35" s="1331"/>
      <c r="B35" s="48" t="s">
        <v>28</v>
      </c>
      <c r="C35" s="16" t="s">
        <v>16</v>
      </c>
      <c r="D35" s="22">
        <v>427616</v>
      </c>
      <c r="E35" s="416"/>
      <c r="F35" s="417"/>
      <c r="G35" s="416"/>
      <c r="H35" s="413"/>
      <c r="I35" s="413"/>
      <c r="J35" s="413"/>
      <c r="K35" s="413"/>
      <c r="L35" s="413"/>
      <c r="M35" s="417"/>
      <c r="N35" s="421"/>
      <c r="O35" s="413"/>
      <c r="P35" s="413" t="s">
        <v>208</v>
      </c>
      <c r="Q35" s="413"/>
      <c r="R35" s="1048" t="s">
        <v>88</v>
      </c>
      <c r="S35" s="413"/>
      <c r="T35" s="444"/>
      <c r="U35" s="416"/>
      <c r="V35" s="413"/>
      <c r="W35" s="413"/>
      <c r="X35" s="413"/>
      <c r="Y35" s="413"/>
      <c r="Z35" s="413"/>
      <c r="AA35" s="1154" t="s">
        <v>88</v>
      </c>
      <c r="AB35" s="421"/>
      <c r="AC35" s="413"/>
      <c r="AD35" s="413"/>
      <c r="AE35" s="413"/>
      <c r="AF35" s="413"/>
      <c r="AG35" s="413"/>
      <c r="AH35" s="417"/>
      <c r="AI35" s="1117"/>
      <c r="AJ35" s="89" cm="1">
        <f t="array" ref="AJ35">SUMPRODUCT(($E$33:$AH$33="HR")*(E35:AH35=""))+SUMPRODUCT((E35:AH35="HR")*1)</f>
        <v>3</v>
      </c>
      <c r="AK35" s="89" cm="1">
        <f t="array" ref="AK35">SUMPRODUCT(($E$33:$AH$33="N0")*(E35:AH35=""))+SUMPRODUCT((E35:AH35="N")*1)</f>
        <v>17</v>
      </c>
      <c r="AL35" s="88" cm="1">
        <f t="array" ref="AL35">SUMPRODUCT(($E$33:$AH$33="RD")*(E35:AH35=""))+SUMPRODUCT((E35:AH35="RD")*1)</f>
        <v>7</v>
      </c>
      <c r="AM35" s="89" cm="1">
        <f t="array" ref="AM35">SUMPRODUCT((F35:AH35="AL")*1)</f>
        <v>0</v>
      </c>
      <c r="AN35" s="89" cm="1">
        <f t="array" ref="AN35">SUMPRODUCT((F35:AH35="SH")*1)</f>
        <v>2</v>
      </c>
      <c r="AO35" s="89" cm="1">
        <f t="array" ref="AO35">SUMPRODUCT((E35:AH35="SL")*1)</f>
        <v>0</v>
      </c>
      <c r="AP35" s="140" t="e">
        <f>#REF!-AJ35-AK35-AL35-AM35-AN35-AO35</f>
        <v>#REF!</v>
      </c>
    </row>
    <row r="36" spans="1:42" ht="18" customHeight="1">
      <c r="A36" s="1331"/>
      <c r="B36" s="50" t="s">
        <v>273</v>
      </c>
      <c r="C36" s="18" t="s">
        <v>27</v>
      </c>
      <c r="D36" s="51">
        <v>672075</v>
      </c>
      <c r="E36" s="416"/>
      <c r="F36" s="417"/>
      <c r="G36" s="416"/>
      <c r="H36" s="413"/>
      <c r="I36" s="413"/>
      <c r="J36" s="413"/>
      <c r="K36" s="413"/>
      <c r="L36" s="413"/>
      <c r="M36" s="417"/>
      <c r="N36" s="441"/>
      <c r="O36" s="431"/>
      <c r="P36" s="431"/>
      <c r="Q36" s="1044" t="s">
        <v>88</v>
      </c>
      <c r="R36" s="1044" t="s">
        <v>88</v>
      </c>
      <c r="S36" s="413"/>
      <c r="T36" s="444"/>
      <c r="U36" s="416"/>
      <c r="V36" s="413"/>
      <c r="W36" s="413"/>
      <c r="Y36" s="413"/>
      <c r="Z36" s="413"/>
      <c r="AA36" s="417"/>
      <c r="AB36" s="421"/>
      <c r="AC36" s="413"/>
      <c r="AD36" s="413"/>
      <c r="AE36" s="413"/>
      <c r="AF36" s="413"/>
      <c r="AG36" s="413"/>
      <c r="AH36" s="417"/>
      <c r="AI36" s="1117"/>
      <c r="AJ36" s="89" cm="1">
        <f t="array" ref="AJ36">SUMPRODUCT(($E$33:$AH$33="HR")*(E36:AH36=""))+SUMPRODUCT((E36:AH36="HR")*1)</f>
        <v>3</v>
      </c>
      <c r="AK36" s="89" cm="1">
        <f t="array" ref="AK36">SUMPRODUCT(($E$33:$AH$33="N0")*(E36:AH36=""))+SUMPRODUCT((E36:AH36="N")*1)</f>
        <v>18</v>
      </c>
      <c r="AL36" s="88" cm="1">
        <f t="array" ref="AL36">SUMPRODUCT(($E$33:$AH$33="RD")*(E36:AH36=""))+SUMPRODUCT((E36:AH36="RD")*1)</f>
        <v>7</v>
      </c>
      <c r="AM36" s="89" cm="1">
        <f t="array" ref="AM36">SUMPRODUCT((F36:AH36="AL")*1)</f>
        <v>0</v>
      </c>
      <c r="AN36" s="89" cm="1">
        <f t="array" ref="AN36">SUMPRODUCT((F36:AH36="SH")*1)</f>
        <v>2</v>
      </c>
      <c r="AO36" s="89" cm="1">
        <f t="array" ref="AO36">SUMPRODUCT((E36:AH36="SL")*1)</f>
        <v>0</v>
      </c>
      <c r="AP36" s="140" t="e">
        <f>#REF!-AJ36-AK36-AL36-AM36-AN36-AO36</f>
        <v>#REF!</v>
      </c>
    </row>
    <row r="37" spans="1:42" ht="18" customHeight="1">
      <c r="A37" s="1331"/>
      <c r="B37" s="47" t="s">
        <v>35</v>
      </c>
      <c r="C37" s="16" t="s">
        <v>27</v>
      </c>
      <c r="D37" s="22">
        <v>655180</v>
      </c>
      <c r="E37" s="416"/>
      <c r="F37" s="417"/>
      <c r="G37" s="416"/>
      <c r="H37" s="413"/>
      <c r="I37" s="413"/>
      <c r="J37" s="413"/>
      <c r="K37" s="413"/>
      <c r="L37" s="413"/>
      <c r="M37" s="417"/>
      <c r="N37" s="1047" t="s">
        <v>88</v>
      </c>
      <c r="O37" s="1048" t="s">
        <v>88</v>
      </c>
      <c r="P37" s="1048" t="s">
        <v>88</v>
      </c>
      <c r="Q37" s="1048" t="s">
        <v>81</v>
      </c>
      <c r="R37" s="1048" t="s">
        <v>81</v>
      </c>
      <c r="S37" s="413"/>
      <c r="T37" s="444"/>
      <c r="U37" s="1245"/>
      <c r="W37" s="413"/>
      <c r="X37" s="413"/>
      <c r="Y37" s="413"/>
      <c r="Z37" s="413"/>
      <c r="AA37" s="417"/>
      <c r="AB37" s="421"/>
      <c r="AC37" s="413"/>
      <c r="AD37" s="413"/>
      <c r="AE37" s="413"/>
      <c r="AF37" s="413"/>
      <c r="AG37" s="413"/>
      <c r="AH37" s="417"/>
      <c r="AI37" s="1117"/>
      <c r="AJ37" s="89" cm="1">
        <f t="array" ref="AJ37">SUMPRODUCT(($E$33:$AH$33="HR")*(E37:AH37=""))+SUMPRODUCT((E37:AH37="HR")*1)</f>
        <v>0</v>
      </c>
      <c r="AK37" s="89" cm="1">
        <f t="array" ref="AK37">SUMPRODUCT(($E$33:$AH$33="N0")*(E37:AH37=""))+SUMPRODUCT((E37:AH37="N")*1)</f>
        <v>18</v>
      </c>
      <c r="AL37" s="88" cm="1">
        <f t="array" ref="AL37">SUMPRODUCT(($E$33:$AH$33="RD")*(E37:AH37=""))+SUMPRODUCT((E37:AH37="RD")*1)</f>
        <v>7</v>
      </c>
      <c r="AM37" s="89" cm="1">
        <f t="array" ref="AM37">SUMPRODUCT((F37:AH37="AL")*1)</f>
        <v>2</v>
      </c>
      <c r="AN37" s="89" cm="1">
        <f t="array" ref="AN37">SUMPRODUCT((F37:AH37="SH")*1)</f>
        <v>3</v>
      </c>
      <c r="AO37" s="89" cm="1">
        <f t="array" ref="AO37">SUMPRODUCT((E37:AH37="SL")*1)</f>
        <v>0</v>
      </c>
      <c r="AP37" s="140" t="e">
        <f>#REF!-AJ37-AK37-AL37-AM37-AN37-AO37</f>
        <v>#REF!</v>
      </c>
    </row>
    <row r="38" spans="1:42" ht="18" customHeight="1">
      <c r="A38" s="1331"/>
      <c r="B38" s="97" t="s">
        <v>34</v>
      </c>
      <c r="C38" s="16" t="s">
        <v>27</v>
      </c>
      <c r="D38" s="22">
        <v>673277</v>
      </c>
      <c r="E38" s="416"/>
      <c r="F38" s="417"/>
      <c r="G38" s="416"/>
      <c r="H38" s="413"/>
      <c r="I38" s="413"/>
      <c r="J38" s="413"/>
      <c r="K38" s="413"/>
      <c r="L38" s="413"/>
      <c r="M38" s="417"/>
      <c r="N38" s="1047" t="s">
        <v>88</v>
      </c>
      <c r="O38" s="413"/>
      <c r="P38" s="413"/>
      <c r="Q38" s="413" t="s">
        <v>261</v>
      </c>
      <c r="R38" s="413"/>
      <c r="S38" s="413"/>
      <c r="T38" s="444"/>
      <c r="U38" s="416"/>
      <c r="V38" s="413"/>
      <c r="W38" s="413"/>
      <c r="X38" s="413"/>
      <c r="Y38" s="413"/>
      <c r="Z38" s="413"/>
      <c r="AA38" s="417"/>
      <c r="AB38" s="421"/>
      <c r="AC38" s="413"/>
      <c r="AD38" s="413"/>
      <c r="AE38" s="413"/>
      <c r="AF38" s="413"/>
      <c r="AG38" s="413"/>
      <c r="AH38" s="417"/>
      <c r="AI38" s="1117"/>
      <c r="AJ38" s="89" cm="1">
        <f t="array" ref="AJ38">SUMPRODUCT(($E$33:$AH$33="HR")*(E38:AH38=""))+SUMPRODUCT((E38:AH38="HR")*1)</f>
        <v>3</v>
      </c>
      <c r="AK38" s="89" cm="1">
        <f t="array" ref="AK38">SUMPRODUCT(($E$33:$AH$33="N0")*(E38:AH38=""))+SUMPRODUCT((E38:AH38="N")*1)</f>
        <v>18</v>
      </c>
      <c r="AL38" s="88" cm="1">
        <f t="array" ref="AL38">SUMPRODUCT(($E$33:$AH$33="RD")*(E38:AH38=""))+SUMPRODUCT((E38:AH38="RD")*1)</f>
        <v>7</v>
      </c>
      <c r="AM38" s="89" cm="1">
        <f t="array" ref="AM38">SUMPRODUCT((F38:AH38="AL")*1)</f>
        <v>0</v>
      </c>
      <c r="AN38" s="89" cm="1">
        <f t="array" ref="AN38">SUMPRODUCT((F38:AH38="SH")*1)</f>
        <v>1</v>
      </c>
      <c r="AO38" s="89" cm="1">
        <f t="array" ref="AO38">SUMPRODUCT((E38:AH38="SL")*1)</f>
        <v>0</v>
      </c>
      <c r="AP38" s="140" t="e">
        <f>#REF!-AJ38-AK38-AL38-AM38-AN38-AO38</f>
        <v>#REF!</v>
      </c>
    </row>
    <row r="39" spans="1:42" ht="18" customHeight="1">
      <c r="A39" s="1331"/>
      <c r="B39" s="150" t="s">
        <v>118</v>
      </c>
      <c r="C39" s="133" t="s">
        <v>27</v>
      </c>
      <c r="D39" s="108">
        <v>674432</v>
      </c>
      <c r="E39" s="416"/>
      <c r="F39" s="417"/>
      <c r="G39" s="416"/>
      <c r="H39" s="413"/>
      <c r="I39" s="413"/>
      <c r="J39" s="413"/>
      <c r="K39" s="413"/>
      <c r="L39" s="413"/>
      <c r="M39" s="417"/>
      <c r="N39" s="421" t="s">
        <v>145</v>
      </c>
      <c r="O39" s="1234" t="s">
        <v>145</v>
      </c>
      <c r="P39" s="413"/>
      <c r="Q39" s="413"/>
      <c r="R39" s="413"/>
      <c r="S39" s="413"/>
      <c r="T39" s="444"/>
      <c r="U39" s="416"/>
      <c r="V39" s="413"/>
      <c r="W39" s="413"/>
      <c r="X39" s="1048" t="s">
        <v>88</v>
      </c>
      <c r="Y39" s="1048" t="s">
        <v>81</v>
      </c>
      <c r="Z39" s="413"/>
      <c r="AA39" s="417"/>
      <c r="AB39" s="421"/>
      <c r="AC39" s="413"/>
      <c r="AD39" s="413"/>
      <c r="AE39" s="413"/>
      <c r="AF39" s="413"/>
      <c r="AG39" s="413"/>
      <c r="AH39" s="1154" t="s">
        <v>81</v>
      </c>
      <c r="AI39" s="1283" t="s">
        <v>81</v>
      </c>
      <c r="AJ39" s="89" cm="1">
        <f t="array" ref="AJ39">SUMPRODUCT(($E$33:$AH$33="HR")*(E39:AH39=""))+SUMPRODUCT((E39:AH39="HR")*1)</f>
        <v>3</v>
      </c>
      <c r="AK39" s="89" cm="1">
        <f t="array" ref="AK39">SUMPRODUCT(($E$33:$AH$33="N0")*(E39:AH39=""))+SUMPRODUCT((E39:AH39="N")*1)</f>
        <v>15</v>
      </c>
      <c r="AL39" s="88" cm="1">
        <f t="array" ref="AL39">SUMPRODUCT(($E$33:$AH$33="RD")*(E39:AH39=""))+SUMPRODUCT((E39:AH39="RD")*1)</f>
        <v>7</v>
      </c>
      <c r="AM39" s="89" cm="1">
        <f t="array" ref="AM39">SUMPRODUCT((F39:AH39="AL")*1)</f>
        <v>2</v>
      </c>
      <c r="AN39" s="89" cm="1">
        <f t="array" ref="AN39">SUMPRODUCT((F39:AH39="SH")*1)</f>
        <v>1</v>
      </c>
      <c r="AO39" s="89" cm="1">
        <f t="array" ref="AO39">SUMPRODUCT((E39:AH39="SL")*1)</f>
        <v>0</v>
      </c>
      <c r="AP39" s="140" t="e">
        <f>#REF!-AJ39-AK39-AL39-AM39-AN39-AO39</f>
        <v>#REF!</v>
      </c>
    </row>
    <row r="40" spans="1:42" ht="18" customHeight="1">
      <c r="A40" s="1316" t="s">
        <v>119</v>
      </c>
      <c r="B40" s="1334" t="s">
        <v>110</v>
      </c>
      <c r="C40" s="1332"/>
      <c r="D40" s="1332"/>
      <c r="E40" s="506" t="s">
        <v>84</v>
      </c>
      <c r="F40" s="507" t="s">
        <v>94</v>
      </c>
      <c r="G40" s="515" t="s">
        <v>94</v>
      </c>
      <c r="H40" s="509" t="s">
        <v>94</v>
      </c>
      <c r="I40" s="509" t="s">
        <v>94</v>
      </c>
      <c r="J40" s="509" t="s">
        <v>94</v>
      </c>
      <c r="K40" s="509" t="s">
        <v>94</v>
      </c>
      <c r="L40" s="512" t="s">
        <v>84</v>
      </c>
      <c r="M40" s="507" t="s">
        <v>94</v>
      </c>
      <c r="N40" s="508" t="s">
        <v>94</v>
      </c>
      <c r="O40" s="509" t="s">
        <v>94</v>
      </c>
      <c r="P40" s="509" t="s">
        <v>94</v>
      </c>
      <c r="Q40" s="509" t="s">
        <v>94</v>
      </c>
      <c r="R40" s="509" t="s">
        <v>94</v>
      </c>
      <c r="S40" s="512" t="s">
        <v>84</v>
      </c>
      <c r="T40" s="493" t="s">
        <v>84</v>
      </c>
      <c r="U40" s="513" t="s">
        <v>95</v>
      </c>
      <c r="V40" s="511" t="s">
        <v>95</v>
      </c>
      <c r="W40" s="511" t="s">
        <v>95</v>
      </c>
      <c r="X40" s="511" t="s">
        <v>95</v>
      </c>
      <c r="Y40" s="511" t="s">
        <v>95</v>
      </c>
      <c r="Z40" s="512" t="s">
        <v>84</v>
      </c>
      <c r="AA40" s="477" t="s">
        <v>84</v>
      </c>
      <c r="AB40" s="508" t="s">
        <v>94</v>
      </c>
      <c r="AC40" s="509" t="s">
        <v>94</v>
      </c>
      <c r="AD40" s="509" t="s">
        <v>94</v>
      </c>
      <c r="AE40" s="509" t="s">
        <v>94</v>
      </c>
      <c r="AF40" s="509" t="s">
        <v>94</v>
      </c>
      <c r="AG40" s="512" t="s">
        <v>84</v>
      </c>
      <c r="AH40" s="507" t="s">
        <v>94</v>
      </c>
      <c r="AI40" s="1120" t="s">
        <v>94</v>
      </c>
      <c r="AJ40" s="137" t="s">
        <v>95</v>
      </c>
      <c r="AK40" s="137" t="s">
        <v>38</v>
      </c>
      <c r="AL40" s="138" t="s">
        <v>84</v>
      </c>
      <c r="AM40" s="137" t="s">
        <v>81</v>
      </c>
      <c r="AN40" s="137" t="s">
        <v>88</v>
      </c>
      <c r="AO40" s="137" t="s">
        <v>96</v>
      </c>
      <c r="AP40" s="139" t="s">
        <v>97</v>
      </c>
    </row>
    <row r="41" spans="1:42" ht="18" customHeight="1">
      <c r="A41" s="1331"/>
      <c r="B41" s="44" t="s">
        <v>274</v>
      </c>
      <c r="C41" s="17" t="s">
        <v>16</v>
      </c>
      <c r="D41" s="21">
        <v>422380</v>
      </c>
      <c r="E41" s="441"/>
      <c r="F41" s="436"/>
      <c r="G41" s="441"/>
      <c r="H41" s="431"/>
      <c r="I41" s="431"/>
      <c r="J41" s="431"/>
      <c r="K41" s="431"/>
      <c r="L41" s="431"/>
      <c r="M41" s="436"/>
      <c r="N41" s="435"/>
      <c r="O41" s="431"/>
      <c r="P41" s="431"/>
      <c r="Q41" s="431"/>
      <c r="R41" s="431"/>
      <c r="S41" s="431"/>
      <c r="T41" s="443"/>
      <c r="U41" s="1043" t="s">
        <v>88</v>
      </c>
      <c r="V41" s="431" t="s">
        <v>94</v>
      </c>
      <c r="W41" s="431" t="s">
        <v>94</v>
      </c>
      <c r="X41" s="431" t="s">
        <v>94</v>
      </c>
      <c r="Y41" s="1044" t="s">
        <v>88</v>
      </c>
      <c r="Z41" s="431"/>
      <c r="AA41" s="436"/>
      <c r="AB41" s="1045" t="s">
        <v>81</v>
      </c>
      <c r="AC41" s="1044" t="s">
        <v>81</v>
      </c>
      <c r="AD41" s="431"/>
      <c r="AE41" s="431"/>
      <c r="AF41" s="431"/>
      <c r="AG41" s="431"/>
      <c r="AH41" s="436"/>
      <c r="AI41" s="1110"/>
      <c r="AJ41" s="89" cm="1">
        <f t="array" ref="AJ41">SUMPRODUCT(($E$40:$AH$40="HR")*(E41:AH41=""))+SUMPRODUCT((E41:AH41="HR")*1)</f>
        <v>0</v>
      </c>
      <c r="AK41" s="89" cm="1">
        <f t="array" ref="AK41">SUMPRODUCT(($E$40:$AH$40="N0")*(E41:AH41=""))+SUMPRODUCT((E41:AH41="N")*1)</f>
        <v>16</v>
      </c>
      <c r="AL41" s="88" cm="1">
        <f t="array" ref="AL41">SUMPRODUCT(($E$40:$AH$40="RD")*(E41:AH41=""))+SUMPRODUCT((E41:AH41="RD")*1)</f>
        <v>7</v>
      </c>
      <c r="AM41" s="89" cm="1">
        <f t="array" ref="AM41">SUMPRODUCT((F41:AH41="AL")*1)</f>
        <v>2</v>
      </c>
      <c r="AN41" s="89" cm="1">
        <f t="array" ref="AN41">SUMPRODUCT((F41:AH41="SH")*1)</f>
        <v>2</v>
      </c>
      <c r="AO41" s="89" cm="1">
        <f t="array" ref="AO41">SUMPRODUCT((E41:AH41="SL")*1)</f>
        <v>0</v>
      </c>
      <c r="AP41" s="140" t="e">
        <f>#REF!-AJ41-AK41-AL41-AM41-AN41-AO41</f>
        <v>#REF!</v>
      </c>
    </row>
    <row r="42" spans="1:42" ht="18" customHeight="1">
      <c r="A42" s="1331"/>
      <c r="B42" s="45" t="s">
        <v>36</v>
      </c>
      <c r="C42" s="16" t="s">
        <v>16</v>
      </c>
      <c r="D42" s="22">
        <v>669557</v>
      </c>
      <c r="E42" s="416"/>
      <c r="F42" s="417"/>
      <c r="G42" s="416"/>
      <c r="H42" s="413"/>
      <c r="I42" s="413"/>
      <c r="J42" s="413"/>
      <c r="K42" s="413"/>
      <c r="L42" s="413"/>
      <c r="M42" s="417"/>
      <c r="N42" s="421"/>
      <c r="O42" s="413"/>
      <c r="P42" s="413"/>
      <c r="Q42" s="1048" t="s">
        <v>88</v>
      </c>
      <c r="R42" s="1048" t="s">
        <v>88</v>
      </c>
      <c r="S42" s="413"/>
      <c r="T42" s="444"/>
      <c r="U42" s="416"/>
      <c r="V42" s="413"/>
      <c r="W42" s="413" t="s">
        <v>103</v>
      </c>
      <c r="X42" s="413"/>
      <c r="Y42" s="413" t="s">
        <v>349</v>
      </c>
      <c r="Z42" s="413"/>
      <c r="AA42" s="417"/>
      <c r="AB42" s="421"/>
      <c r="AC42" s="413"/>
      <c r="AD42" s="413"/>
      <c r="AE42" s="413"/>
      <c r="AF42" s="413"/>
      <c r="AG42" s="413"/>
      <c r="AH42" s="417"/>
      <c r="AI42" s="1117"/>
      <c r="AJ42" s="89" cm="1">
        <f t="array" ref="AJ42">SUMPRODUCT(($E$40:$AH$40="HR")*(E42:AH42=""))+SUMPRODUCT((E42:AH42="HR")*1)</f>
        <v>3</v>
      </c>
      <c r="AK42" s="89" cm="1">
        <f t="array" ref="AK42">SUMPRODUCT(($E$40:$AH$40="N0")*(E42:AH42=""))+SUMPRODUCT((E42:AH42="N")*1)</f>
        <v>16</v>
      </c>
      <c r="AL42" s="88" cm="1">
        <f t="array" ref="AL42">SUMPRODUCT(($E$40:$AH$40="RD")*(E42:AH42=""))+SUMPRODUCT((E42:AH42="RD")*1)</f>
        <v>7</v>
      </c>
      <c r="AM42" s="89" cm="1">
        <f t="array" ref="AM42">SUMPRODUCT((F42:AH42="AL")*1)</f>
        <v>0</v>
      </c>
      <c r="AN42" s="89" cm="1">
        <f t="array" ref="AN42">SUMPRODUCT((F42:AH42="SH")*1)</f>
        <v>2</v>
      </c>
      <c r="AO42" s="89" cm="1">
        <f t="array" ref="AO42">SUMPRODUCT((E42:AH42="SL")*1)</f>
        <v>0</v>
      </c>
      <c r="AP42" s="140" t="e">
        <f>#REF!-AJ42-AK42-AL42-AM42-AN42-AO42</f>
        <v>#REF!</v>
      </c>
    </row>
    <row r="43" spans="1:42" ht="18" customHeight="1">
      <c r="A43" s="1331"/>
      <c r="B43" s="45" t="s">
        <v>275</v>
      </c>
      <c r="C43" s="16" t="s">
        <v>16</v>
      </c>
      <c r="D43" s="22">
        <v>505935</v>
      </c>
      <c r="E43" s="416"/>
      <c r="F43" s="417"/>
      <c r="G43" s="416"/>
      <c r="H43" s="413"/>
      <c r="I43" s="413"/>
      <c r="J43" s="413"/>
      <c r="K43" s="413"/>
      <c r="L43" s="413"/>
      <c r="M43" s="417"/>
      <c r="N43" s="421"/>
      <c r="O43" s="413"/>
      <c r="P43" s="413"/>
      <c r="Q43" s="413"/>
      <c r="R43" s="413"/>
      <c r="S43" s="413"/>
      <c r="T43" s="444"/>
      <c r="U43" s="1047" t="s">
        <v>88</v>
      </c>
      <c r="V43" s="1048" t="s">
        <v>88</v>
      </c>
      <c r="W43" s="413" t="s">
        <v>94</v>
      </c>
      <c r="X43" s="413" t="s">
        <v>94</v>
      </c>
      <c r="Y43" s="413" t="s">
        <v>94</v>
      </c>
      <c r="Z43" s="413"/>
      <c r="AA43" s="417"/>
      <c r="AB43" s="421"/>
      <c r="AC43" s="413"/>
      <c r="AD43" s="413"/>
      <c r="AE43" s="413"/>
      <c r="AF43" s="413"/>
      <c r="AG43" s="413"/>
      <c r="AH43" s="417"/>
      <c r="AI43" s="1117"/>
      <c r="AJ43" s="89" cm="1">
        <f t="array" ref="AJ43">SUMPRODUCT(($E$40:$AH$40="HR")*(E43:AH43=""))+SUMPRODUCT((E43:AH43="HR")*1)</f>
        <v>0</v>
      </c>
      <c r="AK43" s="89" cm="1">
        <f t="array" ref="AK43">SUMPRODUCT(($E$40:$AH$40="N0")*(E43:AH43=""))+SUMPRODUCT((E43:AH43="N")*1)</f>
        <v>18</v>
      </c>
      <c r="AL43" s="88" cm="1">
        <f t="array" ref="AL43">SUMPRODUCT(($E$40:$AH$40="RD")*(E43:AH43=""))+SUMPRODUCT((E43:AH43="RD")*1)</f>
        <v>7</v>
      </c>
      <c r="AM43" s="89" cm="1">
        <f t="array" ref="AM43">SUMPRODUCT((F43:AH43="AL")*1)</f>
        <v>0</v>
      </c>
      <c r="AN43" s="89" cm="1">
        <f t="array" ref="AN43">SUMPRODUCT((F43:AH43="SH")*1)</f>
        <v>2</v>
      </c>
      <c r="AO43" s="89" cm="1">
        <f t="array" ref="AO43">SUMPRODUCT((E43:AH43="SL")*1)</f>
        <v>0</v>
      </c>
      <c r="AP43" s="140" t="e">
        <f>#REF!-AJ43-AK43-AL43-AM43-AN43-AO43</f>
        <v>#REF!</v>
      </c>
    </row>
    <row r="44" spans="1:42" ht="18" customHeight="1">
      <c r="A44" s="1331"/>
      <c r="B44" s="45" t="s">
        <v>25</v>
      </c>
      <c r="C44" s="16" t="s">
        <v>27</v>
      </c>
      <c r="D44" s="22">
        <v>580058</v>
      </c>
      <c r="E44" s="416"/>
      <c r="F44" s="417"/>
      <c r="G44" s="416"/>
      <c r="H44" s="413"/>
      <c r="I44" s="413"/>
      <c r="J44" s="413"/>
      <c r="K44" s="413"/>
      <c r="L44" s="413"/>
      <c r="M44" s="417"/>
      <c r="N44" s="421"/>
      <c r="O44" s="413"/>
      <c r="P44" s="413"/>
      <c r="Q44" s="413"/>
      <c r="R44" s="413"/>
      <c r="S44" s="413"/>
      <c r="T44" s="444"/>
      <c r="U44" s="416"/>
      <c r="V44" s="413"/>
      <c r="W44" s="413"/>
      <c r="X44" s="413"/>
      <c r="Y44" s="413"/>
      <c r="Z44" s="413"/>
      <c r="AA44" s="417"/>
      <c r="AB44" s="421"/>
      <c r="AC44" s="413"/>
      <c r="AD44" s="413"/>
      <c r="AE44" s="413"/>
      <c r="AF44" s="413"/>
      <c r="AG44" s="413"/>
      <c r="AH44" s="417"/>
      <c r="AI44" s="1117"/>
      <c r="AJ44" s="89" cm="1">
        <f t="array" ref="AJ44">SUMPRODUCT(($E$40:$AH$40="HR")*(E44:AH44=""))+SUMPRODUCT((E44:AH44="HR")*1)</f>
        <v>5</v>
      </c>
      <c r="AK44" s="89" cm="1">
        <f t="array" ref="AK44">SUMPRODUCT(($E$40:$AH$40="N0")*(E44:AH44=""))+SUMPRODUCT((E44:AH44="N")*1)</f>
        <v>18</v>
      </c>
      <c r="AL44" s="88" cm="1">
        <f t="array" ref="AL44">SUMPRODUCT(($E$40:$AH$40="RD")*(E44:AH44=""))+SUMPRODUCT((E44:AH44="RD")*1)</f>
        <v>7</v>
      </c>
      <c r="AM44" s="89" cm="1">
        <f t="array" ref="AM44">SUMPRODUCT((F44:AH44="AL")*1)</f>
        <v>0</v>
      </c>
      <c r="AN44" s="89" cm="1">
        <f t="array" ref="AN44">SUMPRODUCT((F44:AH44="SH")*1)</f>
        <v>0</v>
      </c>
      <c r="AO44" s="89" cm="1">
        <f t="array" ref="AO44">SUMPRODUCT((E44:AH44="SL")*1)</f>
        <v>0</v>
      </c>
      <c r="AP44" s="140" t="e">
        <f>#REF!-AJ44-AK44-AL44-AM44-AN44-AO44</f>
        <v>#REF!</v>
      </c>
    </row>
    <row r="45" spans="1:42" ht="18" customHeight="1">
      <c r="A45" s="1331"/>
      <c r="B45" s="45" t="s">
        <v>37</v>
      </c>
      <c r="C45" s="16" t="s">
        <v>27</v>
      </c>
      <c r="D45" s="22">
        <v>680417</v>
      </c>
      <c r="E45" s="416"/>
      <c r="F45" s="417"/>
      <c r="G45" s="416"/>
      <c r="H45" s="413"/>
      <c r="I45" s="413"/>
      <c r="J45" s="413"/>
      <c r="K45" s="413"/>
      <c r="L45" s="413"/>
      <c r="M45" s="417"/>
      <c r="N45" s="421"/>
      <c r="O45" s="413"/>
      <c r="P45" s="413"/>
      <c r="Q45" s="413"/>
      <c r="R45" s="413"/>
      <c r="S45" s="413"/>
      <c r="T45" s="444"/>
      <c r="U45" s="1047" t="s">
        <v>88</v>
      </c>
      <c r="V45" s="413"/>
      <c r="W45" s="1048" t="s">
        <v>88</v>
      </c>
      <c r="X45" s="413" t="s">
        <v>350</v>
      </c>
      <c r="Y45" s="413" t="s">
        <v>349</v>
      </c>
      <c r="Z45" s="413"/>
      <c r="AA45" s="417"/>
      <c r="AB45" s="421"/>
      <c r="AC45" s="413"/>
      <c r="AD45" s="413"/>
      <c r="AE45" s="413"/>
      <c r="AF45" s="413"/>
      <c r="AG45" s="413"/>
      <c r="AH45" s="417"/>
      <c r="AI45" s="1117"/>
      <c r="AJ45" s="89" cm="1">
        <f t="array" ref="AJ45">SUMPRODUCT(($E$40:$AH$40="HR")*(E45:AH45=""))+SUMPRODUCT((E45:AH45="HR")*1)</f>
        <v>1</v>
      </c>
      <c r="AK45" s="89" cm="1">
        <f t="array" ref="AK45">SUMPRODUCT(($E$40:$AH$40="N0")*(E45:AH45=""))+SUMPRODUCT((E45:AH45="N")*1)</f>
        <v>18</v>
      </c>
      <c r="AL45" s="88" cm="1">
        <f t="array" ref="AL45">SUMPRODUCT(($E$40:$AH$40="RD")*(E45:AH45=""))+SUMPRODUCT((E45:AH45="RD")*1)</f>
        <v>7</v>
      </c>
      <c r="AM45" s="89" cm="1">
        <f t="array" ref="AM45">SUMPRODUCT((F45:AH45="AL")*1)</f>
        <v>0</v>
      </c>
      <c r="AN45" s="89" cm="1">
        <f t="array" ref="AN45">SUMPRODUCT((F45:AH45="SH")*1)</f>
        <v>2</v>
      </c>
      <c r="AO45" s="89" cm="1">
        <f t="array" ref="AO45">SUMPRODUCT((E45:AH45="SL")*1)</f>
        <v>0</v>
      </c>
      <c r="AP45" s="140" t="e">
        <f>#REF!-AJ45-AK45-AL45-AM45-AN45-AO45</f>
        <v>#REF!</v>
      </c>
    </row>
    <row r="46" spans="1:42" ht="18" customHeight="1">
      <c r="A46" s="1331"/>
      <c r="B46" s="120" t="s">
        <v>49</v>
      </c>
      <c r="C46" s="16" t="s">
        <v>27</v>
      </c>
      <c r="D46" s="22">
        <v>684119</v>
      </c>
      <c r="E46" s="416"/>
      <c r="F46" s="417"/>
      <c r="G46" s="416"/>
      <c r="H46" s="413"/>
      <c r="I46" s="413"/>
      <c r="J46" s="413"/>
      <c r="K46" s="1048" t="s">
        <v>88</v>
      </c>
      <c r="L46" s="413"/>
      <c r="M46" s="417"/>
      <c r="N46" s="421"/>
      <c r="O46" s="413"/>
      <c r="P46" s="413"/>
      <c r="Q46" s="413"/>
      <c r="R46" s="413"/>
      <c r="S46" s="413"/>
      <c r="T46" s="444"/>
      <c r="U46" s="416"/>
      <c r="V46" s="413"/>
      <c r="W46" s="413" t="s">
        <v>103</v>
      </c>
      <c r="X46" s="413"/>
      <c r="Y46" s="1048" t="s">
        <v>88</v>
      </c>
      <c r="Z46" s="413"/>
      <c r="AA46" s="417"/>
      <c r="AB46" s="421"/>
      <c r="AC46" s="413"/>
      <c r="AD46" s="413"/>
      <c r="AE46" s="413"/>
      <c r="AF46" s="413"/>
      <c r="AG46" s="413"/>
      <c r="AH46" s="417"/>
      <c r="AI46" s="1117"/>
      <c r="AJ46" s="89" cm="1">
        <f t="array" ref="AJ46">SUMPRODUCT(($E$40:$AH$40="HR")*(E46:AH46=""))+SUMPRODUCT((E46:AH46="HR")*1)</f>
        <v>3</v>
      </c>
      <c r="AK46" s="89" cm="1">
        <f t="array" ref="AK46">SUMPRODUCT(($E$40:$AH$40="N0")*(E46:AH46=""))+SUMPRODUCT((E46:AH46="N")*1)</f>
        <v>17</v>
      </c>
      <c r="AL46" s="88" cm="1">
        <f t="array" ref="AL46">SUMPRODUCT(($E$40:$AH$40="RD")*(E46:AH46=""))+SUMPRODUCT((E46:AH46="RD")*1)</f>
        <v>7</v>
      </c>
      <c r="AM46" s="89" cm="1">
        <f t="array" ref="AM46">SUMPRODUCT((F46:AH46="AL")*1)</f>
        <v>0</v>
      </c>
      <c r="AN46" s="89" cm="1">
        <f t="array" ref="AN46">SUMPRODUCT((F46:AH46="SH")*1)</f>
        <v>2</v>
      </c>
      <c r="AO46" s="89" cm="1">
        <f t="array" ref="AO46">SUMPRODUCT((E46:AH46="SL")*1)</f>
        <v>0</v>
      </c>
      <c r="AP46" s="140" t="e">
        <f>#REF!-AJ46-AK46-AL46-AM46-AN46-AO46</f>
        <v>#REF!</v>
      </c>
    </row>
    <row r="47" spans="1:42" ht="18" customHeight="1">
      <c r="A47" s="1333"/>
      <c r="B47" s="117" t="s">
        <v>57</v>
      </c>
      <c r="C47" s="104" t="s">
        <v>58</v>
      </c>
      <c r="D47" s="105">
        <v>676140</v>
      </c>
      <c r="E47" s="521"/>
      <c r="F47" s="1267" t="s">
        <v>81</v>
      </c>
      <c r="G47" s="1211" t="s">
        <v>81</v>
      </c>
      <c r="H47" s="518" t="s">
        <v>95</v>
      </c>
      <c r="I47" s="518" t="s">
        <v>95</v>
      </c>
      <c r="J47" s="518" t="s">
        <v>95</v>
      </c>
      <c r="K47" s="518" t="s">
        <v>215</v>
      </c>
      <c r="L47" s="1221" t="s">
        <v>84</v>
      </c>
      <c r="M47" s="1267" t="s">
        <v>162</v>
      </c>
      <c r="N47" s="519" t="s">
        <v>95</v>
      </c>
      <c r="O47" s="518" t="s">
        <v>95</v>
      </c>
      <c r="P47" s="518" t="s">
        <v>95</v>
      </c>
      <c r="Q47" s="518" t="s">
        <v>95</v>
      </c>
      <c r="R47" s="518" t="s">
        <v>95</v>
      </c>
      <c r="S47" s="523"/>
      <c r="T47" s="525"/>
      <c r="U47" s="1211" t="s">
        <v>81</v>
      </c>
      <c r="V47" s="523"/>
      <c r="W47" s="523"/>
      <c r="X47" s="523"/>
      <c r="Y47" s="523"/>
      <c r="Z47" s="523"/>
      <c r="AA47" s="522"/>
      <c r="AB47" s="524"/>
      <c r="AC47" s="523"/>
      <c r="AD47" s="523"/>
      <c r="AE47" s="523"/>
      <c r="AF47" s="523"/>
      <c r="AG47" s="523"/>
      <c r="AH47" s="522"/>
      <c r="AI47" s="1121"/>
      <c r="AJ47" s="89" cm="1">
        <f t="array" ref="AJ47">SUMPRODUCT(($E$40:$AH$40="HR")*(E47:AH47=""))+SUMPRODUCT((E47:AH47="HR")*1)</f>
        <v>12</v>
      </c>
      <c r="AK47" s="89" cm="1">
        <f t="array" ref="AK47">SUMPRODUCT(($E$40:$AH$40="N0")*(E47:AH47=""))+SUMPRODUCT((E47:AH47="N")*1)</f>
        <v>6</v>
      </c>
      <c r="AL47" s="88" cm="1">
        <f t="array" ref="AL47">SUMPRODUCT(($E$40:$AH$40="RD")*(E47:AH47=""))+SUMPRODUCT((E47:AH47="RD")*1)</f>
        <v>7</v>
      </c>
      <c r="AM47" s="89" cm="1">
        <f t="array" ref="AM47">SUMPRODUCT((F47:AH47="AL")*1)</f>
        <v>3</v>
      </c>
      <c r="AN47" s="89" cm="1">
        <f t="array" ref="AN47">SUMPRODUCT((F47:AH47="SH")*1)</f>
        <v>0</v>
      </c>
      <c r="AO47" s="89" cm="1">
        <f t="array" ref="AO47">SUMPRODUCT((E47:AH47="SL")*1)</f>
        <v>0</v>
      </c>
      <c r="AP47" s="140" t="e">
        <f>#REF!-AJ47-AK47-AL47-AM47-AN47-AO47</f>
        <v>#REF!</v>
      </c>
    </row>
    <row r="48" spans="1:42" ht="18" customHeight="1">
      <c r="A48" s="1320" t="s">
        <v>125</v>
      </c>
      <c r="B48" s="1334" t="s">
        <v>93</v>
      </c>
      <c r="C48" s="1332"/>
      <c r="D48" s="1332"/>
      <c r="E48" s="506" t="s">
        <v>84</v>
      </c>
      <c r="F48" s="477" t="s">
        <v>84</v>
      </c>
      <c r="G48" s="515" t="s">
        <v>87</v>
      </c>
      <c r="H48" s="509" t="s">
        <v>87</v>
      </c>
      <c r="I48" s="509" t="s">
        <v>87</v>
      </c>
      <c r="J48" s="509" t="s">
        <v>87</v>
      </c>
      <c r="K48" s="509" t="s">
        <v>87</v>
      </c>
      <c r="L48" s="512" t="s">
        <v>84</v>
      </c>
      <c r="M48" s="477" t="s">
        <v>84</v>
      </c>
      <c r="N48" s="470" t="s">
        <v>87</v>
      </c>
      <c r="O48" s="469" t="s">
        <v>87</v>
      </c>
      <c r="P48" s="469" t="s">
        <v>87</v>
      </c>
      <c r="Q48" s="469" t="s">
        <v>87</v>
      </c>
      <c r="R48" s="469" t="s">
        <v>87</v>
      </c>
      <c r="S48" s="512" t="s">
        <v>84</v>
      </c>
      <c r="T48" s="493" t="s">
        <v>84</v>
      </c>
      <c r="U48" s="515" t="s">
        <v>87</v>
      </c>
      <c r="V48" s="509" t="s">
        <v>87</v>
      </c>
      <c r="W48" s="509" t="s">
        <v>87</v>
      </c>
      <c r="X48" s="509" t="s">
        <v>87</v>
      </c>
      <c r="Y48" s="509" t="s">
        <v>87</v>
      </c>
      <c r="Z48" s="512" t="s">
        <v>84</v>
      </c>
      <c r="AA48" s="477" t="s">
        <v>84</v>
      </c>
      <c r="AB48" s="508" t="s">
        <v>87</v>
      </c>
      <c r="AC48" s="509" t="s">
        <v>87</v>
      </c>
      <c r="AD48" s="509" t="s">
        <v>87</v>
      </c>
      <c r="AE48" s="509" t="s">
        <v>87</v>
      </c>
      <c r="AF48" s="509" t="s">
        <v>87</v>
      </c>
      <c r="AG48" s="512" t="s">
        <v>84</v>
      </c>
      <c r="AH48" s="477" t="s">
        <v>84</v>
      </c>
      <c r="AI48" s="1120" t="s">
        <v>87</v>
      </c>
    </row>
    <row r="49" spans="1:41" ht="18" customHeight="1">
      <c r="A49" s="1366"/>
      <c r="B49" s="126" t="s">
        <v>43</v>
      </c>
      <c r="C49" s="122" t="s">
        <v>45</v>
      </c>
      <c r="D49" s="158">
        <v>555851</v>
      </c>
      <c r="E49" s="466"/>
      <c r="F49" s="467"/>
      <c r="G49" s="468"/>
      <c r="H49" s="469"/>
      <c r="I49" s="469"/>
      <c r="J49" s="469"/>
      <c r="K49" s="469"/>
      <c r="L49" s="469"/>
      <c r="M49" s="467"/>
      <c r="N49" s="470"/>
      <c r="O49" s="469"/>
      <c r="P49" s="469"/>
      <c r="Q49" s="469"/>
      <c r="R49" s="469"/>
      <c r="S49" s="469"/>
      <c r="T49" s="471"/>
      <c r="U49" s="468"/>
      <c r="V49" s="469"/>
      <c r="W49" s="469"/>
      <c r="X49" s="469"/>
      <c r="Y49" s="469"/>
      <c r="Z49" s="469"/>
      <c r="AA49" s="467"/>
      <c r="AB49" s="470"/>
      <c r="AC49" s="469"/>
      <c r="AD49" s="469"/>
      <c r="AE49" s="469"/>
      <c r="AF49" s="469"/>
      <c r="AG49" s="469"/>
      <c r="AH49" s="467"/>
      <c r="AI49" s="1122"/>
    </row>
    <row r="50" spans="1:41" ht="18" customHeight="1">
      <c r="A50" s="1168" t="s">
        <v>276</v>
      </c>
      <c r="B50" s="1169" t="s">
        <v>277</v>
      </c>
      <c r="C50" s="754" t="s">
        <v>27</v>
      </c>
      <c r="D50" s="755">
        <v>673850</v>
      </c>
      <c r="E50" s="1255" t="s">
        <v>95</v>
      </c>
      <c r="F50" s="480" t="s">
        <v>84</v>
      </c>
      <c r="G50" s="1254" t="s">
        <v>95</v>
      </c>
      <c r="H50" s="478" t="s">
        <v>95</v>
      </c>
      <c r="I50" s="478" t="s">
        <v>95</v>
      </c>
      <c r="J50" s="478" t="s">
        <v>351</v>
      </c>
      <c r="K50" s="478" t="s">
        <v>107</v>
      </c>
      <c r="L50" s="479" t="s">
        <v>84</v>
      </c>
      <c r="M50" s="480" t="s">
        <v>84</v>
      </c>
      <c r="N50" s="481" t="s">
        <v>94</v>
      </c>
      <c r="O50" s="478" t="s">
        <v>94</v>
      </c>
      <c r="P50" s="478" t="s">
        <v>94</v>
      </c>
      <c r="Q50" s="478" t="s">
        <v>94</v>
      </c>
      <c r="R50" s="478" t="s">
        <v>94</v>
      </c>
      <c r="S50" s="512" t="s">
        <v>84</v>
      </c>
      <c r="T50" s="1256" t="s">
        <v>94</v>
      </c>
      <c r="U50" s="476" t="s">
        <v>94</v>
      </c>
      <c r="V50" s="478" t="s">
        <v>94</v>
      </c>
      <c r="W50" s="478" t="s">
        <v>94</v>
      </c>
      <c r="X50" s="478" t="s">
        <v>94</v>
      </c>
      <c r="Y50" s="478" t="s">
        <v>94</v>
      </c>
      <c r="Z50" s="479" t="s">
        <v>84</v>
      </c>
      <c r="AA50" s="480" t="s">
        <v>84</v>
      </c>
      <c r="AB50" s="481" t="s">
        <v>95</v>
      </c>
      <c r="AC50" s="478" t="s">
        <v>95</v>
      </c>
      <c r="AD50" s="478" t="s">
        <v>95</v>
      </c>
      <c r="AE50" s="478" t="s">
        <v>332</v>
      </c>
      <c r="AF50" s="478" t="s">
        <v>332</v>
      </c>
      <c r="AG50" s="1257" t="s">
        <v>95</v>
      </c>
      <c r="AH50" s="480" t="s">
        <v>84</v>
      </c>
      <c r="AI50" s="1114" t="s">
        <v>95</v>
      </c>
    </row>
    <row r="51" spans="1:41" ht="18" customHeight="1">
      <c r="A51" s="1168" t="s">
        <v>165</v>
      </c>
      <c r="B51" s="1169" t="s">
        <v>352</v>
      </c>
      <c r="C51" s="754" t="s">
        <v>283</v>
      </c>
      <c r="D51" s="755">
        <v>685567</v>
      </c>
      <c r="E51" s="1273"/>
      <c r="F51" s="1271"/>
      <c r="G51" s="1254" t="s">
        <v>95</v>
      </c>
      <c r="H51" s="1274" t="s">
        <v>353</v>
      </c>
      <c r="I51" s="478" t="s">
        <v>215</v>
      </c>
      <c r="J51" s="478" t="s">
        <v>95</v>
      </c>
      <c r="K51" s="478" t="s">
        <v>354</v>
      </c>
      <c r="L51" s="479" t="s">
        <v>84</v>
      </c>
      <c r="M51" s="1275" t="s">
        <v>94</v>
      </c>
      <c r="N51" s="481" t="s">
        <v>94</v>
      </c>
      <c r="O51" s="478" t="s">
        <v>94</v>
      </c>
      <c r="P51" s="478" t="s">
        <v>94</v>
      </c>
      <c r="Q51" s="478" t="s">
        <v>94</v>
      </c>
      <c r="R51" s="478" t="s">
        <v>94</v>
      </c>
      <c r="S51" s="512" t="s">
        <v>84</v>
      </c>
      <c r="T51" s="493" t="s">
        <v>84</v>
      </c>
      <c r="U51" s="1290" t="s">
        <v>96</v>
      </c>
      <c r="V51" s="478" t="s">
        <v>354</v>
      </c>
      <c r="W51" s="478" t="s">
        <v>215</v>
      </c>
      <c r="X51" s="478" t="s">
        <v>95</v>
      </c>
      <c r="Y51" s="478" t="s">
        <v>95</v>
      </c>
      <c r="Z51" s="1257" t="s">
        <v>95</v>
      </c>
      <c r="AA51" s="480" t="s">
        <v>84</v>
      </c>
      <c r="AB51" s="1268"/>
      <c r="AC51" s="1269"/>
      <c r="AD51" s="1269"/>
      <c r="AE51" s="1269"/>
      <c r="AF51" s="1269"/>
      <c r="AG51" s="1270"/>
      <c r="AH51" s="1271"/>
      <c r="AI51" s="1272"/>
    </row>
    <row r="52" spans="1:41" ht="17"/>
    <row r="53" spans="1:41" ht="18" customHeight="1">
      <c r="D53" s="124" t="s">
        <v>123</v>
      </c>
      <c r="E53" s="123"/>
      <c r="F53" s="123" t="s">
        <v>355</v>
      </c>
      <c r="G53" s="123"/>
      <c r="H53" s="123"/>
      <c r="I53" s="123"/>
      <c r="J53" s="123"/>
      <c r="K53" s="123"/>
      <c r="L53" s="123"/>
      <c r="M53" s="123"/>
      <c r="N53" s="145"/>
      <c r="O53" s="145"/>
      <c r="U53" s="124" t="s">
        <v>135</v>
      </c>
      <c r="V53" s="123"/>
      <c r="W53" s="123" t="s">
        <v>326</v>
      </c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</row>
    <row r="54" spans="1:41" ht="18" customHeight="1"/>
    <row r="55" spans="1:41" ht="18" customHeight="1">
      <c r="D55" s="124" t="s">
        <v>137</v>
      </c>
      <c r="E55" s="123"/>
      <c r="F55" s="1081" t="s">
        <v>254</v>
      </c>
      <c r="G55" s="123"/>
      <c r="H55" s="123"/>
      <c r="I55" s="123"/>
      <c r="J55" s="123"/>
      <c r="K55" s="123"/>
      <c r="L55" s="123"/>
      <c r="M55" s="123"/>
      <c r="U55" s="124" t="s">
        <v>124</v>
      </c>
      <c r="V55" s="123"/>
      <c r="W55" s="1106" t="s">
        <v>356</v>
      </c>
      <c r="X55" s="123"/>
      <c r="Y55" s="123"/>
      <c r="Z55" s="123"/>
      <c r="AA55" s="123"/>
      <c r="AB55" s="123"/>
      <c r="AC55" s="123"/>
      <c r="AD55" s="123"/>
    </row>
    <row r="56" spans="1:41" ht="18" customHeight="1"/>
    <row r="57" spans="1:41" ht="18" customHeight="1">
      <c r="D57" s="124" t="s">
        <v>107</v>
      </c>
      <c r="F57" s="123" t="s">
        <v>327</v>
      </c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U57" s="124" t="s">
        <v>140</v>
      </c>
      <c r="W57" s="123" t="s">
        <v>328</v>
      </c>
      <c r="X57" s="123"/>
      <c r="Y57" s="123"/>
      <c r="Z57" s="123"/>
      <c r="AA57" s="123"/>
      <c r="AB57" s="123"/>
      <c r="AC57" s="123"/>
    </row>
    <row r="58" spans="1:41" ht="18" customHeight="1"/>
    <row r="59" spans="1:41" ht="18" customHeight="1">
      <c r="D59" s="124" t="s">
        <v>108</v>
      </c>
      <c r="F59" s="1081" t="s">
        <v>229</v>
      </c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U59" s="124" t="s">
        <v>103</v>
      </c>
      <c r="W59" s="123" t="s">
        <v>357</v>
      </c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</row>
    <row r="60" spans="1:41" ht="18" customHeight="1"/>
    <row r="61" spans="1:41" ht="18" customHeight="1">
      <c r="D61" s="124" t="s">
        <v>105</v>
      </c>
      <c r="F61" s="1081" t="s">
        <v>330</v>
      </c>
      <c r="U61" s="124" t="s">
        <v>145</v>
      </c>
      <c r="W61" s="123" t="s">
        <v>358</v>
      </c>
    </row>
    <row r="62" spans="1:41" ht="18" customHeight="1"/>
    <row r="63" spans="1:41" ht="18" customHeight="1">
      <c r="A63" s="123"/>
      <c r="B63" s="123"/>
      <c r="C63" s="123"/>
      <c r="D63" s="124" t="s">
        <v>122</v>
      </c>
      <c r="E63" s="123"/>
      <c r="F63" s="123" t="s">
        <v>359</v>
      </c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4" t="s">
        <v>115</v>
      </c>
      <c r="W63" s="1081" t="s">
        <v>331</v>
      </c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</row>
    <row r="64" spans="1:41" ht="18" customHeight="1"/>
    <row r="65" spans="4:35" ht="18" customHeight="1">
      <c r="D65" s="124" t="s">
        <v>149</v>
      </c>
      <c r="F65" s="123" t="s">
        <v>331</v>
      </c>
      <c r="U65" s="124" t="s">
        <v>208</v>
      </c>
      <c r="W65" s="1081" t="s">
        <v>360</v>
      </c>
    </row>
    <row r="66" spans="4:35" ht="18" customHeight="1">
      <c r="D66" s="750"/>
      <c r="F66" s="123"/>
      <c r="U66" s="750"/>
      <c r="W66" s="1081"/>
    </row>
    <row r="67" spans="4:35" ht="18" customHeight="1">
      <c r="D67" s="124" t="s">
        <v>230</v>
      </c>
      <c r="F67" s="123" t="s">
        <v>361</v>
      </c>
      <c r="U67" s="124" t="s">
        <v>210</v>
      </c>
      <c r="W67" s="1081" t="s">
        <v>362</v>
      </c>
    </row>
    <row r="68" spans="4:35" ht="18" customHeight="1">
      <c r="D68" s="750"/>
      <c r="F68" s="123"/>
      <c r="U68" s="750"/>
      <c r="W68" s="1081"/>
    </row>
    <row r="69" spans="4:35" ht="18" customHeight="1">
      <c r="D69" s="124" t="s">
        <v>214</v>
      </c>
      <c r="F69" s="123" t="s">
        <v>363</v>
      </c>
      <c r="U69" s="124" t="s">
        <v>212</v>
      </c>
      <c r="W69" s="1081" t="s">
        <v>289</v>
      </c>
    </row>
    <row r="70" spans="4:35" ht="18" customHeight="1">
      <c r="D70" s="750"/>
      <c r="F70" s="123"/>
      <c r="U70" s="750"/>
      <c r="W70" s="1081"/>
    </row>
    <row r="71" spans="4:35" ht="18" customHeight="1">
      <c r="D71" s="124" t="s">
        <v>235</v>
      </c>
      <c r="F71" s="123" t="s">
        <v>364</v>
      </c>
      <c r="U71" s="124" t="s">
        <v>209</v>
      </c>
      <c r="W71" s="123" t="s">
        <v>292</v>
      </c>
    </row>
    <row r="72" spans="4:35" ht="18" customHeight="1">
      <c r="D72" s="750"/>
      <c r="F72" s="123"/>
      <c r="U72" s="750"/>
      <c r="W72" s="123"/>
    </row>
    <row r="73" spans="4:35" ht="18" customHeight="1">
      <c r="D73" s="124" t="s">
        <v>211</v>
      </c>
      <c r="F73" s="1081" t="s">
        <v>340</v>
      </c>
      <c r="U73" s="124" t="s">
        <v>245</v>
      </c>
      <c r="W73" s="123" t="s">
        <v>365</v>
      </c>
    </row>
    <row r="74" spans="4:35" ht="18" customHeight="1"/>
    <row r="75" spans="4:35" ht="18" customHeight="1">
      <c r="D75" s="124" t="s">
        <v>261</v>
      </c>
      <c r="F75" s="1081" t="s">
        <v>366</v>
      </c>
      <c r="U75" s="124" t="s">
        <v>309</v>
      </c>
      <c r="W75" s="123" t="s">
        <v>367</v>
      </c>
    </row>
    <row r="76" spans="4:35" ht="18" customHeight="1"/>
    <row r="77" spans="4:35" ht="18" customHeight="1">
      <c r="D77" s="124" t="s">
        <v>332</v>
      </c>
      <c r="F77" s="1081" t="s">
        <v>368</v>
      </c>
      <c r="U77" s="124" t="s">
        <v>334</v>
      </c>
      <c r="W77" s="123"/>
    </row>
    <row r="78" spans="4:35" ht="17"/>
    <row r="79" spans="4:35" ht="17">
      <c r="D79" s="141" t="s">
        <v>150</v>
      </c>
      <c r="E79" s="62" t="s">
        <v>94</v>
      </c>
      <c r="F79" s="60" t="s">
        <v>94</v>
      </c>
      <c r="G79" s="60" t="s">
        <v>94</v>
      </c>
      <c r="H79" s="60" t="s">
        <v>94</v>
      </c>
      <c r="I79" s="60" t="s">
        <v>94</v>
      </c>
      <c r="J79" s="73" t="s">
        <v>84</v>
      </c>
      <c r="K79" s="61" t="s">
        <v>94</v>
      </c>
      <c r="L79" s="62" t="s">
        <v>94</v>
      </c>
      <c r="M79" s="60" t="s">
        <v>94</v>
      </c>
      <c r="N79" s="60" t="s">
        <v>94</v>
      </c>
      <c r="O79" s="60" t="s">
        <v>94</v>
      </c>
      <c r="P79" s="60" t="s">
        <v>94</v>
      </c>
      <c r="Q79" s="63" t="s">
        <v>84</v>
      </c>
      <c r="R79" s="64" t="s">
        <v>84</v>
      </c>
      <c r="S79" s="129" t="s">
        <v>95</v>
      </c>
      <c r="T79" s="129" t="s">
        <v>95</v>
      </c>
      <c r="U79" s="129" t="s">
        <v>95</v>
      </c>
      <c r="V79" s="129" t="s">
        <v>95</v>
      </c>
      <c r="W79" s="129" t="s">
        <v>95</v>
      </c>
      <c r="X79" s="68" t="s">
        <v>84</v>
      </c>
      <c r="Y79" s="59" t="s">
        <v>84</v>
      </c>
      <c r="Z79" s="62" t="s">
        <v>94</v>
      </c>
      <c r="AA79" s="60" t="s">
        <v>94</v>
      </c>
      <c r="AB79" s="60" t="s">
        <v>94</v>
      </c>
      <c r="AC79" s="60" t="s">
        <v>94</v>
      </c>
      <c r="AD79" s="60" t="s">
        <v>94</v>
      </c>
      <c r="AE79" s="63" t="s">
        <v>84</v>
      </c>
      <c r="AF79" s="60" t="s">
        <v>94</v>
      </c>
      <c r="AG79" s="60" t="s">
        <v>94</v>
      </c>
      <c r="AH79" s="74"/>
      <c r="AI79" s="456"/>
    </row>
    <row r="80" spans="4:35" ht="17">
      <c r="D80" s="142" t="s">
        <v>151</v>
      </c>
      <c r="E80" s="311">
        <f>COUNTBLANK(E19:E24)</f>
        <v>6</v>
      </c>
      <c r="F80" s="311">
        <f t="shared" ref="F80:AG80" si="0">COUNTBLANK(F19:F24)</f>
        <v>6</v>
      </c>
      <c r="G80" s="311">
        <f t="shared" si="0"/>
        <v>5</v>
      </c>
      <c r="H80" s="311">
        <f t="shared" si="0"/>
        <v>5</v>
      </c>
      <c r="I80" s="311">
        <f t="shared" si="0"/>
        <v>5</v>
      </c>
      <c r="J80" s="311">
        <f t="shared" si="0"/>
        <v>5</v>
      </c>
      <c r="K80" s="311">
        <f t="shared" si="0"/>
        <v>5</v>
      </c>
      <c r="L80" s="311">
        <f t="shared" si="0"/>
        <v>6</v>
      </c>
      <c r="M80" s="311">
        <f t="shared" si="0"/>
        <v>3</v>
      </c>
      <c r="N80" s="311">
        <f t="shared" si="0"/>
        <v>4</v>
      </c>
      <c r="O80" s="311">
        <f t="shared" si="0"/>
        <v>5</v>
      </c>
      <c r="P80" s="311">
        <f t="shared" si="0"/>
        <v>5</v>
      </c>
      <c r="Q80" s="311">
        <f t="shared" si="0"/>
        <v>4</v>
      </c>
      <c r="R80" s="311">
        <f t="shared" si="0"/>
        <v>5</v>
      </c>
      <c r="S80" s="311">
        <f t="shared" si="0"/>
        <v>6</v>
      </c>
      <c r="T80" s="311">
        <f t="shared" si="0"/>
        <v>5</v>
      </c>
      <c r="U80" s="311">
        <f t="shared" si="0"/>
        <v>5</v>
      </c>
      <c r="V80" s="311">
        <f t="shared" si="0"/>
        <v>5</v>
      </c>
      <c r="W80" s="311">
        <f t="shared" si="0"/>
        <v>5</v>
      </c>
      <c r="X80" s="311">
        <f t="shared" si="0"/>
        <v>5</v>
      </c>
      <c r="Y80" s="311">
        <f t="shared" si="0"/>
        <v>5</v>
      </c>
      <c r="Z80" s="311">
        <f t="shared" si="0"/>
        <v>6</v>
      </c>
      <c r="AA80" s="311">
        <f t="shared" si="0"/>
        <v>6</v>
      </c>
      <c r="AB80" s="311">
        <f t="shared" si="0"/>
        <v>6</v>
      </c>
      <c r="AC80" s="311">
        <f t="shared" si="0"/>
        <v>5</v>
      </c>
      <c r="AD80" s="311">
        <f t="shared" si="0"/>
        <v>4</v>
      </c>
      <c r="AE80" s="311">
        <f t="shared" si="0"/>
        <v>4</v>
      </c>
      <c r="AF80" s="311">
        <f t="shared" si="0"/>
        <v>5</v>
      </c>
      <c r="AG80" s="311">
        <f t="shared" si="0"/>
        <v>6</v>
      </c>
      <c r="AH80" s="311"/>
      <c r="AI80" s="31"/>
    </row>
    <row r="81" spans="4:35" ht="17">
      <c r="D81" s="143" t="s">
        <v>150</v>
      </c>
      <c r="E81" s="128" t="s">
        <v>94</v>
      </c>
      <c r="F81" s="70" t="s">
        <v>94</v>
      </c>
      <c r="G81" s="70" t="s">
        <v>94</v>
      </c>
      <c r="H81" s="70" t="s">
        <v>94</v>
      </c>
      <c r="I81" s="70" t="s">
        <v>94</v>
      </c>
      <c r="J81" s="71" t="s">
        <v>84</v>
      </c>
      <c r="K81" s="69" t="s">
        <v>94</v>
      </c>
      <c r="L81" s="77" t="s">
        <v>94</v>
      </c>
      <c r="M81" s="70" t="s">
        <v>94</v>
      </c>
      <c r="N81" s="70" t="s">
        <v>94</v>
      </c>
      <c r="O81" s="70" t="s">
        <v>94</v>
      </c>
      <c r="P81" s="70" t="s">
        <v>94</v>
      </c>
      <c r="Q81" s="68" t="s">
        <v>84</v>
      </c>
      <c r="R81" s="69" t="s">
        <v>94</v>
      </c>
      <c r="S81" s="77" t="s">
        <v>94</v>
      </c>
      <c r="T81" s="70" t="s">
        <v>94</v>
      </c>
      <c r="U81" s="70" t="s">
        <v>94</v>
      </c>
      <c r="V81" s="70" t="s">
        <v>94</v>
      </c>
      <c r="W81" s="70" t="s">
        <v>94</v>
      </c>
      <c r="X81" s="76" t="s">
        <v>84</v>
      </c>
      <c r="Y81" s="59" t="s">
        <v>84</v>
      </c>
      <c r="Z81" s="129" t="s">
        <v>95</v>
      </c>
      <c r="AA81" s="129" t="s">
        <v>95</v>
      </c>
      <c r="AB81" s="129" t="s">
        <v>95</v>
      </c>
      <c r="AC81" s="129" t="s">
        <v>95</v>
      </c>
      <c r="AD81" s="129" t="s">
        <v>95</v>
      </c>
      <c r="AE81" s="68" t="s">
        <v>84</v>
      </c>
      <c r="AF81" s="129" t="s">
        <v>95</v>
      </c>
      <c r="AG81" s="129" t="s">
        <v>95</v>
      </c>
      <c r="AH81" s="129"/>
      <c r="AI81" s="457"/>
    </row>
    <row r="82" spans="4:35" ht="17">
      <c r="D82" s="142" t="s">
        <v>152</v>
      </c>
      <c r="E82" s="311">
        <f>COUNTBLANK(E26:E32)</f>
        <v>7</v>
      </c>
      <c r="F82" s="311">
        <f t="shared" ref="F82:AG82" si="1">COUNTBLANK(F26:F32)</f>
        <v>7</v>
      </c>
      <c r="G82" s="311">
        <f t="shared" si="1"/>
        <v>5</v>
      </c>
      <c r="H82" s="311">
        <f t="shared" si="1"/>
        <v>5</v>
      </c>
      <c r="I82" s="311">
        <f t="shared" si="1"/>
        <v>4</v>
      </c>
      <c r="J82" s="311">
        <f t="shared" si="1"/>
        <v>5</v>
      </c>
      <c r="K82" s="311">
        <f t="shared" si="1"/>
        <v>1</v>
      </c>
      <c r="L82" s="311">
        <f t="shared" si="1"/>
        <v>7</v>
      </c>
      <c r="M82" s="311">
        <f t="shared" si="1"/>
        <v>7</v>
      </c>
      <c r="N82" s="311">
        <f t="shared" si="1"/>
        <v>4</v>
      </c>
      <c r="O82" s="311">
        <f t="shared" si="1"/>
        <v>5</v>
      </c>
      <c r="P82" s="311">
        <f t="shared" si="1"/>
        <v>6</v>
      </c>
      <c r="Q82" s="311">
        <f t="shared" si="1"/>
        <v>6</v>
      </c>
      <c r="R82" s="311">
        <f t="shared" si="1"/>
        <v>4</v>
      </c>
      <c r="S82" s="311">
        <f t="shared" si="1"/>
        <v>7</v>
      </c>
      <c r="T82" s="311">
        <f t="shared" si="1"/>
        <v>5</v>
      </c>
      <c r="U82" s="311">
        <f t="shared" si="1"/>
        <v>5</v>
      </c>
      <c r="V82" s="311">
        <f t="shared" si="1"/>
        <v>7</v>
      </c>
      <c r="W82" s="311">
        <f t="shared" si="1"/>
        <v>7</v>
      </c>
      <c r="X82" s="311">
        <f t="shared" si="1"/>
        <v>6</v>
      </c>
      <c r="Y82" s="311">
        <f t="shared" si="1"/>
        <v>7</v>
      </c>
      <c r="Z82" s="311">
        <f t="shared" si="1"/>
        <v>7</v>
      </c>
      <c r="AA82" s="311">
        <f t="shared" si="1"/>
        <v>7</v>
      </c>
      <c r="AB82" s="311">
        <f t="shared" si="1"/>
        <v>7</v>
      </c>
      <c r="AC82" s="311">
        <f t="shared" si="1"/>
        <v>7</v>
      </c>
      <c r="AD82" s="311">
        <f t="shared" si="1"/>
        <v>7</v>
      </c>
      <c r="AE82" s="311">
        <f t="shared" si="1"/>
        <v>7</v>
      </c>
      <c r="AF82" s="311">
        <f t="shared" si="1"/>
        <v>6</v>
      </c>
      <c r="AG82" s="311">
        <f t="shared" si="1"/>
        <v>7</v>
      </c>
      <c r="AH82" s="311"/>
      <c r="AI82" s="31"/>
    </row>
    <row r="83" spans="4:35" ht="17">
      <c r="D83" s="143" t="s">
        <v>150</v>
      </c>
      <c r="E83" s="129" t="s">
        <v>95</v>
      </c>
      <c r="F83" s="129" t="s">
        <v>95</v>
      </c>
      <c r="G83" s="129" t="s">
        <v>95</v>
      </c>
      <c r="H83" s="129" t="s">
        <v>95</v>
      </c>
      <c r="I83" s="129" t="s">
        <v>95</v>
      </c>
      <c r="J83" s="76" t="s">
        <v>84</v>
      </c>
      <c r="K83" s="59" t="s">
        <v>84</v>
      </c>
      <c r="L83" s="128" t="s">
        <v>94</v>
      </c>
      <c r="M83" s="70" t="s">
        <v>94</v>
      </c>
      <c r="N83" s="70" t="s">
        <v>94</v>
      </c>
      <c r="O83" s="70" t="s">
        <v>94</v>
      </c>
      <c r="P83" s="70" t="s">
        <v>94</v>
      </c>
      <c r="Q83" s="71" t="s">
        <v>84</v>
      </c>
      <c r="R83" s="69" t="s">
        <v>94</v>
      </c>
      <c r="S83" s="77" t="s">
        <v>94</v>
      </c>
      <c r="T83" s="70" t="s">
        <v>94</v>
      </c>
      <c r="U83" s="70" t="s">
        <v>94</v>
      </c>
      <c r="V83" s="70" t="s">
        <v>94</v>
      </c>
      <c r="W83" s="70" t="s">
        <v>94</v>
      </c>
      <c r="X83" s="76" t="s">
        <v>84</v>
      </c>
      <c r="Y83" s="69" t="s">
        <v>94</v>
      </c>
      <c r="Z83" s="77" t="s">
        <v>94</v>
      </c>
      <c r="AA83" s="70" t="s">
        <v>94</v>
      </c>
      <c r="AB83" s="70" t="s">
        <v>94</v>
      </c>
      <c r="AC83" s="70" t="s">
        <v>94</v>
      </c>
      <c r="AD83" s="70" t="s">
        <v>94</v>
      </c>
      <c r="AE83" s="76" t="s">
        <v>84</v>
      </c>
      <c r="AF83" s="70" t="s">
        <v>94</v>
      </c>
      <c r="AG83" s="70" t="s">
        <v>94</v>
      </c>
      <c r="AH83" s="77"/>
      <c r="AI83" s="455"/>
    </row>
    <row r="84" spans="4:35" ht="17">
      <c r="D84" s="142" t="s">
        <v>117</v>
      </c>
      <c r="E84" s="311">
        <f t="shared" ref="E84:AG84" si="2">COUNTBLANK(E34:E39)</f>
        <v>6</v>
      </c>
      <c r="F84" s="311">
        <f t="shared" si="2"/>
        <v>6</v>
      </c>
      <c r="G84" s="311">
        <f t="shared" si="2"/>
        <v>6</v>
      </c>
      <c r="H84" s="311">
        <f t="shared" si="2"/>
        <v>6</v>
      </c>
      <c r="I84" s="311">
        <f t="shared" si="2"/>
        <v>6</v>
      </c>
      <c r="J84" s="311">
        <f t="shared" si="2"/>
        <v>5</v>
      </c>
      <c r="K84" s="311">
        <f t="shared" si="2"/>
        <v>5</v>
      </c>
      <c r="L84" s="311">
        <f t="shared" si="2"/>
        <v>6</v>
      </c>
      <c r="M84" s="311">
        <f t="shared" si="2"/>
        <v>6</v>
      </c>
      <c r="N84" s="311">
        <f t="shared" si="2"/>
        <v>3</v>
      </c>
      <c r="O84" s="311">
        <f t="shared" si="2"/>
        <v>4</v>
      </c>
      <c r="P84" s="311">
        <f t="shared" si="2"/>
        <v>4</v>
      </c>
      <c r="Q84" s="311">
        <f t="shared" si="2"/>
        <v>2</v>
      </c>
      <c r="R84" s="311">
        <f t="shared" si="2"/>
        <v>3</v>
      </c>
      <c r="S84" s="311">
        <f t="shared" si="2"/>
        <v>6</v>
      </c>
      <c r="T84" s="311">
        <f t="shared" si="2"/>
        <v>6</v>
      </c>
      <c r="U84" s="311">
        <f t="shared" si="2"/>
        <v>6</v>
      </c>
      <c r="V84" s="311">
        <f t="shared" si="2"/>
        <v>6</v>
      </c>
      <c r="W84" s="311">
        <f t="shared" si="2"/>
        <v>6</v>
      </c>
      <c r="X84" s="311">
        <f t="shared" si="2"/>
        <v>5</v>
      </c>
      <c r="Y84" s="311">
        <f t="shared" si="2"/>
        <v>5</v>
      </c>
      <c r="Z84" s="311">
        <f t="shared" si="2"/>
        <v>6</v>
      </c>
      <c r="AA84" s="311">
        <f t="shared" si="2"/>
        <v>5</v>
      </c>
      <c r="AB84" s="311">
        <f t="shared" si="2"/>
        <v>6</v>
      </c>
      <c r="AC84" s="311">
        <f t="shared" si="2"/>
        <v>6</v>
      </c>
      <c r="AD84" s="311">
        <f t="shared" si="2"/>
        <v>6</v>
      </c>
      <c r="AE84" s="311">
        <f t="shared" si="2"/>
        <v>6</v>
      </c>
      <c r="AF84" s="311">
        <f t="shared" si="2"/>
        <v>6</v>
      </c>
      <c r="AG84" s="311">
        <f t="shared" si="2"/>
        <v>6</v>
      </c>
      <c r="AH84" s="311"/>
      <c r="AI84" s="31"/>
    </row>
    <row r="85" spans="4:35" ht="17">
      <c r="D85" s="144" t="s">
        <v>150</v>
      </c>
      <c r="E85" s="109" t="s">
        <v>94</v>
      </c>
      <c r="F85" s="110" t="s">
        <v>84</v>
      </c>
      <c r="G85" s="59" t="s">
        <v>84</v>
      </c>
      <c r="H85" s="129" t="s">
        <v>95</v>
      </c>
      <c r="I85" s="129" t="s">
        <v>95</v>
      </c>
      <c r="J85" s="129" t="s">
        <v>95</v>
      </c>
      <c r="K85" s="129" t="s">
        <v>95</v>
      </c>
      <c r="L85" s="129" t="s">
        <v>95</v>
      </c>
      <c r="M85" s="76" t="s">
        <v>84</v>
      </c>
      <c r="N85" s="59" t="s">
        <v>84</v>
      </c>
      <c r="O85" s="128" t="s">
        <v>94</v>
      </c>
      <c r="P85" s="70" t="s">
        <v>94</v>
      </c>
      <c r="Q85" s="70" t="s">
        <v>94</v>
      </c>
      <c r="R85" s="70" t="s">
        <v>94</v>
      </c>
      <c r="S85" s="70" t="s">
        <v>94</v>
      </c>
      <c r="T85" s="71" t="s">
        <v>84</v>
      </c>
      <c r="U85" s="69" t="s">
        <v>94</v>
      </c>
      <c r="V85" s="77" t="s">
        <v>94</v>
      </c>
      <c r="W85" s="70" t="s">
        <v>94</v>
      </c>
      <c r="X85" s="70" t="s">
        <v>94</v>
      </c>
      <c r="Y85" s="70" t="s">
        <v>94</v>
      </c>
      <c r="Z85" s="70" t="s">
        <v>94</v>
      </c>
      <c r="AA85" s="76" t="s">
        <v>84</v>
      </c>
      <c r="AB85" s="69" t="s">
        <v>94</v>
      </c>
      <c r="AC85" s="77" t="s">
        <v>94</v>
      </c>
      <c r="AD85" s="70" t="s">
        <v>94</v>
      </c>
      <c r="AE85" s="69" t="s">
        <v>94</v>
      </c>
      <c r="AF85" s="77" t="s">
        <v>94</v>
      </c>
      <c r="AG85" s="70" t="s">
        <v>94</v>
      </c>
      <c r="AH85" s="66"/>
      <c r="AI85" s="455"/>
    </row>
    <row r="86" spans="4:35" ht="17">
      <c r="D86" s="142" t="s">
        <v>119</v>
      </c>
      <c r="E86" s="311">
        <f>COUNTBLANK(E41:E47)</f>
        <v>7</v>
      </c>
      <c r="F86" s="311">
        <f t="shared" ref="F86:AG86" si="3">COUNTBLANK(F41:F47)</f>
        <v>6</v>
      </c>
      <c r="G86" s="311">
        <f t="shared" si="3"/>
        <v>6</v>
      </c>
      <c r="H86" s="311">
        <f t="shared" si="3"/>
        <v>6</v>
      </c>
      <c r="I86" s="311">
        <f t="shared" si="3"/>
        <v>6</v>
      </c>
      <c r="J86" s="311">
        <f t="shared" si="3"/>
        <v>6</v>
      </c>
      <c r="K86" s="311">
        <f t="shared" si="3"/>
        <v>5</v>
      </c>
      <c r="L86" s="311">
        <f t="shared" si="3"/>
        <v>6</v>
      </c>
      <c r="M86" s="311">
        <f t="shared" si="3"/>
        <v>6</v>
      </c>
      <c r="N86" s="311">
        <f t="shared" si="3"/>
        <v>6</v>
      </c>
      <c r="O86" s="311">
        <f t="shared" si="3"/>
        <v>6</v>
      </c>
      <c r="P86" s="311">
        <f t="shared" si="3"/>
        <v>6</v>
      </c>
      <c r="Q86" s="311">
        <f t="shared" si="3"/>
        <v>5</v>
      </c>
      <c r="R86" s="311">
        <f t="shared" si="3"/>
        <v>5</v>
      </c>
      <c r="S86" s="311">
        <f t="shared" si="3"/>
        <v>7</v>
      </c>
      <c r="T86" s="311">
        <f t="shared" si="3"/>
        <v>7</v>
      </c>
      <c r="U86" s="311">
        <f t="shared" si="3"/>
        <v>3</v>
      </c>
      <c r="V86" s="311">
        <f t="shared" si="3"/>
        <v>5</v>
      </c>
      <c r="W86" s="311">
        <f t="shared" si="3"/>
        <v>2</v>
      </c>
      <c r="X86" s="311">
        <f t="shared" si="3"/>
        <v>4</v>
      </c>
      <c r="Y86" s="311">
        <f t="shared" si="3"/>
        <v>2</v>
      </c>
      <c r="Z86" s="311">
        <f t="shared" si="3"/>
        <v>7</v>
      </c>
      <c r="AA86" s="311">
        <f t="shared" si="3"/>
        <v>7</v>
      </c>
      <c r="AB86" s="311">
        <f t="shared" si="3"/>
        <v>6</v>
      </c>
      <c r="AC86" s="311">
        <f t="shared" si="3"/>
        <v>6</v>
      </c>
      <c r="AD86" s="311">
        <f t="shared" si="3"/>
        <v>7</v>
      </c>
      <c r="AE86" s="311">
        <f t="shared" si="3"/>
        <v>7</v>
      </c>
      <c r="AF86" s="311">
        <f t="shared" si="3"/>
        <v>7</v>
      </c>
      <c r="AG86" s="311">
        <f t="shared" si="3"/>
        <v>7</v>
      </c>
      <c r="AH86" s="311"/>
      <c r="AI86" s="31"/>
    </row>
  </sheetData>
  <mergeCells count="25">
    <mergeCell ref="A33:A39"/>
    <mergeCell ref="B33:D33"/>
    <mergeCell ref="A40:A47"/>
    <mergeCell ref="B40:D40"/>
    <mergeCell ref="B48:D48"/>
    <mergeCell ref="A48:A49"/>
    <mergeCell ref="A16:A17"/>
    <mergeCell ref="B16:D16"/>
    <mergeCell ref="A18:A24"/>
    <mergeCell ref="B18:D18"/>
    <mergeCell ref="A25:A32"/>
    <mergeCell ref="B25:D25"/>
    <mergeCell ref="A8:A9"/>
    <mergeCell ref="A10:A11"/>
    <mergeCell ref="A12:A13"/>
    <mergeCell ref="B12:D12"/>
    <mergeCell ref="A14:A15"/>
    <mergeCell ref="B14:D14"/>
    <mergeCell ref="E2:AH2"/>
    <mergeCell ref="G4:M4"/>
    <mergeCell ref="N4:T4"/>
    <mergeCell ref="U4:AA4"/>
    <mergeCell ref="AB4:AH4"/>
    <mergeCell ref="E4:F4"/>
    <mergeCell ref="E3:AI3"/>
  </mergeCells>
  <conditionalFormatting sqref="B8">
    <cfRule type="colorScale" priority="77">
      <colorScale>
        <cfvo type="min"/>
        <cfvo type="max"/>
        <color rgb="FFFF7128"/>
        <color rgb="FFFFEF9C"/>
      </colorScale>
    </cfRule>
  </conditionalFormatting>
  <conditionalFormatting sqref="B9">
    <cfRule type="colorScale" priority="15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3" stopIfTrue="1" id="{1C039BBD-D59A-48FE-B211-ADF3715D2595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4" stopIfTrue="1" id="{154266C4-548C-4720-AA9E-C07210E213A0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5" stopIfTrue="1" id="{09D9FC40-7822-4FF5-8A26-F4B6B9534408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3" stopIfTrue="1" id="{BB25AF31-D6BE-4B0F-ADA6-284CB8B379A1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4" stopIfTrue="1" id="{3FD3CB8C-ED33-49B3-A1F1-3557366AA2C3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5" stopIfTrue="1" id="{43E59852-A008-4851-B18C-DE173201F277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2" stopIfTrue="1" id="{9E1CAC57-83B1-4078-B434-4C85D459D108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3" stopIfTrue="1" id="{E134C39C-AC42-4FF9-BB83-649FBC8E3A15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4" stopIfTrue="1" id="{E691F300-8936-4A6D-920D-E2F81FE473B0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9" stopIfTrue="1" id="{8D9133EC-B7C8-4BF7-8BAD-E8842C85E6AD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10" stopIfTrue="1" id="{48889F6E-D3AB-4FF3-98BC-BB5FCAE3DEFB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1" stopIfTrue="1" id="{4914AB97-A99E-4559-A67E-9A2E6320FB17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51" stopIfTrue="1" id="{AC365325-EA9F-446A-A07B-46A28029B361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2" stopIfTrue="1" id="{CA358BD6-A2D6-4FAA-96DD-4D518A27E764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3" stopIfTrue="1" id="{4851588E-8A89-4220-8757-302D2C4FE1D0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2" stopIfTrue="1" id="{24517242-CC1A-4B78-9D19-F3D57D7CBB32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3" stopIfTrue="1" id="{A196A3F2-8BBF-4EB7-9597-579513A741DD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4" stopIfTrue="1" id="{FEC1B81C-8AA4-4437-9377-98C2A645561E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2" stopIfTrue="1" id="{4C08B007-BAD6-4836-B66B-4963D7C89445}">
            <xm:f>'OHLR DUAT'!$F$18&gt;2</xm:f>
            <x14:dxf/>
          </x14:cfRule>
          <x14:cfRule type="expression" priority="23" stopIfTrue="1" id="{48444656-D206-42F7-A31A-427AA34E144C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4" stopIfTrue="1" id="{3EE1EF66-9AEA-4305-A8C5-2736C9D1EAB2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5" id="{EB0B316D-E53F-4A6C-BBAC-5B9B3B1D63D5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6" id="{17FA832C-55DC-4C8D-8838-0984EE2D0E6F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7" id="{DE176BDF-A484-4FD5-A24A-7A7490103481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C1C93E2C-0141-4987-9297-BD2375F24AA3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0" stopIfTrue="1" id="{94DED2EE-1BEA-4D0E-9C64-C29C24B4AD72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1" stopIfTrue="1" id="{87DEB592-CA73-419D-9A5A-9B67B583AC0C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9" id="{0B3E41AA-4890-4106-AE5E-0CF119484832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0" id="{4976C531-5541-4EB5-AC7F-9FDBDBC1310D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1" id="{B692DA8F-4667-49EB-9E0A-C328A2B2F7F7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6" stopIfTrue="1" id="{F5B11F08-D176-4214-AEFF-6714872E0FB5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7" stopIfTrue="1" id="{72C5F392-2C0F-4C6C-B6F5-5DDBF89E547A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8" id="{177C5C87-014E-48BE-893C-2CA4FFE0263B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9" id="{A90ECFD1-3F03-4A63-972E-E3BAAA809FB8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0" id="{A9ACBD6B-73D9-4C01-8F64-7707D57B679D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2" id="{00908421-9206-4F3F-AE62-0D01A52C3CFA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3" id="{7327D0D3-398B-48D4-94BB-36261AD3D07C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id="{0FA8573F-DD0F-49C1-9B68-0642A0847494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9" id="{7F6E59C2-C77C-4364-9779-04059D122962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0" id="{9CDB9AD6-443C-4B00-B84E-012F154C7890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1" id="{B42DF84E-F5F4-44FC-A487-4221C179B0FB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3" id="{D4EB7784-C16F-4F74-8843-12E8F2CC65BE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" id="{EBE35B32-1CB2-486C-8E04-23951ED9B4F4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5" id="{DE30894C-AC1E-4C20-B907-DE19EA9B045C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4" stopIfTrue="1" id="{F5B310BD-46C2-404C-AE5A-E184849550CC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5" stopIfTrue="1" id="{259C012F-607C-412E-8541-0FC7EB28E6F9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6" stopIfTrue="1" id="{0025659B-844E-4CE4-AF5A-67281E080E18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5" stopIfTrue="1" id="{988328D1-50E7-4726-8068-FF8D7CEF3F68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8" stopIfTrue="1" id="{18F19126-1B84-40CA-B255-346972FA7663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9" stopIfTrue="1" id="{F9A94C93-0C9B-48B7-B60C-AD507122AE18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0" stopIfTrue="1" id="{03B6EFBF-A4D7-4503-94B3-FCC82955EAB0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5" stopIfTrue="1" id="{17F958DB-5F89-488D-A254-C4ED074EEE44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6" stopIfTrue="1" id="{2941DFA6-5EB2-4CEA-BB8B-200C864C92A3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7" stopIfTrue="1" id="{0E0CF90E-5466-40C3-A9F3-D27BEC425CD3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6" stopIfTrue="1" id="{6159F9B4-EB07-47F9-B3E3-ADBF67C2706A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7" stopIfTrue="1" id="{46A27ED5-7EBC-40A6-AF18-AA85D86A82DC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8" stopIfTrue="1" id="{A8DFD6BB-A7D5-4541-92EB-F2D42FAB5EB0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6" id="{B04DE388-3B61-415E-AAE7-D2C3C2EEDF48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7" id="{8C45C954-7AA1-41DC-BC79-5589AFEF5D5D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00A5D0EB-79D4-4CA8-98E1-E95B6AC42E13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61" stopIfTrue="1" id="{62A543A9-FF5C-4A9D-BA4A-1B03A410635A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2" stopIfTrue="1" id="{78A28C1E-1A1B-4BDD-9AEB-F765AE5E691F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3" stopIfTrue="1" id="{27F0A016-C693-4DA7-AC50-EE1115204AEB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70" stopIfTrue="1" id="{83593744-6737-449C-A7F8-F0AC9F32284E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71" stopIfTrue="1" id="{FE8D0C6B-BFA3-4AB5-AA2D-C4773C008183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2" stopIfTrue="1" id="{969BF500-F47F-4540-B233-4A7583AF9479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30" stopIfTrue="1" id="{BDB20441-5347-4C3E-A589-A3F0E752360C}">
            <xm:f>'OHLR DUAT'!$F$13&gt;=2</xm:f>
            <x14:dxf>
              <font>
                <b val="0"/>
                <i val="0"/>
              </font>
            </x14:dxf>
          </x14:cfRule>
          <x14:cfRule type="expression" priority="31" stopIfTrue="1" id="{3E7DCD26-3146-4679-A330-91AEE16BAF92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2" stopIfTrue="1" id="{CF9A999F-936E-4BA7-8E89-3E99DE0263EF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9" stopIfTrue="1" id="{B8686ABE-0C4A-4766-9D21-F1359766041C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4" stopIfTrue="1" id="{9043795A-49FC-48D4-8EF7-C8A072D3B87C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6" stopIfTrue="1" id="{9475F925-0868-4BF1-B82F-0D0E89F6997C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7" stopIfTrue="1" id="{721C01C5-7DC9-4D0C-8A64-E4BEF5FA2936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8" stopIfTrue="1" id="{5874C63B-771B-4E03-8072-A3D880230BB7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8" stopIfTrue="1" id="{F45BB0CA-03FA-4445-A98E-97F5F04F2F0B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6" id="{EFF2D888-FA26-4417-B3AB-87634C8CD44F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7" id="{DBC8AC92-CF17-419A-B625-BEE9EDE0F32F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6AA42ECC-5C76-4E9C-A6C7-4178EB5A5F3D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40" id="{87AAD111-1EA2-47BA-A0AC-ADBE5A2A4776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5" id="{A6EB7E78-C26B-49D9-882A-243EC4E0D86A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8" id="{1CA9C5F4-43DD-4752-9D4D-159A8B04F405}">
            <xm:f>VLOOKUP(#REF!,'OHLR DUAT'!$B$4:$E$15,4,FALSE)</xm:f>
            <x14:dxf/>
          </x14:cfRule>
          <xm:sqref>E8:I8 K8:AH8 E9:AH9</xm:sqref>
        </x14:conditionalFormatting>
        <x14:conditionalFormatting xmlns:xm="http://schemas.microsoft.com/office/excel/2006/main">
          <x14:cfRule type="expression" priority="1" id="{4C557851-37E7-4D3A-9C2F-7A89CD02CD33}">
            <xm:f>VLOOKUP('July 2026'!#REF!,'OHLR DUAT'!$B$4:$E$15,4,FALSE)</xm:f>
            <x14:dxf/>
          </x14:cfRule>
          <xm:sqref>J8</xm:sqref>
        </x14:conditionalFormatting>
        <x14:conditionalFormatting xmlns:xm="http://schemas.microsoft.com/office/excel/2006/main">
          <x14:cfRule type="expression" priority="2" id="{3137AEA1-39E6-4A59-8C28-E062D6EBA86F}">
            <xm:f>VLOOKUP('September 2026'!#REF!,'OHLR DUAT'!$B$4:$E$15,4,FALSE)</xm:f>
            <x14:dxf/>
          </x14:cfRule>
          <xm:sqref>AI8:AI9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7F42-0ECC-44A9-9893-6EB037616286}">
  <dimension ref="A1:AO74"/>
  <sheetViews>
    <sheetView zoomScale="85" zoomScaleNormal="85" workbookViewId="0">
      <pane xSplit="4" ySplit="7" topLeftCell="E27" activePane="bottomRight" state="frozen"/>
      <selection pane="topRight"/>
      <selection pane="bottomLeft"/>
      <selection pane="bottomRight" activeCell="D38" sqref="D38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5" width="8.7265625" bestFit="1" customWidth="1"/>
    <col min="6" max="10" width="6.6328125" customWidth="1"/>
    <col min="11" max="11" width="12.08984375" bestFit="1" customWidth="1"/>
    <col min="12" max="18" width="6.6328125" customWidth="1"/>
    <col min="19" max="19" width="8.6328125" bestFit="1" customWidth="1"/>
    <col min="20" max="24" width="6.6328125" customWidth="1"/>
    <col min="25" max="25" width="8.6328125" bestFit="1" customWidth="1"/>
    <col min="26" max="34" width="6.6328125" customWidth="1"/>
  </cols>
  <sheetData>
    <row r="1" spans="1:41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41" ht="20">
      <c r="A2" s="14"/>
      <c r="B2" s="42"/>
      <c r="C2" s="15"/>
      <c r="D2" s="15"/>
      <c r="E2" s="1407" t="s">
        <v>60</v>
      </c>
      <c r="F2" s="1407"/>
      <c r="G2" s="1407"/>
      <c r="H2" s="1407"/>
      <c r="I2" s="1407"/>
      <c r="J2" s="1407"/>
      <c r="K2" s="1407"/>
      <c r="L2" s="1407"/>
      <c r="M2" s="1407"/>
      <c r="N2" s="1407"/>
      <c r="O2" s="1407"/>
      <c r="P2" s="1407"/>
      <c r="Q2" s="1407"/>
      <c r="R2" s="1407"/>
      <c r="S2" s="1407"/>
      <c r="T2" s="1407"/>
      <c r="U2" s="1407"/>
      <c r="V2" s="1407"/>
      <c r="W2" s="1407"/>
      <c r="X2" s="1407"/>
      <c r="Y2" s="1407"/>
      <c r="Z2" s="1407"/>
      <c r="AA2" s="1407"/>
      <c r="AB2" s="1407"/>
      <c r="AC2" s="1407"/>
      <c r="AD2" s="1407"/>
      <c r="AE2" s="1407"/>
      <c r="AF2" s="1407"/>
      <c r="AG2" s="1407"/>
      <c r="AH2" s="1407"/>
    </row>
    <row r="3" spans="1:41" ht="18" customHeight="1">
      <c r="A3" s="19"/>
      <c r="B3" s="43"/>
      <c r="C3" s="19"/>
      <c r="D3" s="19"/>
      <c r="E3" s="1408" t="s">
        <v>369</v>
      </c>
      <c r="F3" s="1408"/>
      <c r="G3" s="1408"/>
      <c r="H3" s="1408"/>
      <c r="I3" s="1408"/>
      <c r="J3" s="1408"/>
      <c r="K3" s="1408"/>
      <c r="L3" s="1408"/>
      <c r="M3" s="1408"/>
      <c r="N3" s="1408"/>
      <c r="O3" s="1408"/>
      <c r="P3" s="1408"/>
      <c r="Q3" s="1408"/>
      <c r="R3" s="1408"/>
      <c r="S3" s="1408"/>
      <c r="T3" s="1408"/>
      <c r="U3" s="1408"/>
      <c r="V3" s="1408"/>
      <c r="W3" s="1408"/>
      <c r="X3" s="1408"/>
      <c r="Y3" s="1408"/>
      <c r="Z3" s="1408"/>
      <c r="AA3" s="1408"/>
      <c r="AB3" s="1408"/>
      <c r="AC3" s="1408"/>
      <c r="AD3" s="1408"/>
      <c r="AE3" s="1408"/>
      <c r="AF3" s="1408"/>
      <c r="AG3" s="1408"/>
      <c r="AH3" s="1409"/>
    </row>
    <row r="4" spans="1:41" s="31" customFormat="1" ht="18" customHeight="1">
      <c r="A4" s="19"/>
      <c r="B4" s="43"/>
      <c r="C4" s="19"/>
      <c r="D4" s="19"/>
      <c r="E4" s="1400"/>
      <c r="F4" s="1400"/>
      <c r="G4" s="1400"/>
      <c r="H4" s="1400"/>
      <c r="I4" s="1400"/>
      <c r="J4" s="1403"/>
      <c r="K4" s="1399" t="s">
        <v>370</v>
      </c>
      <c r="L4" s="1400"/>
      <c r="M4" s="1400"/>
      <c r="N4" s="1400"/>
      <c r="O4" s="1400"/>
      <c r="P4" s="1400"/>
      <c r="Q4" s="1401"/>
      <c r="R4" s="1402" t="s">
        <v>371</v>
      </c>
      <c r="S4" s="1400"/>
      <c r="T4" s="1400"/>
      <c r="U4" s="1400"/>
      <c r="V4" s="1400"/>
      <c r="W4" s="1400"/>
      <c r="X4" s="1403"/>
      <c r="Y4" s="1399" t="s">
        <v>372</v>
      </c>
      <c r="Z4" s="1400"/>
      <c r="AA4" s="1400"/>
      <c r="AB4" s="1400"/>
      <c r="AC4" s="1400"/>
      <c r="AD4" s="1400"/>
      <c r="AE4" s="1401"/>
      <c r="AF4" s="1402" t="s">
        <v>373</v>
      </c>
      <c r="AG4" s="1400"/>
      <c r="AH4" s="1401"/>
    </row>
    <row r="5" spans="1:41" s="31" customFormat="1" ht="18" customHeight="1">
      <c r="A5" s="14"/>
      <c r="B5" s="42"/>
      <c r="C5" s="15"/>
      <c r="D5" s="15"/>
      <c r="E5" s="445">
        <v>46266</v>
      </c>
      <c r="F5" s="445">
        <v>46267</v>
      </c>
      <c r="G5" s="445">
        <v>46268</v>
      </c>
      <c r="H5" s="445">
        <v>46269</v>
      </c>
      <c r="I5" s="445">
        <v>46270</v>
      </c>
      <c r="J5" s="449">
        <v>46271</v>
      </c>
      <c r="K5" s="422">
        <v>46272</v>
      </c>
      <c r="L5" s="445">
        <v>46273</v>
      </c>
      <c r="M5" s="445">
        <v>46274</v>
      </c>
      <c r="N5" s="445">
        <v>46275</v>
      </c>
      <c r="O5" s="445">
        <v>46276</v>
      </c>
      <c r="P5" s="445">
        <v>46277</v>
      </c>
      <c r="Q5" s="423">
        <v>46278</v>
      </c>
      <c r="R5" s="447">
        <v>46279</v>
      </c>
      <c r="S5" s="445">
        <v>46280</v>
      </c>
      <c r="T5" s="445">
        <v>46281</v>
      </c>
      <c r="U5" s="445">
        <v>46282</v>
      </c>
      <c r="V5" s="445">
        <v>46283</v>
      </c>
      <c r="W5" s="445">
        <v>46284</v>
      </c>
      <c r="X5" s="449">
        <v>46285</v>
      </c>
      <c r="Y5" s="422">
        <v>46286</v>
      </c>
      <c r="Z5" s="445">
        <v>46287</v>
      </c>
      <c r="AA5" s="445">
        <v>46288</v>
      </c>
      <c r="AB5" s="445">
        <v>46289</v>
      </c>
      <c r="AC5" s="445">
        <v>46290</v>
      </c>
      <c r="AD5" s="445">
        <v>46291</v>
      </c>
      <c r="AE5" s="423">
        <v>46292</v>
      </c>
      <c r="AF5" s="447">
        <v>46293</v>
      </c>
      <c r="AG5" s="445">
        <v>46294</v>
      </c>
      <c r="AH5" s="423">
        <v>46295</v>
      </c>
    </row>
    <row r="6" spans="1:41" s="31" customFormat="1" ht="18" customHeight="1">
      <c r="A6" s="19"/>
      <c r="B6" s="43"/>
      <c r="C6" s="19"/>
      <c r="D6" s="19"/>
      <c r="E6" s="419" t="s">
        <v>72</v>
      </c>
      <c r="F6" s="419" t="s">
        <v>73</v>
      </c>
      <c r="G6" s="419" t="s">
        <v>67</v>
      </c>
      <c r="H6" s="419" t="s">
        <v>68</v>
      </c>
      <c r="I6" s="419" t="s">
        <v>69</v>
      </c>
      <c r="J6" s="433" t="s">
        <v>70</v>
      </c>
      <c r="K6" s="424" t="s">
        <v>71</v>
      </c>
      <c r="L6" s="419" t="s">
        <v>72</v>
      </c>
      <c r="M6" s="419" t="s">
        <v>73</v>
      </c>
      <c r="N6" s="419" t="s">
        <v>67</v>
      </c>
      <c r="O6" s="419" t="s">
        <v>68</v>
      </c>
      <c r="P6" s="419" t="s">
        <v>69</v>
      </c>
      <c r="Q6" s="425" t="s">
        <v>70</v>
      </c>
      <c r="R6" s="427" t="s">
        <v>71</v>
      </c>
      <c r="S6" s="419" t="s">
        <v>72</v>
      </c>
      <c r="T6" s="419" t="s">
        <v>73</v>
      </c>
      <c r="U6" s="419" t="s">
        <v>67</v>
      </c>
      <c r="V6" s="419" t="s">
        <v>68</v>
      </c>
      <c r="W6" s="419" t="s">
        <v>69</v>
      </c>
      <c r="X6" s="433" t="s">
        <v>70</v>
      </c>
      <c r="Y6" s="424" t="s">
        <v>71</v>
      </c>
      <c r="Z6" s="419" t="s">
        <v>72</v>
      </c>
      <c r="AA6" s="419" t="s">
        <v>73</v>
      </c>
      <c r="AB6" s="419" t="s">
        <v>67</v>
      </c>
      <c r="AC6" s="419" t="s">
        <v>68</v>
      </c>
      <c r="AD6" s="419" t="s">
        <v>69</v>
      </c>
      <c r="AE6" s="425" t="s">
        <v>70</v>
      </c>
      <c r="AF6" s="427" t="s">
        <v>71</v>
      </c>
      <c r="AG6" s="419" t="s">
        <v>72</v>
      </c>
      <c r="AH6" s="446" t="s">
        <v>73</v>
      </c>
    </row>
    <row r="7" spans="1:41" ht="18" customHeight="1">
      <c r="A7" s="24" t="s">
        <v>74</v>
      </c>
      <c r="B7" s="113" t="s">
        <v>75</v>
      </c>
      <c r="C7" s="25" t="s">
        <v>76</v>
      </c>
      <c r="D7" s="26" t="s">
        <v>77</v>
      </c>
      <c r="E7" s="438"/>
      <c r="F7" s="438"/>
      <c r="G7" s="438"/>
      <c r="H7" s="438"/>
      <c r="I7" s="438"/>
      <c r="J7" s="442"/>
      <c r="K7" s="437"/>
      <c r="L7" s="438"/>
      <c r="M7" s="438"/>
      <c r="N7" s="438"/>
      <c r="O7" s="438"/>
      <c r="P7" s="438"/>
      <c r="Q7" s="439"/>
      <c r="R7" s="440"/>
      <c r="S7" s="438"/>
      <c r="T7" s="438"/>
      <c r="U7" s="438"/>
      <c r="V7" s="438"/>
      <c r="W7" s="438"/>
      <c r="X7" s="442"/>
      <c r="Y7" s="437"/>
      <c r="Z7" s="438"/>
      <c r="AA7" s="438"/>
      <c r="AB7" s="438"/>
      <c r="AC7" s="438"/>
      <c r="AD7" s="438"/>
      <c r="AE7" s="439"/>
      <c r="AF7" s="440"/>
      <c r="AG7" s="438"/>
      <c r="AH7" s="439"/>
    </row>
    <row r="8" spans="1:41" ht="18" customHeight="1">
      <c r="A8" s="1346" t="s">
        <v>78</v>
      </c>
      <c r="B8" s="44" t="s">
        <v>79</v>
      </c>
      <c r="C8" s="17" t="s">
        <v>80</v>
      </c>
      <c r="D8" s="21">
        <v>300179</v>
      </c>
      <c r="E8" s="431"/>
      <c r="F8" s="431"/>
      <c r="G8" s="431"/>
      <c r="H8" s="431"/>
      <c r="I8" s="431"/>
      <c r="J8" s="443"/>
      <c r="K8" s="441"/>
      <c r="L8" s="431"/>
      <c r="M8" s="431"/>
      <c r="N8" s="431"/>
      <c r="O8" s="431"/>
      <c r="P8" s="431"/>
      <c r="Q8" s="436"/>
      <c r="R8" s="435"/>
      <c r="S8" s="431"/>
      <c r="T8" s="431"/>
      <c r="U8" s="431" t="s">
        <v>180</v>
      </c>
      <c r="V8" s="431"/>
      <c r="W8" s="431"/>
      <c r="X8" s="443"/>
      <c r="Y8" s="441"/>
      <c r="Z8" s="431"/>
      <c r="AA8" s="431"/>
      <c r="AB8" s="431"/>
      <c r="AC8" s="431"/>
      <c r="AD8" s="431"/>
      <c r="AE8" s="436"/>
      <c r="AF8" s="435"/>
      <c r="AG8" s="431"/>
      <c r="AH8" s="436"/>
    </row>
    <row r="9" spans="1:41" ht="18" customHeight="1">
      <c r="A9" s="1347"/>
      <c r="B9" s="115" t="s">
        <v>82</v>
      </c>
      <c r="C9" s="20" t="s">
        <v>80</v>
      </c>
      <c r="D9" s="156">
        <v>668695</v>
      </c>
      <c r="E9" s="518"/>
      <c r="F9" s="518"/>
      <c r="G9" s="518"/>
      <c r="H9" s="518"/>
      <c r="I9" s="518"/>
      <c r="J9" s="520"/>
      <c r="K9" s="516"/>
      <c r="L9" s="518"/>
      <c r="M9" s="518"/>
      <c r="N9" s="518"/>
      <c r="O9" s="518"/>
      <c r="P9" s="518"/>
      <c r="Q9" s="517"/>
      <c r="R9" s="519"/>
      <c r="S9" s="518"/>
      <c r="T9" s="518"/>
      <c r="U9" s="518" t="s">
        <v>180</v>
      </c>
      <c r="V9" s="518"/>
      <c r="W9" s="518"/>
      <c r="X9" s="520"/>
      <c r="Y9" s="516"/>
      <c r="Z9" s="518"/>
      <c r="AA9" s="518"/>
      <c r="AB9" s="518"/>
      <c r="AC9" s="518"/>
      <c r="AD9" s="518"/>
      <c r="AE9" s="517"/>
      <c r="AF9" s="519"/>
      <c r="AG9" s="518"/>
      <c r="AH9" s="517"/>
    </row>
    <row r="10" spans="1:41" ht="18" customHeight="1">
      <c r="A10" s="1331" t="s">
        <v>85</v>
      </c>
      <c r="B10" s="90" t="s">
        <v>86</v>
      </c>
      <c r="C10" s="17" t="s">
        <v>13</v>
      </c>
      <c r="D10" s="21">
        <v>231061</v>
      </c>
      <c r="E10" s="528" t="s">
        <v>38</v>
      </c>
      <c r="F10" s="528" t="s">
        <v>38</v>
      </c>
      <c r="G10" s="528" t="s">
        <v>38</v>
      </c>
      <c r="H10" s="528" t="s">
        <v>38</v>
      </c>
      <c r="I10" s="529" t="s">
        <v>84</v>
      </c>
      <c r="J10" s="530" t="s">
        <v>38</v>
      </c>
      <c r="K10" s="527" t="s">
        <v>38</v>
      </c>
      <c r="L10" s="528" t="s">
        <v>38</v>
      </c>
      <c r="M10" s="528" t="s">
        <v>38</v>
      </c>
      <c r="N10" s="528" t="s">
        <v>38</v>
      </c>
      <c r="O10" s="528" t="s">
        <v>38</v>
      </c>
      <c r="P10" s="529" t="s">
        <v>84</v>
      </c>
      <c r="Q10" s="531" t="s">
        <v>84</v>
      </c>
      <c r="R10" s="532" t="s">
        <v>87</v>
      </c>
      <c r="S10" s="528" t="s">
        <v>87</v>
      </c>
      <c r="T10" s="528" t="s">
        <v>87</v>
      </c>
      <c r="U10" s="528" t="s">
        <v>180</v>
      </c>
      <c r="V10" s="528" t="s">
        <v>87</v>
      </c>
      <c r="W10" s="529" t="s">
        <v>84</v>
      </c>
      <c r="X10" s="533" t="s">
        <v>84</v>
      </c>
      <c r="Y10" s="527" t="s">
        <v>87</v>
      </c>
      <c r="Z10" s="528" t="s">
        <v>87</v>
      </c>
      <c r="AA10" s="528" t="s">
        <v>87</v>
      </c>
      <c r="AB10" s="528" t="s">
        <v>87</v>
      </c>
      <c r="AC10" s="529" t="s">
        <v>162</v>
      </c>
      <c r="AD10" s="529" t="s">
        <v>84</v>
      </c>
      <c r="AE10" s="534" t="s">
        <v>38</v>
      </c>
      <c r="AF10" s="532" t="s">
        <v>38</v>
      </c>
      <c r="AG10" s="528" t="s">
        <v>38</v>
      </c>
      <c r="AH10" s="534" t="s">
        <v>38</v>
      </c>
    </row>
    <row r="11" spans="1:41" ht="18" customHeight="1">
      <c r="A11" s="1331"/>
      <c r="B11" s="86" t="s">
        <v>24</v>
      </c>
      <c r="C11" s="18" t="s">
        <v>13</v>
      </c>
      <c r="D11" s="52" t="s">
        <v>89</v>
      </c>
      <c r="E11" s="486" t="s">
        <v>87</v>
      </c>
      <c r="F11" s="486" t="s">
        <v>87</v>
      </c>
      <c r="G11" s="486" t="s">
        <v>87</v>
      </c>
      <c r="H11" s="487" t="s">
        <v>87</v>
      </c>
      <c r="I11" s="486" t="s">
        <v>90</v>
      </c>
      <c r="J11" s="490" t="s">
        <v>84</v>
      </c>
      <c r="K11" s="485" t="s">
        <v>87</v>
      </c>
      <c r="L11" s="486" t="s">
        <v>87</v>
      </c>
      <c r="M11" s="486" t="s">
        <v>87</v>
      </c>
      <c r="N11" s="486" t="s">
        <v>87</v>
      </c>
      <c r="O11" s="486" t="s">
        <v>87</v>
      </c>
      <c r="P11" s="489" t="s">
        <v>84</v>
      </c>
      <c r="Q11" s="484" t="s">
        <v>84</v>
      </c>
      <c r="R11" s="488" t="s">
        <v>87</v>
      </c>
      <c r="S11" s="486" t="s">
        <v>87</v>
      </c>
      <c r="T11" s="486" t="s">
        <v>105</v>
      </c>
      <c r="U11" s="486" t="s">
        <v>180</v>
      </c>
      <c r="V11" s="487" t="s">
        <v>87</v>
      </c>
      <c r="W11" s="1188" t="s">
        <v>90</v>
      </c>
      <c r="X11" s="490" t="s">
        <v>84</v>
      </c>
      <c r="Y11" s="483" t="s">
        <v>81</v>
      </c>
      <c r="Z11" s="489" t="s">
        <v>81</v>
      </c>
      <c r="AA11" s="489" t="s">
        <v>81</v>
      </c>
      <c r="AB11" s="489" t="s">
        <v>81</v>
      </c>
      <c r="AC11" s="487" t="s">
        <v>247</v>
      </c>
      <c r="AD11" s="489" t="s">
        <v>84</v>
      </c>
      <c r="AE11" s="484" t="s">
        <v>84</v>
      </c>
      <c r="AF11" s="488" t="s">
        <v>87</v>
      </c>
      <c r="AG11" s="486" t="s">
        <v>87</v>
      </c>
      <c r="AH11" s="526" t="s">
        <v>87</v>
      </c>
    </row>
    <row r="12" spans="1:41" ht="18" customHeight="1">
      <c r="A12" s="1316" t="s">
        <v>92</v>
      </c>
      <c r="B12" s="1334" t="s">
        <v>93</v>
      </c>
      <c r="C12" s="1332"/>
      <c r="D12" s="1332"/>
      <c r="E12" s="478" t="s">
        <v>95</v>
      </c>
      <c r="F12" s="478" t="s">
        <v>95</v>
      </c>
      <c r="G12" s="478" t="s">
        <v>95</v>
      </c>
      <c r="H12" s="478" t="s">
        <v>95</v>
      </c>
      <c r="I12" s="479" t="s">
        <v>84</v>
      </c>
      <c r="J12" s="499" t="s">
        <v>84</v>
      </c>
      <c r="K12" s="476" t="s">
        <v>94</v>
      </c>
      <c r="L12" s="478" t="s">
        <v>94</v>
      </c>
      <c r="M12" s="478" t="s">
        <v>94</v>
      </c>
      <c r="N12" s="478" t="s">
        <v>94</v>
      </c>
      <c r="O12" s="478" t="s">
        <v>94</v>
      </c>
      <c r="P12" s="479" t="s">
        <v>84</v>
      </c>
      <c r="Q12" s="492" t="s">
        <v>94</v>
      </c>
      <c r="R12" s="481" t="s">
        <v>94</v>
      </c>
      <c r="S12" s="478" t="s">
        <v>94</v>
      </c>
      <c r="T12" s="478" t="s">
        <v>94</v>
      </c>
      <c r="U12" s="478" t="s">
        <v>94</v>
      </c>
      <c r="V12" s="478" t="s">
        <v>94</v>
      </c>
      <c r="W12" s="479" t="s">
        <v>84</v>
      </c>
      <c r="X12" s="499" t="s">
        <v>84</v>
      </c>
      <c r="Y12" s="476" t="s">
        <v>95</v>
      </c>
      <c r="Z12" s="478" t="s">
        <v>95</v>
      </c>
      <c r="AA12" s="478" t="s">
        <v>95</v>
      </c>
      <c r="AB12" s="478" t="s">
        <v>95</v>
      </c>
      <c r="AC12" s="478" t="s">
        <v>95</v>
      </c>
      <c r="AD12" s="478" t="s">
        <v>95</v>
      </c>
      <c r="AE12" s="477" t="s">
        <v>84</v>
      </c>
      <c r="AF12" s="481" t="s">
        <v>95</v>
      </c>
      <c r="AG12" s="478" t="s">
        <v>95</v>
      </c>
      <c r="AH12" s="492" t="s">
        <v>95</v>
      </c>
      <c r="AI12" s="137" t="s">
        <v>95</v>
      </c>
      <c r="AJ12" s="137" t="s">
        <v>38</v>
      </c>
      <c r="AK12" s="138" t="s">
        <v>84</v>
      </c>
      <c r="AL12" s="137" t="s">
        <v>81</v>
      </c>
      <c r="AM12" s="137" t="s">
        <v>88</v>
      </c>
      <c r="AN12" s="137" t="s">
        <v>96</v>
      </c>
      <c r="AO12" s="139" t="s">
        <v>97</v>
      </c>
    </row>
    <row r="13" spans="1:41" ht="18" customHeight="1">
      <c r="A13" s="1333"/>
      <c r="B13" s="116" t="s">
        <v>22</v>
      </c>
      <c r="C13" s="53" t="s">
        <v>16</v>
      </c>
      <c r="D13" s="23">
        <v>517968</v>
      </c>
      <c r="E13" s="496"/>
      <c r="F13" s="496"/>
      <c r="G13" s="496"/>
      <c r="H13" s="496"/>
      <c r="I13" s="496"/>
      <c r="J13" s="498"/>
      <c r="K13" s="494"/>
      <c r="L13" s="496"/>
      <c r="M13" s="496"/>
      <c r="N13" s="496"/>
      <c r="O13" s="496"/>
      <c r="P13" s="496"/>
      <c r="Q13" s="495"/>
      <c r="R13" s="497"/>
      <c r="S13" s="496"/>
      <c r="T13" s="496"/>
      <c r="U13" s="496"/>
      <c r="V13" s="496"/>
      <c r="W13" s="496"/>
      <c r="X13" s="498"/>
      <c r="Y13" s="494" t="s">
        <v>374</v>
      </c>
      <c r="Z13" s="496" t="s">
        <v>180</v>
      </c>
      <c r="AA13" s="496"/>
      <c r="AB13" s="496"/>
      <c r="AC13" s="496"/>
      <c r="AD13" s="496"/>
      <c r="AE13" s="495"/>
      <c r="AF13" s="497"/>
      <c r="AG13" s="496"/>
      <c r="AH13" s="495"/>
      <c r="AI13" s="89" cm="1">
        <f t="array" ref="AI13">SUMPRODUCT(($E$12:$AH$12="HR")*($E$13:$AH$13=""))+SUMPRODUCT(($E$13:$AH$13="HR")*1)</f>
        <v>11</v>
      </c>
      <c r="AJ13" s="89" cm="1">
        <f t="array" ref="AJ13">SUMPRODUCT(($E$12:$AH$12="N0")*($E$13:$AH$13=""))+SUMPRODUCT(($E$13:$AH$13="N")*1)</f>
        <v>11</v>
      </c>
      <c r="AK13" s="89" cm="1">
        <f t="array" ref="AK13">SUMPRODUCT(($E$12:$AH$12="RD")*($E$13:$AH$13=""))+SUMPRODUCT(($E$13:$AH$13="RD")*1)</f>
        <v>6</v>
      </c>
      <c r="AL13" s="89" cm="1">
        <f t="array" ref="AL13">SUMPRODUCT(($E$13:$AH$13="AL")*1)</f>
        <v>0</v>
      </c>
      <c r="AM13" s="89" cm="1">
        <f t="array" ref="AM13">SUMPRODUCT(($E$13:$AH$13="SH")*1)</f>
        <v>0</v>
      </c>
      <c r="AN13" s="89" cm="1">
        <f t="array" ref="AN13">SUMPRODUCT(($E$13:$AH$13="SL")*1)</f>
        <v>0</v>
      </c>
      <c r="AO13" s="140" t="e">
        <f>#REF!-AI13-AJ13-AK13-AL13-AM13-AN13</f>
        <v>#REF!</v>
      </c>
    </row>
    <row r="14" spans="1:41" ht="18" customHeight="1">
      <c r="A14" s="1316" t="s">
        <v>98</v>
      </c>
      <c r="B14" s="1330" t="s">
        <v>93</v>
      </c>
      <c r="C14" s="1330"/>
      <c r="D14" s="1330"/>
      <c r="E14" s="478" t="s">
        <v>94</v>
      </c>
      <c r="F14" s="478" t="s">
        <v>94</v>
      </c>
      <c r="G14" s="478" t="s">
        <v>94</v>
      </c>
      <c r="H14" s="478" t="s">
        <v>94</v>
      </c>
      <c r="I14" s="479" t="s">
        <v>84</v>
      </c>
      <c r="J14" s="499" t="s">
        <v>84</v>
      </c>
      <c r="K14" s="476" t="s">
        <v>95</v>
      </c>
      <c r="L14" s="478" t="s">
        <v>95</v>
      </c>
      <c r="M14" s="478" t="s">
        <v>95</v>
      </c>
      <c r="N14" s="478" t="s">
        <v>95</v>
      </c>
      <c r="O14" s="478" t="s">
        <v>95</v>
      </c>
      <c r="P14" s="478" t="s">
        <v>95</v>
      </c>
      <c r="Q14" s="477" t="s">
        <v>84</v>
      </c>
      <c r="R14" s="481" t="s">
        <v>95</v>
      </c>
      <c r="S14" s="478" t="s">
        <v>95</v>
      </c>
      <c r="T14" s="478" t="s">
        <v>95</v>
      </c>
      <c r="U14" s="478" t="s">
        <v>95</v>
      </c>
      <c r="V14" s="478" t="s">
        <v>95</v>
      </c>
      <c r="W14" s="479" t="s">
        <v>84</v>
      </c>
      <c r="X14" s="499" t="s">
        <v>84</v>
      </c>
      <c r="Y14" s="476" t="s">
        <v>94</v>
      </c>
      <c r="Z14" s="478" t="s">
        <v>94</v>
      </c>
      <c r="AA14" s="478" t="s">
        <v>94</v>
      </c>
      <c r="AB14" s="478" t="s">
        <v>94</v>
      </c>
      <c r="AC14" s="478" t="s">
        <v>94</v>
      </c>
      <c r="AD14" s="479" t="s">
        <v>84</v>
      </c>
      <c r="AE14" s="492" t="s">
        <v>94</v>
      </c>
      <c r="AF14" s="481" t="s">
        <v>94</v>
      </c>
      <c r="AG14" s="478" t="s">
        <v>94</v>
      </c>
      <c r="AH14" s="492" t="s">
        <v>94</v>
      </c>
      <c r="AI14" s="137" t="s">
        <v>95</v>
      </c>
      <c r="AJ14" s="137" t="s">
        <v>38</v>
      </c>
      <c r="AK14" s="138" t="s">
        <v>84</v>
      </c>
      <c r="AL14" s="137" t="s">
        <v>81</v>
      </c>
      <c r="AM14" s="137" t="s">
        <v>88</v>
      </c>
      <c r="AN14" s="137" t="s">
        <v>96</v>
      </c>
      <c r="AO14" s="139" t="s">
        <v>97</v>
      </c>
    </row>
    <row r="15" spans="1:41" ht="18" customHeight="1">
      <c r="A15" s="1333"/>
      <c r="B15" s="55" t="s">
        <v>46</v>
      </c>
      <c r="C15" s="53" t="s">
        <v>16</v>
      </c>
      <c r="D15" s="54">
        <v>673706</v>
      </c>
      <c r="E15" s="502"/>
      <c r="F15" s="502"/>
      <c r="G15" s="502"/>
      <c r="H15" s="502"/>
      <c r="I15" s="502"/>
      <c r="J15" s="504"/>
      <c r="K15" s="500"/>
      <c r="L15" s="502"/>
      <c r="M15" s="502"/>
      <c r="N15" s="502"/>
      <c r="O15" s="502"/>
      <c r="P15" s="502"/>
      <c r="Q15" s="501"/>
      <c r="R15" s="503"/>
      <c r="S15" s="502"/>
      <c r="T15" s="502"/>
      <c r="U15" s="502" t="s">
        <v>180</v>
      </c>
      <c r="V15" s="502"/>
      <c r="W15" s="502"/>
      <c r="X15" s="504"/>
      <c r="Y15" s="500"/>
      <c r="Z15" s="502"/>
      <c r="AA15" s="502"/>
      <c r="AB15" s="502"/>
      <c r="AC15" s="535"/>
      <c r="AD15" s="502"/>
      <c r="AE15" s="501"/>
      <c r="AF15" s="503"/>
      <c r="AG15" s="502"/>
      <c r="AH15" s="501"/>
      <c r="AI15" s="89" cm="1">
        <f t="array" ref="AI15">SUMPRODUCT(($E$14:$AH$14="HR")*($E$15:$AH$15=""))+SUMPRODUCT(($E$15:$AH$15="HR")*1)</f>
        <v>10</v>
      </c>
      <c r="AJ15" s="89" cm="1">
        <f t="array" ref="AJ15">SUMPRODUCT(($E$14:$AH$14="N0")*($E$15:$AH$15=""))+SUMPRODUCT(($E$15:$AH$15="N")*1)</f>
        <v>13</v>
      </c>
      <c r="AK15" s="89" cm="1">
        <f t="array" ref="AK15">SUMPRODUCT(($E$14:$AH$14="RD")*($E$15:$AH$15=""))+SUMPRODUCT(($E$15:$AH$15="RD")*1)</f>
        <v>6</v>
      </c>
      <c r="AL15" s="89" cm="1">
        <f t="array" ref="AL15">SUMPRODUCT(($E$15:$AH$15="AL")*1)</f>
        <v>0</v>
      </c>
      <c r="AM15" s="89" cm="1">
        <f t="array" ref="AM15">SUMPRODUCT(($E$15:$AH$15="SH")*1)</f>
        <v>0</v>
      </c>
      <c r="AN15" s="89" cm="1">
        <f t="array" ref="AN15">SUMPRODUCT(($E$15:$AH$15="SL")*1)</f>
        <v>0</v>
      </c>
      <c r="AO15" s="140" t="e">
        <f>#REF!-AI15-AJ15-AK15-AL15-AM15-AN15</f>
        <v>#REF!</v>
      </c>
    </row>
    <row r="16" spans="1:41" ht="18" customHeight="1">
      <c r="A16" s="1335" t="s">
        <v>99</v>
      </c>
      <c r="B16" s="1330" t="s">
        <v>93</v>
      </c>
      <c r="C16" s="1330"/>
      <c r="D16" s="1330"/>
      <c r="E16" s="478" t="s">
        <v>95</v>
      </c>
      <c r="F16" s="478" t="s">
        <v>95</v>
      </c>
      <c r="G16" s="478" t="s">
        <v>95</v>
      </c>
      <c r="H16" s="478" t="s">
        <v>95</v>
      </c>
      <c r="I16" s="479" t="s">
        <v>84</v>
      </c>
      <c r="J16" s="499" t="s">
        <v>84</v>
      </c>
      <c r="K16" s="476" t="s">
        <v>95</v>
      </c>
      <c r="L16" s="478" t="s">
        <v>95</v>
      </c>
      <c r="M16" s="478" t="s">
        <v>95</v>
      </c>
      <c r="N16" s="478" t="s">
        <v>95</v>
      </c>
      <c r="O16" s="478" t="s">
        <v>95</v>
      </c>
      <c r="P16" s="478" t="s">
        <v>95</v>
      </c>
      <c r="Q16" s="480" t="s">
        <v>84</v>
      </c>
      <c r="R16" s="481" t="s">
        <v>95</v>
      </c>
      <c r="S16" s="478" t="s">
        <v>95</v>
      </c>
      <c r="T16" s="478" t="s">
        <v>95</v>
      </c>
      <c r="U16" s="478" t="s">
        <v>95</v>
      </c>
      <c r="V16" s="478" t="s">
        <v>95</v>
      </c>
      <c r="W16" s="479" t="s">
        <v>84</v>
      </c>
      <c r="X16" s="499" t="s">
        <v>84</v>
      </c>
      <c r="Y16" s="476" t="s">
        <v>95</v>
      </c>
      <c r="Z16" s="478" t="s">
        <v>95</v>
      </c>
      <c r="AA16" s="478" t="s">
        <v>95</v>
      </c>
      <c r="AB16" s="478" t="s">
        <v>95</v>
      </c>
      <c r="AC16" s="478" t="s">
        <v>95</v>
      </c>
      <c r="AD16" s="478" t="s">
        <v>95</v>
      </c>
      <c r="AE16" s="480" t="s">
        <v>84</v>
      </c>
      <c r="AF16" s="481" t="s">
        <v>95</v>
      </c>
      <c r="AG16" s="478" t="s">
        <v>95</v>
      </c>
      <c r="AH16" s="492" t="s">
        <v>95</v>
      </c>
      <c r="AI16" s="137" t="s">
        <v>95</v>
      </c>
      <c r="AJ16" s="137" t="s">
        <v>38</v>
      </c>
      <c r="AK16" s="138" t="s">
        <v>84</v>
      </c>
      <c r="AL16" s="137" t="s">
        <v>81</v>
      </c>
      <c r="AM16" s="137" t="s">
        <v>88</v>
      </c>
      <c r="AN16" s="137" t="s">
        <v>96</v>
      </c>
      <c r="AO16" s="139" t="s">
        <v>97</v>
      </c>
    </row>
    <row r="17" spans="1:41" ht="18" customHeight="1">
      <c r="A17" s="1336"/>
      <c r="B17" s="56" t="s">
        <v>100</v>
      </c>
      <c r="C17" s="53" t="s">
        <v>16</v>
      </c>
      <c r="D17" s="54">
        <v>469319</v>
      </c>
      <c r="E17" s="496"/>
      <c r="F17" s="496"/>
      <c r="G17" s="496"/>
      <c r="H17" s="496"/>
      <c r="I17" s="496"/>
      <c r="J17" s="498"/>
      <c r="K17" s="494" t="s">
        <v>374</v>
      </c>
      <c r="L17" s="496"/>
      <c r="M17" s="496"/>
      <c r="N17" s="496"/>
      <c r="O17" s="496"/>
      <c r="P17" s="496"/>
      <c r="Q17" s="495"/>
      <c r="R17" s="497"/>
      <c r="S17" s="496"/>
      <c r="T17" s="496"/>
      <c r="U17" s="496" t="s">
        <v>180</v>
      </c>
      <c r="V17" s="496"/>
      <c r="W17" s="496"/>
      <c r="X17" s="498"/>
      <c r="Y17" s="494"/>
      <c r="Z17" s="496"/>
      <c r="AA17" s="496"/>
      <c r="AB17" s="496"/>
      <c r="AC17" s="496"/>
      <c r="AD17" s="496"/>
      <c r="AE17" s="495"/>
      <c r="AF17" s="497"/>
      <c r="AG17" s="496"/>
      <c r="AH17" s="495"/>
      <c r="AI17" s="89" cm="1">
        <f t="array" ref="AI17">SUMPRODUCT(($E$16:$AH$16="HR")*($E$17:$AH$17=""))+SUMPRODUCT(($E$17:$AH$17="HR")*1)</f>
        <v>22</v>
      </c>
      <c r="AJ17" s="89" cm="1">
        <f t="array" ref="AJ17">SUMPRODUCT(($E$16:$AH$16="N0")*($E$17:$AH$17=""))+SUMPRODUCT(($E$17:$AH$17="N")*1)</f>
        <v>0</v>
      </c>
      <c r="AK17" s="89" cm="1">
        <f t="array" ref="AK17">SUMPRODUCT(($E$16:$AH$16="RD")*($E$17:$AH$17=""))+SUMPRODUCT(($E$17:$AH$17="RD")*1)</f>
        <v>6</v>
      </c>
      <c r="AL17" s="89" cm="1">
        <f t="array" ref="AL17">SUMPRODUCT(($E$17:$AH$17="AL")*1)</f>
        <v>0</v>
      </c>
      <c r="AM17" s="89" cm="1">
        <f t="array" ref="AM17">SUMPRODUCT(($E$17:$AH$17="SH")*1)</f>
        <v>0</v>
      </c>
      <c r="AN17" s="89" cm="1">
        <f t="array" ref="AN17">SUMPRODUCT(($E$17:$AH$17="SL")*1)</f>
        <v>0</v>
      </c>
      <c r="AO17" s="140" t="e">
        <f>#REF!-AI17-AJ17-AK17-AL17-AM17-AN17</f>
        <v>#REF!</v>
      </c>
    </row>
    <row r="18" spans="1:41" ht="18" customHeight="1">
      <c r="A18" s="1340" t="s">
        <v>101</v>
      </c>
      <c r="B18" s="1343" t="s">
        <v>93</v>
      </c>
      <c r="C18" s="1344"/>
      <c r="D18" s="1345"/>
      <c r="E18" s="478" t="s">
        <v>94</v>
      </c>
      <c r="F18" s="478" t="s">
        <v>94</v>
      </c>
      <c r="G18" s="478" t="s">
        <v>94</v>
      </c>
      <c r="H18" s="478" t="s">
        <v>94</v>
      </c>
      <c r="I18" s="479" t="s">
        <v>84</v>
      </c>
      <c r="J18" s="514" t="s">
        <v>94</v>
      </c>
      <c r="K18" s="515" t="s">
        <v>94</v>
      </c>
      <c r="L18" s="509" t="s">
        <v>94</v>
      </c>
      <c r="M18" s="509" t="s">
        <v>94</v>
      </c>
      <c r="N18" s="509" t="s">
        <v>94</v>
      </c>
      <c r="O18" s="509" t="s">
        <v>94</v>
      </c>
      <c r="P18" s="479" t="s">
        <v>84</v>
      </c>
      <c r="Q18" s="492" t="s">
        <v>94</v>
      </c>
      <c r="R18" s="481" t="s">
        <v>94</v>
      </c>
      <c r="S18" s="478" t="s">
        <v>94</v>
      </c>
      <c r="T18" s="478" t="s">
        <v>94</v>
      </c>
      <c r="U18" s="478" t="s">
        <v>94</v>
      </c>
      <c r="V18" s="478" t="s">
        <v>94</v>
      </c>
      <c r="W18" s="479" t="s">
        <v>84</v>
      </c>
      <c r="X18" s="499" t="s">
        <v>84</v>
      </c>
      <c r="Y18" s="513" t="s">
        <v>95</v>
      </c>
      <c r="Z18" s="511" t="s">
        <v>95</v>
      </c>
      <c r="AA18" s="511" t="s">
        <v>95</v>
      </c>
      <c r="AB18" s="511" t="s">
        <v>95</v>
      </c>
      <c r="AC18" s="511" t="s">
        <v>95</v>
      </c>
      <c r="AD18" s="512" t="s">
        <v>84</v>
      </c>
      <c r="AE18" s="477" t="s">
        <v>84</v>
      </c>
      <c r="AF18" s="481" t="s">
        <v>94</v>
      </c>
      <c r="AG18" s="478" t="s">
        <v>94</v>
      </c>
      <c r="AH18" s="492" t="s">
        <v>94</v>
      </c>
      <c r="AI18" s="137" t="s">
        <v>95</v>
      </c>
      <c r="AJ18" s="137" t="s">
        <v>38</v>
      </c>
      <c r="AK18" s="138" t="s">
        <v>84</v>
      </c>
      <c r="AL18" s="137" t="s">
        <v>81</v>
      </c>
      <c r="AM18" s="137" t="s">
        <v>88</v>
      </c>
      <c r="AN18" s="137" t="s">
        <v>96</v>
      </c>
      <c r="AO18" s="139" t="s">
        <v>97</v>
      </c>
    </row>
    <row r="19" spans="1:41" ht="18" customHeight="1">
      <c r="A19" s="1341"/>
      <c r="B19" s="121" t="s">
        <v>14</v>
      </c>
      <c r="C19" s="111" t="s">
        <v>16</v>
      </c>
      <c r="D19" s="112">
        <v>321508</v>
      </c>
      <c r="E19" s="431"/>
      <c r="F19" s="431"/>
      <c r="G19" s="431"/>
      <c r="H19" s="431"/>
      <c r="I19" s="431"/>
      <c r="J19" s="443"/>
      <c r="K19" s="441"/>
      <c r="L19" s="431"/>
      <c r="M19" s="431"/>
      <c r="N19" s="431"/>
      <c r="O19" s="431"/>
      <c r="P19" s="431"/>
      <c r="Q19" s="436"/>
      <c r="R19" s="435"/>
      <c r="S19" s="431"/>
      <c r="T19" s="431"/>
      <c r="U19" s="431"/>
      <c r="V19" s="431"/>
      <c r="W19" s="431"/>
      <c r="X19" s="443"/>
      <c r="Y19" s="441"/>
      <c r="Z19" s="431" t="s">
        <v>180</v>
      </c>
      <c r="AA19" s="431"/>
      <c r="AB19" s="431" t="s">
        <v>115</v>
      </c>
      <c r="AC19" s="431"/>
      <c r="AD19" s="431"/>
      <c r="AE19" s="436"/>
      <c r="AF19" s="435"/>
      <c r="AG19" s="431"/>
      <c r="AH19" s="436"/>
      <c r="AI19" s="89" cm="1">
        <f t="array" ref="AI19">SUMPRODUCT(($E$18:$AH$18="HR")*(E19:AH19=""))+SUMPRODUCT((E19:AH19="HR")*1)</f>
        <v>3</v>
      </c>
      <c r="AJ19" s="89" cm="1">
        <f t="array" ref="AJ19">SUMPRODUCT(($E$18:$AH$18="N0")*(E19:AH19=""))+SUMPRODUCT((E19:AH19="N")*1)</f>
        <v>19</v>
      </c>
      <c r="AK19" s="88" cm="1">
        <f t="array" ref="AK19">SUMPRODUCT(($E$18:$AH$18="RD")*(E19:AH19=""))+SUMPRODUCT((E19:AH19="RD")*1)</f>
        <v>6</v>
      </c>
      <c r="AL19" s="89" cm="1">
        <f t="array" ref="AL19">SUMPRODUCT((E19:AH19="AL")*1)</f>
        <v>0</v>
      </c>
      <c r="AM19" s="89" cm="1">
        <f t="array" ref="AM19">SUMPRODUCT((E19:AH19="SH")*1)</f>
        <v>0</v>
      </c>
      <c r="AN19" s="89" cm="1">
        <f t="array" ref="AN19">SUMPRODUCT((E19:AH19="SL")*1)</f>
        <v>0</v>
      </c>
      <c r="AO19" s="140" t="e">
        <f>#REF!-AI19-AJ19-AK19-AL19-AM19-AN19</f>
        <v>#REF!</v>
      </c>
    </row>
    <row r="20" spans="1:41" ht="18" customHeight="1">
      <c r="A20" s="1341"/>
      <c r="B20" s="118" t="s">
        <v>102</v>
      </c>
      <c r="C20" s="99" t="s">
        <v>16</v>
      </c>
      <c r="D20" s="103">
        <v>461865</v>
      </c>
      <c r="E20" s="413"/>
      <c r="F20" s="413"/>
      <c r="G20" s="413"/>
      <c r="H20" s="413"/>
      <c r="I20" s="413"/>
      <c r="J20" s="444"/>
      <c r="K20" s="416"/>
      <c r="L20" s="413"/>
      <c r="M20" s="413"/>
      <c r="N20" s="413"/>
      <c r="O20" s="1048" t="s">
        <v>88</v>
      </c>
      <c r="P20" s="413"/>
      <c r="Q20" s="1154" t="s">
        <v>88</v>
      </c>
      <c r="R20" s="421"/>
      <c r="S20" s="413"/>
      <c r="T20" s="413"/>
      <c r="U20" s="413"/>
      <c r="V20" s="413"/>
      <c r="W20" s="413"/>
      <c r="X20" s="444"/>
      <c r="Y20" s="416"/>
      <c r="Z20" s="413" t="s">
        <v>180</v>
      </c>
      <c r="AA20" s="413"/>
      <c r="AB20" s="413" t="s">
        <v>247</v>
      </c>
      <c r="AC20" s="413"/>
      <c r="AD20" s="413"/>
      <c r="AE20" s="417"/>
      <c r="AF20" s="421"/>
      <c r="AG20" s="413"/>
      <c r="AH20" s="417"/>
      <c r="AI20" s="89" cm="1">
        <f t="array" ref="AI20">SUMPRODUCT(($E$18:$AH$18="HR")*(E20:AH20=""))+SUMPRODUCT((E20:AH20="HR")*1)</f>
        <v>3</v>
      </c>
      <c r="AJ20" s="89" cm="1">
        <f t="array" ref="AJ20">SUMPRODUCT(($E$18:$AH$18="N0")*(E20:AH20=""))+SUMPRODUCT((E20:AH20="N")*1)</f>
        <v>17</v>
      </c>
      <c r="AK20" s="88" cm="1">
        <f t="array" ref="AK20">SUMPRODUCT(($E$18:$AH$18="RD")*(E20:AH20=""))+SUMPRODUCT((E20:AH20="RD")*1)</f>
        <v>6</v>
      </c>
      <c r="AL20" s="89" cm="1">
        <f t="array" ref="AL20">SUMPRODUCT((E20:AH20="AL")*1)</f>
        <v>0</v>
      </c>
      <c r="AM20" s="89" cm="1">
        <f t="array" ref="AM20">SUMPRODUCT((E20:AH20="SH")*1)</f>
        <v>2</v>
      </c>
      <c r="AN20" s="89" cm="1">
        <f t="array" ref="AN20">SUMPRODUCT((E20:AH20="SL")*1)</f>
        <v>0</v>
      </c>
      <c r="AO20" s="140" t="e">
        <f>#REF!-AI20-AJ20-AK20-AL20-AM20-AN20</f>
        <v>#REF!</v>
      </c>
    </row>
    <row r="21" spans="1:41" ht="18" customHeight="1">
      <c r="A21" s="1341"/>
      <c r="B21" s="101" t="s">
        <v>41</v>
      </c>
      <c r="C21" s="99" t="s">
        <v>27</v>
      </c>
      <c r="D21" s="103">
        <v>676095</v>
      </c>
      <c r="E21" s="413"/>
      <c r="F21" s="413"/>
      <c r="G21" s="413"/>
      <c r="H21" s="413"/>
      <c r="I21" s="413"/>
      <c r="J21" s="444"/>
      <c r="K21" s="416"/>
      <c r="L21" s="413"/>
      <c r="M21" s="413"/>
      <c r="N21" s="413"/>
      <c r="O21" s="413"/>
      <c r="P21" s="413"/>
      <c r="Q21" s="417"/>
      <c r="R21" s="421"/>
      <c r="S21" s="413"/>
      <c r="T21" s="413"/>
      <c r="U21" s="413"/>
      <c r="V21" s="413"/>
      <c r="W21" s="413"/>
      <c r="X21" s="444"/>
      <c r="Y21" s="416"/>
      <c r="Z21" s="413"/>
      <c r="AA21" s="413"/>
      <c r="AB21" s="413" t="s">
        <v>115</v>
      </c>
      <c r="AC21" s="413"/>
      <c r="AD21" s="413"/>
      <c r="AE21" s="417"/>
      <c r="AF21" s="421"/>
      <c r="AG21" s="413"/>
      <c r="AH21" s="417"/>
      <c r="AI21" s="89" cm="1">
        <f t="array" ref="AI21">SUMPRODUCT(($E$18:$AH$18="HR")*(E21:AH21=""))+SUMPRODUCT((E21:AH21="HR")*1)</f>
        <v>4</v>
      </c>
      <c r="AJ21" s="89" cm="1">
        <f t="array" ref="AJ21">SUMPRODUCT(($E$18:$AH$18="N0")*(E21:AH21=""))+SUMPRODUCT((E21:AH21="N")*1)</f>
        <v>19</v>
      </c>
      <c r="AK21" s="88" cm="1">
        <f t="array" ref="AK21">SUMPRODUCT(($E$18:$AH$18="RD")*(E21:AH21=""))+SUMPRODUCT((E21:AH21="RD")*1)</f>
        <v>6</v>
      </c>
      <c r="AL21" s="89" cm="1">
        <f t="array" ref="AL21">SUMPRODUCT((E21:AH21="AL")*1)</f>
        <v>0</v>
      </c>
      <c r="AM21" s="89" cm="1">
        <f t="array" ref="AM21">SUMPRODUCT((E21:AH21="SH")*1)</f>
        <v>0</v>
      </c>
      <c r="AN21" s="89" cm="1">
        <f t="array" ref="AN21">SUMPRODUCT((E21:AH21="SL")*1)</f>
        <v>0</v>
      </c>
      <c r="AO21" s="140" t="e">
        <f>#REF!-AI21-AJ21-AK21-AL21-AM21-AN21</f>
        <v>#REF!</v>
      </c>
    </row>
    <row r="22" spans="1:41" ht="18" customHeight="1">
      <c r="A22" s="1341"/>
      <c r="B22" s="118" t="s">
        <v>104</v>
      </c>
      <c r="C22" s="99" t="s">
        <v>27</v>
      </c>
      <c r="D22" s="103">
        <v>681383</v>
      </c>
      <c r="E22" s="413"/>
      <c r="F22" s="413"/>
      <c r="G22" s="413"/>
      <c r="H22" s="413"/>
      <c r="I22" s="413"/>
      <c r="J22" s="444"/>
      <c r="K22" s="416"/>
      <c r="L22" s="413"/>
      <c r="M22" s="413"/>
      <c r="N22" s="413"/>
      <c r="O22" s="413"/>
      <c r="P22" s="413"/>
      <c r="Q22" s="417"/>
      <c r="R22" s="421"/>
      <c r="S22" s="413"/>
      <c r="T22" s="413"/>
      <c r="U22" s="413"/>
      <c r="V22" s="413"/>
      <c r="W22" s="413"/>
      <c r="X22" s="444"/>
      <c r="Y22" s="416" t="s">
        <v>123</v>
      </c>
      <c r="Z22" s="413" t="s">
        <v>123</v>
      </c>
      <c r="AA22" s="413" t="s">
        <v>123</v>
      </c>
      <c r="AB22" s="413"/>
      <c r="AC22" s="413"/>
      <c r="AD22" s="413"/>
      <c r="AE22" s="417"/>
      <c r="AF22" s="421"/>
      <c r="AG22" s="413"/>
      <c r="AH22" s="417"/>
      <c r="AI22" s="89" cm="1">
        <f t="array" ref="AI22">SUMPRODUCT(($E$18:$AH$18="HR")*(E22:AH22=""))+SUMPRODUCT((E22:AH22="HR")*1)</f>
        <v>2</v>
      </c>
      <c r="AJ22" s="89" cm="1">
        <f t="array" ref="AJ22">SUMPRODUCT(($E$18:$AH$18="N0")*(E22:AH22=""))+SUMPRODUCT((E22:AH22="N")*1)</f>
        <v>19</v>
      </c>
      <c r="AK22" s="88" cm="1">
        <f t="array" ref="AK22">SUMPRODUCT(($E$18:$AH$18="RD")*(E22:AH22=""))+SUMPRODUCT((E22:AH22="RD")*1)</f>
        <v>6</v>
      </c>
      <c r="AL22" s="89" cm="1">
        <f t="array" ref="AL22">SUMPRODUCT((E22:AH22="AL")*1)</f>
        <v>0</v>
      </c>
      <c r="AM22" s="89" cm="1">
        <f t="array" ref="AM22">SUMPRODUCT((E22:AH22="SH")*1)</f>
        <v>0</v>
      </c>
      <c r="AN22" s="89" cm="1">
        <f t="array" ref="AN22">SUMPRODUCT((E22:AH22="SL")*1)</f>
        <v>0</v>
      </c>
      <c r="AO22" s="140" t="e">
        <f>#REF!-AI22-AJ22-AK22-AL22-AM22-AN22</f>
        <v>#REF!</v>
      </c>
    </row>
    <row r="23" spans="1:41" ht="18" customHeight="1">
      <c r="A23" s="1341"/>
      <c r="B23" s="100" t="s">
        <v>30</v>
      </c>
      <c r="C23" s="99" t="s">
        <v>27</v>
      </c>
      <c r="D23" s="103">
        <v>679417</v>
      </c>
      <c r="E23" s="413"/>
      <c r="F23" s="413"/>
      <c r="G23" s="413"/>
      <c r="H23" s="413"/>
      <c r="I23" s="413"/>
      <c r="J23" s="444"/>
      <c r="K23" s="416"/>
      <c r="L23" s="413"/>
      <c r="M23" s="413"/>
      <c r="N23" s="413"/>
      <c r="O23" s="1048" t="s">
        <v>81</v>
      </c>
      <c r="P23" s="1048"/>
      <c r="Q23" s="1154" t="s">
        <v>81</v>
      </c>
      <c r="R23" s="1049" t="s">
        <v>81</v>
      </c>
      <c r="S23" s="413"/>
      <c r="T23" s="413"/>
      <c r="U23" s="413"/>
      <c r="V23" s="413"/>
      <c r="W23" s="413"/>
      <c r="X23" s="444"/>
      <c r="Y23" s="416" t="s">
        <v>123</v>
      </c>
      <c r="Z23" s="413" t="s">
        <v>123</v>
      </c>
      <c r="AA23" s="413" t="s">
        <v>123</v>
      </c>
      <c r="AB23" s="413"/>
      <c r="AC23" s="413"/>
      <c r="AD23" s="413"/>
      <c r="AE23" s="417"/>
      <c r="AF23" s="421"/>
      <c r="AG23" s="413"/>
      <c r="AH23" s="417"/>
      <c r="AI23" s="89" cm="1">
        <f t="array" ref="AI23">SUMPRODUCT(($E$18:$AH$18="HR")*(E23:AH23=""))+SUMPRODUCT((E23:AH23="HR")*1)</f>
        <v>2</v>
      </c>
      <c r="AJ23" s="89" cm="1">
        <f t="array" ref="AJ23">SUMPRODUCT(($E$18:$AH$18="N0")*(E23:AH23=""))+SUMPRODUCT((E23:AH23="N")*1)</f>
        <v>16</v>
      </c>
      <c r="AK23" s="88" cm="1">
        <f t="array" ref="AK23">SUMPRODUCT(($E$18:$AH$18="RD")*(E23:AH23=""))+SUMPRODUCT((E23:AH23="RD")*1)</f>
        <v>6</v>
      </c>
      <c r="AL23" s="89" cm="1">
        <f t="array" ref="AL23">SUMPRODUCT((E23:AH23="AL")*1)</f>
        <v>3</v>
      </c>
      <c r="AM23" s="89" cm="1">
        <f t="array" ref="AM23">SUMPRODUCT((E23:AH23="SH")*1)</f>
        <v>0</v>
      </c>
      <c r="AN23" s="89" cm="1">
        <f t="array" ref="AN23">SUMPRODUCT((E23:AH23="SL")*1)</f>
        <v>0</v>
      </c>
      <c r="AO23" s="140" t="e">
        <f>#REF!-AI23-AJ23-AK23-AL23-AM23-AN23</f>
        <v>#REF!</v>
      </c>
    </row>
    <row r="24" spans="1:41" ht="18" customHeight="1">
      <c r="A24" s="1342"/>
      <c r="B24" s="119" t="s">
        <v>48</v>
      </c>
      <c r="C24" s="106" t="s">
        <v>27</v>
      </c>
      <c r="D24" s="157">
        <v>684061</v>
      </c>
      <c r="E24" s="518"/>
      <c r="F24" s="518" t="s">
        <v>375</v>
      </c>
      <c r="G24" s="518"/>
      <c r="H24" s="518"/>
      <c r="I24" s="518"/>
      <c r="J24" s="520"/>
      <c r="K24" s="516"/>
      <c r="L24" s="518"/>
      <c r="M24" s="518"/>
      <c r="N24" s="518"/>
      <c r="O24" s="518"/>
      <c r="P24" s="518"/>
      <c r="Q24" s="517"/>
      <c r="R24" s="519"/>
      <c r="S24" s="518"/>
      <c r="T24" s="518"/>
      <c r="U24" s="518"/>
      <c r="V24" s="518"/>
      <c r="W24" s="518"/>
      <c r="X24" s="520"/>
      <c r="Y24" s="516"/>
      <c r="Z24" s="518"/>
      <c r="AA24" s="518" t="s">
        <v>124</v>
      </c>
      <c r="AB24" s="518" t="s">
        <v>124</v>
      </c>
      <c r="AC24" s="518"/>
      <c r="AD24" s="518"/>
      <c r="AE24" s="517"/>
      <c r="AF24" s="519"/>
      <c r="AG24" s="518"/>
      <c r="AH24" s="517"/>
      <c r="AI24" s="89" cm="1">
        <f t="array" ref="AI24">SUMPRODUCT(($E$18:$AH$18="HR")*(E24:AH24=""))+SUMPRODUCT((E24:AH24="HR")*1)</f>
        <v>3</v>
      </c>
      <c r="AJ24" s="89" cm="1">
        <f t="array" ref="AJ24">SUMPRODUCT(($E$18:$AH$18="N0")*(E24:AH24=""))+SUMPRODUCT((E24:AH24="N")*1)</f>
        <v>18</v>
      </c>
      <c r="AK24" s="88" cm="1">
        <f t="array" ref="AK24">SUMPRODUCT(($E$18:$AH$18="RD")*(E24:AH24=""))+SUMPRODUCT((E24:AH24="RD")*1)</f>
        <v>6</v>
      </c>
      <c r="AL24" s="89" cm="1">
        <f t="array" ref="AL24">SUMPRODUCT((E24:AH24="AL")*1)</f>
        <v>0</v>
      </c>
      <c r="AM24" s="89" cm="1">
        <f t="array" ref="AM24">SUMPRODUCT((E24:AH24="SH")*1)</f>
        <v>0</v>
      </c>
      <c r="AN24" s="89" cm="1">
        <f t="array" ref="AN24">SUMPRODUCT((E24:AH24="SL")*1)</f>
        <v>0</v>
      </c>
      <c r="AO24" s="140" t="e">
        <f>#REF!-AI24-AJ24-AK24-AL24-AM24-AN24</f>
        <v>#REF!</v>
      </c>
    </row>
    <row r="25" spans="1:41" ht="18" customHeight="1">
      <c r="A25" s="1331" t="s">
        <v>109</v>
      </c>
      <c r="B25" s="1330" t="s">
        <v>110</v>
      </c>
      <c r="C25" s="1330"/>
      <c r="D25" s="1330"/>
      <c r="E25" s="511" t="s">
        <v>95</v>
      </c>
      <c r="F25" s="511" t="s">
        <v>95</v>
      </c>
      <c r="G25" s="511" t="s">
        <v>95</v>
      </c>
      <c r="H25" s="511" t="s">
        <v>95</v>
      </c>
      <c r="I25" s="512" t="s">
        <v>84</v>
      </c>
      <c r="J25" s="493" t="s">
        <v>84</v>
      </c>
      <c r="K25" s="515" t="s">
        <v>94</v>
      </c>
      <c r="L25" s="509" t="s">
        <v>94</v>
      </c>
      <c r="M25" s="509" t="s">
        <v>94</v>
      </c>
      <c r="N25" s="509" t="s">
        <v>94</v>
      </c>
      <c r="O25" s="509" t="s">
        <v>94</v>
      </c>
      <c r="P25" s="512" t="s">
        <v>84</v>
      </c>
      <c r="Q25" s="507" t="s">
        <v>94</v>
      </c>
      <c r="R25" s="508" t="s">
        <v>94</v>
      </c>
      <c r="S25" s="509" t="s">
        <v>94</v>
      </c>
      <c r="T25" s="509" t="s">
        <v>94</v>
      </c>
      <c r="U25" s="509" t="s">
        <v>94</v>
      </c>
      <c r="V25" s="509" t="s">
        <v>94</v>
      </c>
      <c r="W25" s="512" t="s">
        <v>84</v>
      </c>
      <c r="X25" s="514" t="s">
        <v>94</v>
      </c>
      <c r="Y25" s="515" t="s">
        <v>94</v>
      </c>
      <c r="Z25" s="509" t="s">
        <v>94</v>
      </c>
      <c r="AA25" s="509" t="s">
        <v>94</v>
      </c>
      <c r="AB25" s="509" t="s">
        <v>94</v>
      </c>
      <c r="AC25" s="509" t="s">
        <v>94</v>
      </c>
      <c r="AD25" s="512" t="s">
        <v>84</v>
      </c>
      <c r="AE25" s="477" t="s">
        <v>84</v>
      </c>
      <c r="AF25" s="510" t="s">
        <v>95</v>
      </c>
      <c r="AG25" s="511" t="s">
        <v>95</v>
      </c>
      <c r="AH25" s="536" t="s">
        <v>95</v>
      </c>
      <c r="AI25" s="137" t="s">
        <v>95</v>
      </c>
      <c r="AJ25" s="137" t="s">
        <v>38</v>
      </c>
      <c r="AK25" s="138" t="s">
        <v>84</v>
      </c>
      <c r="AL25" s="137" t="s">
        <v>81</v>
      </c>
      <c r="AM25" s="137" t="s">
        <v>88</v>
      </c>
      <c r="AN25" s="137" t="s">
        <v>96</v>
      </c>
      <c r="AO25" s="139" t="s">
        <v>97</v>
      </c>
    </row>
    <row r="26" spans="1:41" ht="18" customHeight="1">
      <c r="A26" s="1331"/>
      <c r="B26" s="46" t="s">
        <v>111</v>
      </c>
      <c r="C26" s="27" t="s">
        <v>16</v>
      </c>
      <c r="D26" s="21">
        <v>265691</v>
      </c>
      <c r="E26" s="431"/>
      <c r="F26" s="431"/>
      <c r="G26" s="431"/>
      <c r="H26" s="431"/>
      <c r="I26" s="431"/>
      <c r="J26" s="443"/>
      <c r="K26" s="441"/>
      <c r="L26" s="431"/>
      <c r="M26" s="431"/>
      <c r="N26" s="431"/>
      <c r="O26" s="431"/>
      <c r="P26" s="431"/>
      <c r="Q26" s="436"/>
      <c r="R26" s="435"/>
      <c r="S26" s="431"/>
      <c r="T26" s="431"/>
      <c r="U26" s="431"/>
      <c r="V26" s="431"/>
      <c r="W26" s="431"/>
      <c r="X26" s="443"/>
      <c r="Y26" s="441"/>
      <c r="Z26" s="431"/>
      <c r="AA26" s="431"/>
      <c r="AB26" s="431"/>
      <c r="AC26" s="431"/>
      <c r="AD26" s="431"/>
      <c r="AE26" s="436"/>
      <c r="AF26" s="435"/>
      <c r="AG26" s="431"/>
      <c r="AH26" s="436"/>
      <c r="AI26" s="89" cm="1">
        <f t="array" ref="AI26">SUMPRODUCT(($E$25:$AH$25="HR")*(E26:AH26=""))+SUMPRODUCT((E26:AH26="HR")*1)</f>
        <v>7</v>
      </c>
      <c r="AJ26" s="89" cm="1">
        <f t="array" ref="AJ26">SUMPRODUCT(($E$25:$AH$25="N0")*(E26:AH26=""))+SUMPRODUCT((E26:AH26="N")*1)</f>
        <v>17</v>
      </c>
      <c r="AK26" s="88" cm="1">
        <f t="array" ref="AK26">SUMPRODUCT(($E$25:$AH$25="RD")*(E26:AH26=""))+SUMPRODUCT((E26:AH26="RD")*1)</f>
        <v>6</v>
      </c>
      <c r="AL26" s="89" cm="1">
        <f t="array" ref="AL26">SUMPRODUCT((E26:AH26="AL")*1)</f>
        <v>0</v>
      </c>
      <c r="AM26" s="89" cm="1">
        <f t="array" ref="AM26">SUMPRODUCT((E26:AH26="SH")*1)</f>
        <v>0</v>
      </c>
      <c r="AN26" s="89" cm="1">
        <f t="array" ref="AN26">SUMPRODUCT((E26:AH26="SL")*1)</f>
        <v>0</v>
      </c>
      <c r="AO26" s="140" t="e">
        <f>#REF!-AI26-AJ26-AK26-AL26-AM26-AN26</f>
        <v>#REF!</v>
      </c>
    </row>
    <row r="27" spans="1:41" ht="18" customHeight="1">
      <c r="A27" s="1331"/>
      <c r="B27" s="125" t="s">
        <v>113</v>
      </c>
      <c r="C27" s="16" t="s">
        <v>16</v>
      </c>
      <c r="D27" s="22">
        <v>422401</v>
      </c>
      <c r="E27" s="413"/>
      <c r="F27" s="413"/>
      <c r="G27" s="413" t="s">
        <v>115</v>
      </c>
      <c r="H27" s="413"/>
      <c r="I27" s="413"/>
      <c r="J27" s="444"/>
      <c r="K27" s="416"/>
      <c r="L27" s="413"/>
      <c r="M27" s="413"/>
      <c r="N27" s="413"/>
      <c r="O27" s="413"/>
      <c r="P27" s="413"/>
      <c r="Q27" s="417"/>
      <c r="R27" s="421"/>
      <c r="S27" s="413"/>
      <c r="T27" s="413"/>
      <c r="U27" s="413"/>
      <c r="V27" s="413"/>
      <c r="W27" s="413"/>
      <c r="X27" s="444"/>
      <c r="Y27" s="416"/>
      <c r="Z27" s="413"/>
      <c r="AA27" s="413"/>
      <c r="AB27" s="413"/>
      <c r="AC27" s="413"/>
      <c r="AD27" s="413"/>
      <c r="AE27" s="417"/>
      <c r="AF27" s="421"/>
      <c r="AG27" s="413"/>
      <c r="AH27" s="417"/>
      <c r="AI27" s="89" cm="1">
        <f t="array" ref="AI27">SUMPRODUCT(($E$25:$AH$25="HR")*(E27:AH27=""))+SUMPRODUCT((E27:AH27="HR")*1)</f>
        <v>6</v>
      </c>
      <c r="AJ27" s="89" cm="1">
        <f t="array" ref="AJ27">SUMPRODUCT(($E$25:$AH$25="N0")*(E27:AH27=""))+SUMPRODUCT((E27:AH27="N")*1)</f>
        <v>17</v>
      </c>
      <c r="AK27" s="88" cm="1">
        <f t="array" ref="AK27">SUMPRODUCT(($E$25:$AH$25="RD")*(E27:AH27=""))+SUMPRODUCT((E27:AH27="RD")*1)</f>
        <v>6</v>
      </c>
      <c r="AL27" s="89" cm="1">
        <f t="array" ref="AL27">SUMPRODUCT((E27:AH27="AL")*1)</f>
        <v>0</v>
      </c>
      <c r="AM27" s="89" cm="1">
        <f t="array" ref="AM27">SUMPRODUCT((E27:AH27="SH")*1)</f>
        <v>0</v>
      </c>
      <c r="AN27" s="89" cm="1">
        <f t="array" ref="AN27">SUMPRODUCT((E27:AH27="SL")*1)</f>
        <v>0</v>
      </c>
      <c r="AO27" s="140" t="e">
        <f>#REF!-AI27-AJ27-AK27-AL27-AM27-AN27</f>
        <v>#REF!</v>
      </c>
    </row>
    <row r="28" spans="1:41" ht="18" customHeight="1">
      <c r="A28" s="1331"/>
      <c r="B28" s="102" t="s">
        <v>29</v>
      </c>
      <c r="C28" s="16" t="s">
        <v>27</v>
      </c>
      <c r="D28" s="22">
        <v>679365</v>
      </c>
      <c r="E28" s="413" t="s">
        <v>376</v>
      </c>
      <c r="F28" s="413"/>
      <c r="G28" s="413" t="s">
        <v>115</v>
      </c>
      <c r="H28" s="413"/>
      <c r="I28" s="413"/>
      <c r="J28" s="444"/>
      <c r="K28" s="1047" t="s">
        <v>88</v>
      </c>
      <c r="L28" s="1048" t="s">
        <v>88</v>
      </c>
      <c r="M28" s="1048"/>
      <c r="N28" s="413"/>
      <c r="O28" s="413"/>
      <c r="P28" s="413"/>
      <c r="Q28" s="417"/>
      <c r="R28" s="421"/>
      <c r="S28" s="413"/>
      <c r="T28" s="413"/>
      <c r="U28" s="413"/>
      <c r="V28" s="413"/>
      <c r="W28" s="413"/>
      <c r="X28" s="444"/>
      <c r="Y28" s="416"/>
      <c r="Z28" s="413"/>
      <c r="AA28" s="413"/>
      <c r="AB28" s="413"/>
      <c r="AC28" s="1048"/>
      <c r="AD28" s="413"/>
      <c r="AE28" s="417"/>
      <c r="AF28" s="1049" t="s">
        <v>88</v>
      </c>
      <c r="AG28" s="413"/>
      <c r="AH28" s="417"/>
      <c r="AI28" s="89" cm="1">
        <f t="array" ref="AI28">SUMPRODUCT(($E$25:$AH$25="HR")*(E28:AH28=""))+SUMPRODUCT((E28:AH28="HR")*1)</f>
        <v>4</v>
      </c>
      <c r="AJ28" s="89" cm="1">
        <f t="array" ref="AJ28">SUMPRODUCT(($E$25:$AH$25="N0")*(E28:AH28=""))+SUMPRODUCT((E28:AH28="N")*1)</f>
        <v>15</v>
      </c>
      <c r="AK28" s="88" cm="1">
        <f t="array" ref="AK28">SUMPRODUCT(($E$25:$AH$25="RD")*(E28:AH28=""))+SUMPRODUCT((E28:AH28="RD")*1)</f>
        <v>6</v>
      </c>
      <c r="AL28" s="89" cm="1">
        <f t="array" ref="AL28">SUMPRODUCT((E28:AH28="AL")*1)</f>
        <v>0</v>
      </c>
      <c r="AM28" s="89" cm="1">
        <f t="array" ref="AM28">SUMPRODUCT((E28:AH28="SH")*1)</f>
        <v>3</v>
      </c>
      <c r="AN28" s="89" cm="1">
        <f t="array" ref="AN28">SUMPRODUCT((E28:AH28="SL")*1)</f>
        <v>0</v>
      </c>
      <c r="AO28" s="140" t="e">
        <f>#REF!-AI28-AJ28-AK28-AL28-AM28-AN28</f>
        <v>#REF!</v>
      </c>
    </row>
    <row r="29" spans="1:41" ht="18" customHeight="1">
      <c r="A29" s="1331"/>
      <c r="B29" s="97" t="s">
        <v>271</v>
      </c>
      <c r="C29" s="16" t="s">
        <v>27</v>
      </c>
      <c r="D29" s="22">
        <v>680682</v>
      </c>
      <c r="E29" s="413" t="s">
        <v>94</v>
      </c>
      <c r="F29" s="431" t="s">
        <v>94</v>
      </c>
      <c r="G29" s="431" t="s">
        <v>94</v>
      </c>
      <c r="H29" s="431" t="s">
        <v>94</v>
      </c>
      <c r="I29" s="413"/>
      <c r="J29" s="444"/>
      <c r="K29" s="416"/>
      <c r="L29" s="413"/>
      <c r="M29" s="413"/>
      <c r="N29" s="413"/>
      <c r="O29" s="413"/>
      <c r="P29" s="413"/>
      <c r="Q29" s="417"/>
      <c r="R29" s="421"/>
      <c r="S29" s="413"/>
      <c r="T29" s="413"/>
      <c r="U29" s="413"/>
      <c r="V29" s="413"/>
      <c r="W29" s="413"/>
      <c r="X29" s="444"/>
      <c r="Y29" s="416"/>
      <c r="Z29" s="413"/>
      <c r="AA29" s="413"/>
      <c r="AB29" s="413"/>
      <c r="AC29" s="413"/>
      <c r="AD29" s="413"/>
      <c r="AE29" s="417"/>
      <c r="AF29" s="421" t="s">
        <v>94</v>
      </c>
      <c r="AG29" s="413" t="s">
        <v>94</v>
      </c>
      <c r="AH29" s="417" t="s">
        <v>94</v>
      </c>
      <c r="AI29" s="89" cm="1">
        <f t="array" ref="AI29">SUMPRODUCT(($E$25:$AH$25="HR")*(E29:AH29=""))+SUMPRODUCT((E29:AH29="HR")*1)</f>
        <v>0</v>
      </c>
      <c r="AJ29" s="89" cm="1">
        <f t="array" ref="AJ29">SUMPRODUCT(($E$25:$AH$25="N0")*(E29:AH29=""))+SUMPRODUCT((E29:AH29="N")*1)</f>
        <v>17</v>
      </c>
      <c r="AK29" s="88" cm="1">
        <f t="array" ref="AK29">SUMPRODUCT(($E$25:$AH$25="RD")*(E29:AH29=""))+SUMPRODUCT((E29:AH29="RD")*1)</f>
        <v>6</v>
      </c>
      <c r="AL29" s="89" cm="1">
        <f t="array" ref="AL29">SUMPRODUCT((E29:AH29="AL")*1)</f>
        <v>0</v>
      </c>
      <c r="AM29" s="89" cm="1">
        <f t="array" ref="AM29">SUMPRODUCT((E29:AH29="SH")*1)</f>
        <v>0</v>
      </c>
      <c r="AN29" s="89" cm="1">
        <f t="array" ref="AN29">SUMPRODUCT((E29:AH29="SL")*1)</f>
        <v>0</v>
      </c>
      <c r="AO29" s="140" t="e">
        <f>#REF!-AI29-AJ29-AK29-AL29-AM29-AN29</f>
        <v>#REF!</v>
      </c>
    </row>
    <row r="30" spans="1:41" ht="18" customHeight="1">
      <c r="A30" s="1331"/>
      <c r="B30" s="605" t="s">
        <v>51</v>
      </c>
      <c r="C30" s="111" t="s">
        <v>32</v>
      </c>
      <c r="D30" s="600">
        <v>685750</v>
      </c>
      <c r="E30" s="413" t="s">
        <v>376</v>
      </c>
      <c r="F30" s="1197"/>
      <c r="G30" s="1197" t="s">
        <v>145</v>
      </c>
      <c r="H30" s="1197" t="s">
        <v>122</v>
      </c>
      <c r="I30" s="1075"/>
      <c r="J30" s="1078"/>
      <c r="K30" s="1074"/>
      <c r="L30" s="1075"/>
      <c r="M30" s="1075"/>
      <c r="N30" s="1075"/>
      <c r="O30" s="1075"/>
      <c r="P30" s="1075"/>
      <c r="Q30" s="1076"/>
      <c r="R30" s="1077"/>
      <c r="S30" s="1075"/>
      <c r="T30" s="1075"/>
      <c r="U30" s="1075"/>
      <c r="V30" s="1075"/>
      <c r="W30" s="1075"/>
      <c r="X30" s="1078"/>
      <c r="Y30" s="1074"/>
      <c r="Z30" s="1075"/>
      <c r="AA30" s="1075"/>
      <c r="AB30" s="1075"/>
      <c r="AC30" s="1075"/>
      <c r="AD30" s="1075"/>
      <c r="AE30" s="1076"/>
      <c r="AF30" s="1077"/>
      <c r="AG30" s="1075"/>
      <c r="AH30" s="1076"/>
      <c r="AI30" s="89"/>
      <c r="AJ30" s="89"/>
      <c r="AK30" s="88"/>
      <c r="AL30" s="89"/>
      <c r="AM30" s="89"/>
      <c r="AN30" s="89"/>
      <c r="AO30" s="140"/>
    </row>
    <row r="31" spans="1:41" ht="18" customHeight="1">
      <c r="A31" s="1331"/>
      <c r="B31" s="149" t="s">
        <v>116</v>
      </c>
      <c r="C31" s="122" t="s">
        <v>27</v>
      </c>
      <c r="D31" s="158">
        <v>682089</v>
      </c>
      <c r="E31" s="413"/>
      <c r="F31" s="1075"/>
      <c r="G31" s="1075"/>
      <c r="H31" s="1075"/>
      <c r="I31" s="1075"/>
      <c r="J31" s="1078"/>
      <c r="K31" s="1074"/>
      <c r="L31" s="1075"/>
      <c r="M31" s="1075"/>
      <c r="N31" s="1075"/>
      <c r="O31" s="1075"/>
      <c r="P31" s="1075"/>
      <c r="Q31" s="1076"/>
      <c r="R31" s="1077"/>
      <c r="S31" s="1075"/>
      <c r="T31" s="1075"/>
      <c r="U31" s="1075"/>
      <c r="V31" s="1075"/>
      <c r="W31" s="1075"/>
      <c r="X31" s="1078"/>
      <c r="Y31" s="1074"/>
      <c r="Z31" s="1075"/>
      <c r="AA31" s="1075"/>
      <c r="AB31" s="1075"/>
      <c r="AC31" s="1075"/>
      <c r="AD31" s="1075"/>
      <c r="AE31" s="1076"/>
      <c r="AF31" s="1077"/>
      <c r="AG31" s="1075"/>
      <c r="AH31" s="1076"/>
      <c r="AI31" s="89"/>
      <c r="AJ31" s="89"/>
      <c r="AK31" s="88"/>
      <c r="AL31" s="89"/>
      <c r="AM31" s="89"/>
      <c r="AN31" s="89"/>
      <c r="AO31" s="140"/>
    </row>
    <row r="32" spans="1:41" ht="18" customHeight="1">
      <c r="A32" s="1333"/>
      <c r="B32" s="132" t="s">
        <v>52</v>
      </c>
      <c r="C32" s="20" t="s">
        <v>27</v>
      </c>
      <c r="D32" s="23">
        <v>678954</v>
      </c>
      <c r="E32" s="413" t="s">
        <v>376</v>
      </c>
      <c r="F32" s="518"/>
      <c r="G32" s="518"/>
      <c r="H32" s="518"/>
      <c r="I32" s="518"/>
      <c r="J32" s="520"/>
      <c r="K32" s="516"/>
      <c r="L32" s="518"/>
      <c r="M32" s="518"/>
      <c r="N32" s="518"/>
      <c r="O32" s="518"/>
      <c r="P32" s="518"/>
      <c r="Q32" s="517"/>
      <c r="R32" s="519"/>
      <c r="S32" s="518"/>
      <c r="T32" s="518"/>
      <c r="U32" s="518"/>
      <c r="V32" s="518"/>
      <c r="W32" s="518"/>
      <c r="X32" s="520"/>
      <c r="Y32" s="1211" t="s">
        <v>81</v>
      </c>
      <c r="Z32" s="518"/>
      <c r="AA32" s="518"/>
      <c r="AB32" s="518"/>
      <c r="AC32" s="518"/>
      <c r="AD32" s="518"/>
      <c r="AE32" s="517"/>
      <c r="AF32" s="519"/>
      <c r="AG32" s="518"/>
      <c r="AH32" s="517"/>
      <c r="AI32" s="89" cm="1">
        <f t="array" ref="AI32">SUMPRODUCT(($E$25:$AH$25="HR")*(E32:AH32=""))+SUMPRODUCT((E32:AH32="HR")*1)</f>
        <v>6</v>
      </c>
      <c r="AJ32" s="89" cm="1">
        <f t="array" ref="AJ32">SUMPRODUCT(($E$25:$AH$25="N0")*(E32:AH32=""))+SUMPRODUCT((E32:AH32="N")*1)</f>
        <v>16</v>
      </c>
      <c r="AK32" s="88" cm="1">
        <f t="array" ref="AK32">SUMPRODUCT(($E$25:$AH$25="RD")*(E32:AH32=""))+SUMPRODUCT((E32:AH32="RD")*1)</f>
        <v>6</v>
      </c>
      <c r="AL32" s="89" cm="1">
        <f t="array" ref="AL32">SUMPRODUCT((E32:AH32="AL")*1)</f>
        <v>1</v>
      </c>
      <c r="AM32" s="89" cm="1">
        <f t="array" ref="AM32">SUMPRODUCT((E32:AH32="SH")*1)</f>
        <v>0</v>
      </c>
      <c r="AN32" s="89" cm="1">
        <f t="array" ref="AN32">SUMPRODUCT((E32:AH32="SL")*1)</f>
        <v>0</v>
      </c>
      <c r="AO32" s="140" t="e">
        <f>#REF!-AI32-AJ32-AK32-AL32-AM32-AN32</f>
        <v>#REF!</v>
      </c>
    </row>
    <row r="33" spans="1:41" ht="18" customHeight="1">
      <c r="A33" s="1316" t="s">
        <v>117</v>
      </c>
      <c r="B33" s="1332" t="s">
        <v>110</v>
      </c>
      <c r="C33" s="1332"/>
      <c r="D33" s="1330"/>
      <c r="E33" s="509" t="s">
        <v>94</v>
      </c>
      <c r="F33" s="509" t="s">
        <v>94</v>
      </c>
      <c r="G33" s="509" t="s">
        <v>94</v>
      </c>
      <c r="H33" s="509" t="s">
        <v>94</v>
      </c>
      <c r="I33" s="512" t="s">
        <v>84</v>
      </c>
      <c r="J33" s="493" t="s">
        <v>84</v>
      </c>
      <c r="K33" s="1250" t="s">
        <v>95</v>
      </c>
      <c r="L33" s="1251" t="s">
        <v>95</v>
      </c>
      <c r="M33" s="1251" t="s">
        <v>95</v>
      </c>
      <c r="N33" s="1251" t="s">
        <v>95</v>
      </c>
      <c r="O33" s="1251" t="s">
        <v>95</v>
      </c>
      <c r="P33" s="1252" t="s">
        <v>84</v>
      </c>
      <c r="Q33" s="1253" t="s">
        <v>84</v>
      </c>
      <c r="R33" s="508" t="s">
        <v>94</v>
      </c>
      <c r="S33" s="509" t="s">
        <v>94</v>
      </c>
      <c r="T33" s="509" t="s">
        <v>94</v>
      </c>
      <c r="U33" s="509" t="s">
        <v>94</v>
      </c>
      <c r="V33" s="509" t="s">
        <v>94</v>
      </c>
      <c r="W33" s="512" t="s">
        <v>84</v>
      </c>
      <c r="X33" s="514" t="s">
        <v>94</v>
      </c>
      <c r="Y33" s="515" t="s">
        <v>94</v>
      </c>
      <c r="Z33" s="509" t="s">
        <v>94</v>
      </c>
      <c r="AA33" s="509" t="s">
        <v>94</v>
      </c>
      <c r="AB33" s="509" t="s">
        <v>94</v>
      </c>
      <c r="AC33" s="509" t="s">
        <v>94</v>
      </c>
      <c r="AD33" s="512" t="s">
        <v>84</v>
      </c>
      <c r="AE33" s="507" t="s">
        <v>94</v>
      </c>
      <c r="AF33" s="508" t="s">
        <v>94</v>
      </c>
      <c r="AG33" s="509" t="s">
        <v>94</v>
      </c>
      <c r="AH33" s="507" t="s">
        <v>94</v>
      </c>
      <c r="AI33" s="137" t="s">
        <v>95</v>
      </c>
      <c r="AJ33" s="137" t="s">
        <v>38</v>
      </c>
      <c r="AK33" s="138" t="s">
        <v>84</v>
      </c>
      <c r="AL33" s="137" t="s">
        <v>81</v>
      </c>
      <c r="AM33" s="137" t="s">
        <v>88</v>
      </c>
      <c r="AN33" s="137" t="s">
        <v>96</v>
      </c>
      <c r="AO33" s="139" t="s">
        <v>97</v>
      </c>
    </row>
    <row r="34" spans="1:41" ht="18" customHeight="1">
      <c r="A34" s="1331"/>
      <c r="B34" s="46" t="s">
        <v>17</v>
      </c>
      <c r="C34" s="27" t="s">
        <v>16</v>
      </c>
      <c r="D34" s="21">
        <v>321524</v>
      </c>
      <c r="E34" s="431"/>
      <c r="F34" s="431"/>
      <c r="G34" s="1044" t="s">
        <v>81</v>
      </c>
      <c r="H34" s="1044" t="s">
        <v>81</v>
      </c>
      <c r="I34" s="431"/>
      <c r="J34" s="443"/>
      <c r="K34" s="1239" t="s">
        <v>377</v>
      </c>
      <c r="L34" s="1240" t="s">
        <v>115</v>
      </c>
      <c r="M34" s="1240"/>
      <c r="N34" s="1240"/>
      <c r="O34" s="1240"/>
      <c r="P34" s="1240"/>
      <c r="Q34" s="1241"/>
      <c r="R34" s="435"/>
      <c r="S34" s="431"/>
      <c r="T34" s="431"/>
      <c r="U34" s="431"/>
      <c r="V34" s="431"/>
      <c r="W34" s="431"/>
      <c r="X34" s="443"/>
      <c r="Y34" s="441"/>
      <c r="Z34" s="431"/>
      <c r="AA34" s="431"/>
      <c r="AB34" s="431"/>
      <c r="AC34" s="431"/>
      <c r="AD34" s="431"/>
      <c r="AE34" s="436"/>
      <c r="AF34" s="435"/>
      <c r="AG34" s="431"/>
      <c r="AH34" s="436"/>
      <c r="AI34" s="89" cm="1">
        <f t="array" ref="AI34">SUMPRODUCT(($E$33:$AH$33="HR")*(E34:AH34=""))+SUMPRODUCT((E34:AH34="HR")*1)</f>
        <v>3</v>
      </c>
      <c r="AJ34" s="89" cm="1">
        <f t="array" ref="AJ34">SUMPRODUCT(($E$33:$AH$33="N0")*(E34:AH34=""))+SUMPRODUCT((E34:AH34="N")*1)</f>
        <v>17</v>
      </c>
      <c r="AK34" s="88" cm="1">
        <f t="array" ref="AK34">SUMPRODUCT(($E$33:$AH$33="RD")*(E34:AH34=""))+SUMPRODUCT((E34:AH34="RD")*1)</f>
        <v>6</v>
      </c>
      <c r="AL34" s="89" cm="1">
        <f t="array" ref="AL34">SUMPRODUCT((E34:AH34="AL")*1)</f>
        <v>2</v>
      </c>
      <c r="AM34" s="89" cm="1">
        <f t="array" ref="AM34">SUMPRODUCT((E34:AH34="SH")*1)</f>
        <v>0</v>
      </c>
      <c r="AN34" s="89" cm="1">
        <f t="array" ref="AN34">SUMPRODUCT((E34:AH34="SL")*1)</f>
        <v>0</v>
      </c>
      <c r="AO34" s="140" t="e">
        <f>#REF!-AI34-AJ34-AK34-AL34-AM34-AN34</f>
        <v>#REF!</v>
      </c>
    </row>
    <row r="35" spans="1:41" ht="18" customHeight="1">
      <c r="A35" s="1331"/>
      <c r="B35" s="48" t="s">
        <v>28</v>
      </c>
      <c r="C35" s="16" t="s">
        <v>16</v>
      </c>
      <c r="D35" s="22">
        <v>427616</v>
      </c>
      <c r="E35" s="413"/>
      <c r="F35" s="1048" t="s">
        <v>88</v>
      </c>
      <c r="G35" s="1048" t="s">
        <v>81</v>
      </c>
      <c r="H35" s="1048" t="s">
        <v>81</v>
      </c>
      <c r="I35" s="1048" t="s">
        <v>84</v>
      </c>
      <c r="J35" s="1046" t="s">
        <v>84</v>
      </c>
      <c r="K35" s="1242" t="s">
        <v>81</v>
      </c>
      <c r="L35" s="1048" t="s">
        <v>81</v>
      </c>
      <c r="M35" s="1048" t="s">
        <v>81</v>
      </c>
      <c r="N35" s="1048" t="s">
        <v>81</v>
      </c>
      <c r="O35" s="1048" t="s">
        <v>81</v>
      </c>
      <c r="P35" s="413"/>
      <c r="Q35" s="1243"/>
      <c r="R35" s="421"/>
      <c r="S35" s="413"/>
      <c r="T35" s="413"/>
      <c r="U35" s="413"/>
      <c r="V35" s="413"/>
      <c r="W35" s="413"/>
      <c r="X35" s="444"/>
      <c r="Y35" s="416"/>
      <c r="Z35" s="413"/>
      <c r="AA35" s="413"/>
      <c r="AB35" s="413"/>
      <c r="AC35" s="413"/>
      <c r="AD35" s="413"/>
      <c r="AE35" s="417"/>
      <c r="AF35" s="421"/>
      <c r="AG35" s="413"/>
      <c r="AH35" s="417"/>
      <c r="AI35" s="89" cm="1">
        <f t="array" ref="AI35">SUMPRODUCT(($E$33:$AH$33="HR")*(E35:AH35=""))+SUMPRODUCT((E35:AH35="HR")*1)</f>
        <v>0</v>
      </c>
      <c r="AJ35" s="89" cm="1">
        <f t="array" ref="AJ35">SUMPRODUCT(($E$33:$AH$33="N0")*(E35:AH35=""))+SUMPRODUCT((E35:AH35="N")*1)</f>
        <v>16</v>
      </c>
      <c r="AK35" s="88" cm="1">
        <f t="array" ref="AK35">SUMPRODUCT(($E$33:$AH$33="RD")*(E35:AH35=""))+SUMPRODUCT((E35:AH35="RD")*1)</f>
        <v>6</v>
      </c>
      <c r="AL35" s="89" cm="1">
        <f t="array" ref="AL35">SUMPRODUCT((E35:AH35="AL")*1)</f>
        <v>7</v>
      </c>
      <c r="AM35" s="89" cm="1">
        <f t="array" ref="AM35">SUMPRODUCT((E35:AH35="SH")*1)</f>
        <v>1</v>
      </c>
      <c r="AN35" s="89" cm="1">
        <f t="array" ref="AN35">SUMPRODUCT((E35:AH35="SL")*1)</f>
        <v>0</v>
      </c>
      <c r="AO35" s="140" t="e">
        <f>#REF!-AI35-AJ35-AK35-AL35-AM35-AN35</f>
        <v>#REF!</v>
      </c>
    </row>
    <row r="36" spans="1:41" ht="18" customHeight="1">
      <c r="A36" s="1331"/>
      <c r="B36" s="50" t="s">
        <v>273</v>
      </c>
      <c r="C36" s="18" t="s">
        <v>27</v>
      </c>
      <c r="D36" s="51">
        <v>672075</v>
      </c>
      <c r="E36" s="413"/>
      <c r="F36" s="413"/>
      <c r="G36" s="413"/>
      <c r="H36" s="413"/>
      <c r="I36" s="413"/>
      <c r="J36" s="444"/>
      <c r="K36" s="1244" t="s">
        <v>374</v>
      </c>
      <c r="L36" s="431" t="s">
        <v>94</v>
      </c>
      <c r="M36" s="431" t="s">
        <v>94</v>
      </c>
      <c r="N36" s="431" t="s">
        <v>94</v>
      </c>
      <c r="O36" s="431" t="s">
        <v>94</v>
      </c>
      <c r="P36" s="413"/>
      <c r="Q36" s="1243"/>
      <c r="R36" s="421"/>
      <c r="S36" s="413"/>
      <c r="T36" s="413"/>
      <c r="U36" s="413"/>
      <c r="V36" s="413"/>
      <c r="W36" s="413"/>
      <c r="X36" s="444"/>
      <c r="Y36" s="416"/>
      <c r="Z36" s="413"/>
      <c r="AA36" s="413"/>
      <c r="AB36" s="413"/>
      <c r="AC36" s="413"/>
      <c r="AD36" s="413"/>
      <c r="AE36" s="417"/>
      <c r="AF36" s="421"/>
      <c r="AG36" s="413"/>
      <c r="AH36" s="417"/>
      <c r="AI36" s="89" cm="1">
        <f t="array" ref="AI36">SUMPRODUCT(($E$33:$AH$33="HR")*(E36:AH36=""))+SUMPRODUCT((E36:AH36="HR")*1)</f>
        <v>0</v>
      </c>
      <c r="AJ36" s="89" cm="1">
        <f t="array" ref="AJ36">SUMPRODUCT(($E$33:$AH$33="N0")*(E36:AH36=""))+SUMPRODUCT((E36:AH36="N")*1)</f>
        <v>19</v>
      </c>
      <c r="AK36" s="88" cm="1">
        <f t="array" ref="AK36">SUMPRODUCT(($E$33:$AH$33="RD")*(E36:AH36=""))+SUMPRODUCT((E36:AH36="RD")*1)</f>
        <v>6</v>
      </c>
      <c r="AL36" s="89" cm="1">
        <f t="array" ref="AL36">SUMPRODUCT((E36:AH36="AL")*1)</f>
        <v>0</v>
      </c>
      <c r="AM36" s="89" cm="1">
        <f t="array" ref="AM36">SUMPRODUCT((E36:AH36="SH")*1)</f>
        <v>0</v>
      </c>
      <c r="AN36" s="89" cm="1">
        <f t="array" ref="AN36">SUMPRODUCT((E36:AH36="SL")*1)</f>
        <v>0</v>
      </c>
      <c r="AO36" s="140" t="e">
        <f>#REF!-AI36-AJ36-AK36-AL36-AM36-AN36</f>
        <v>#REF!</v>
      </c>
    </row>
    <row r="37" spans="1:41" ht="18" customHeight="1">
      <c r="A37" s="1331"/>
      <c r="B37" s="47" t="s">
        <v>35</v>
      </c>
      <c r="C37" s="16" t="s">
        <v>27</v>
      </c>
      <c r="D37" s="22">
        <v>655180</v>
      </c>
      <c r="E37" s="413"/>
      <c r="F37" s="413"/>
      <c r="G37" s="413"/>
      <c r="H37" s="413"/>
      <c r="I37" s="413"/>
      <c r="J37" s="444"/>
      <c r="K37" s="1263" t="s">
        <v>378</v>
      </c>
      <c r="L37" s="1048" t="s">
        <v>81</v>
      </c>
      <c r="M37" s="1048" t="s">
        <v>81</v>
      </c>
      <c r="N37" s="1048" t="s">
        <v>81</v>
      </c>
      <c r="O37" s="1048" t="s">
        <v>81</v>
      </c>
      <c r="P37" s="413"/>
      <c r="Q37" s="1243"/>
      <c r="R37" s="421"/>
      <c r="S37" s="413"/>
      <c r="T37" s="413"/>
      <c r="U37" s="413"/>
      <c r="V37" s="413"/>
      <c r="W37" s="413"/>
      <c r="X37" s="444"/>
      <c r="Y37" s="416"/>
      <c r="Z37" s="413"/>
      <c r="AA37" s="413"/>
      <c r="AB37" s="413"/>
      <c r="AC37" s="413"/>
      <c r="AD37" s="413"/>
      <c r="AE37" s="417"/>
      <c r="AF37" s="421"/>
      <c r="AG37" s="413"/>
      <c r="AH37" s="417"/>
      <c r="AI37" s="89" cm="1">
        <f t="array" ref="AI37">SUMPRODUCT(($E$33:$AH$33="HR")*(E37:AH37=""))+SUMPRODUCT((E37:AH37="HR")*1)</f>
        <v>0</v>
      </c>
      <c r="AJ37" s="89" cm="1">
        <f t="array" ref="AJ37">SUMPRODUCT(($E$33:$AH$33="N0")*(E37:AH37=""))+SUMPRODUCT((E37:AH37="N")*1)</f>
        <v>19</v>
      </c>
      <c r="AK37" s="88" cm="1">
        <f t="array" ref="AK37">SUMPRODUCT(($E$33:$AH$33="RD")*(E37:AH37=""))+SUMPRODUCT((E37:AH37="RD")*1)</f>
        <v>6</v>
      </c>
      <c r="AL37" s="89" cm="1">
        <f t="array" ref="AL37">SUMPRODUCT((E37:AH37="AL")*1)</f>
        <v>4</v>
      </c>
      <c r="AM37" s="89" cm="1">
        <f t="array" ref="AM37">SUMPRODUCT((E37:AH37="SH")*1)</f>
        <v>0</v>
      </c>
      <c r="AN37" s="89" cm="1">
        <f t="array" ref="AN37">SUMPRODUCT((E37:AH37="SL")*1)</f>
        <v>0</v>
      </c>
      <c r="AO37" s="140" t="e">
        <f>#REF!-AI37-AJ37-AK37-AL37-AM37-AN37</f>
        <v>#REF!</v>
      </c>
    </row>
    <row r="38" spans="1:41" ht="18" customHeight="1">
      <c r="A38" s="1331"/>
      <c r="B38" s="97" t="s">
        <v>34</v>
      </c>
      <c r="C38" s="16" t="s">
        <v>27</v>
      </c>
      <c r="D38" s="22">
        <v>673277</v>
      </c>
      <c r="E38" s="413"/>
      <c r="F38" s="413"/>
      <c r="G38" s="413"/>
      <c r="H38" s="413"/>
      <c r="I38" s="413"/>
      <c r="J38" s="444"/>
      <c r="K38" s="1245"/>
      <c r="L38" s="413"/>
      <c r="M38" s="413"/>
      <c r="N38" s="413" t="s">
        <v>115</v>
      </c>
      <c r="O38" s="1048" t="s">
        <v>81</v>
      </c>
      <c r="P38" s="413"/>
      <c r="Q38" s="1243"/>
      <c r="R38" s="421"/>
      <c r="S38" s="413"/>
      <c r="T38" s="413"/>
      <c r="U38" s="413"/>
      <c r="V38" s="413"/>
      <c r="W38" s="413"/>
      <c r="X38" s="444"/>
      <c r="Y38" s="416"/>
      <c r="Z38" s="413"/>
      <c r="AA38" s="413"/>
      <c r="AB38" s="413"/>
      <c r="AC38" s="413"/>
      <c r="AD38" s="413"/>
      <c r="AE38" s="417"/>
      <c r="AF38" s="421"/>
      <c r="AG38" s="413"/>
      <c r="AH38" s="417"/>
      <c r="AI38" s="89" cm="1">
        <f t="array" ref="AI38">SUMPRODUCT(($E$33:$AH$33="HR")*(E38:AH38=""))+SUMPRODUCT((E38:AH38="HR")*1)</f>
        <v>3</v>
      </c>
      <c r="AJ38" s="89" cm="1">
        <f t="array" ref="AJ38">SUMPRODUCT(($E$33:$AH$33="N0")*(E38:AH38=""))+SUMPRODUCT((E38:AH38="N")*1)</f>
        <v>19</v>
      </c>
      <c r="AK38" s="88" cm="1">
        <f t="array" ref="AK38">SUMPRODUCT(($E$33:$AH$33="RD")*(E38:AH38=""))+SUMPRODUCT((E38:AH38="RD")*1)</f>
        <v>6</v>
      </c>
      <c r="AL38" s="89" cm="1">
        <f t="array" ref="AL38">SUMPRODUCT((E38:AH38="AL")*1)</f>
        <v>1</v>
      </c>
      <c r="AM38" s="89" cm="1">
        <f t="array" ref="AM38">SUMPRODUCT((E38:AH38="SH")*1)</f>
        <v>0</v>
      </c>
      <c r="AN38" s="89" cm="1">
        <f t="array" ref="AN38">SUMPRODUCT((E38:AH38="SL")*1)</f>
        <v>0</v>
      </c>
      <c r="AO38" s="140" t="e">
        <f>#REF!-AI38-AJ38-AK38-AL38-AM38-AN38</f>
        <v>#REF!</v>
      </c>
    </row>
    <row r="39" spans="1:41" ht="18" customHeight="1">
      <c r="A39" s="1331"/>
      <c r="B39" s="150" t="s">
        <v>118</v>
      </c>
      <c r="C39" s="133" t="s">
        <v>27</v>
      </c>
      <c r="D39" s="108">
        <v>674432</v>
      </c>
      <c r="E39" s="413"/>
      <c r="F39" s="413"/>
      <c r="G39" s="413"/>
      <c r="H39" s="413"/>
      <c r="I39" s="413"/>
      <c r="J39" s="444"/>
      <c r="K39" s="1245"/>
      <c r="L39" s="413"/>
      <c r="M39" s="413"/>
      <c r="N39" s="413"/>
      <c r="O39" s="413"/>
      <c r="P39" s="413"/>
      <c r="Q39" s="1243"/>
      <c r="R39" s="421"/>
      <c r="S39" s="413"/>
      <c r="T39" s="413"/>
      <c r="U39" s="413"/>
      <c r="V39" s="413"/>
      <c r="W39" s="413"/>
      <c r="X39" s="444"/>
      <c r="Y39" s="416"/>
      <c r="Z39" s="413"/>
      <c r="AA39" s="413"/>
      <c r="AB39" s="413"/>
      <c r="AC39" s="413"/>
      <c r="AD39" s="413"/>
      <c r="AE39" s="417"/>
      <c r="AF39" s="421"/>
      <c r="AG39" s="413"/>
      <c r="AH39" s="417"/>
      <c r="AI39" s="89" cm="1">
        <f t="array" ref="AI39">SUMPRODUCT(($E$33:$AH$33="HR")*(E39:AH39=""))+SUMPRODUCT((E39:AH39="HR")*1)</f>
        <v>5</v>
      </c>
      <c r="AJ39" s="89" cm="1">
        <f t="array" ref="AJ39">SUMPRODUCT(($E$33:$AH$33="N0")*(E39:AH39=""))+SUMPRODUCT((E39:AH39="N")*1)</f>
        <v>19</v>
      </c>
      <c r="AK39" s="88" cm="1">
        <f t="array" ref="AK39">SUMPRODUCT(($E$33:$AH$33="RD")*(E39:AH39=""))+SUMPRODUCT((E39:AH39="RD")*1)</f>
        <v>6</v>
      </c>
      <c r="AL39" s="89" cm="1">
        <f t="array" ref="AL39">SUMPRODUCT((E39:AH39="AL")*1)</f>
        <v>0</v>
      </c>
      <c r="AM39" s="89" cm="1">
        <f t="array" ref="AM39">SUMPRODUCT((E39:AH39="SH")*1)</f>
        <v>0</v>
      </c>
      <c r="AN39" s="89" cm="1">
        <f t="array" ref="AN39">SUMPRODUCT((E39:AH39="SL")*1)</f>
        <v>0</v>
      </c>
      <c r="AO39" s="140" t="e">
        <f>#REF!-AI39-AJ39-AK39-AL39-AM39-AN39</f>
        <v>#REF!</v>
      </c>
    </row>
    <row r="40" spans="1:41" ht="18" customHeight="1">
      <c r="A40" s="1316" t="s">
        <v>119</v>
      </c>
      <c r="B40" s="1334" t="s">
        <v>110</v>
      </c>
      <c r="C40" s="1332"/>
      <c r="D40" s="1332"/>
      <c r="E40" s="509" t="s">
        <v>94</v>
      </c>
      <c r="F40" s="509" t="s">
        <v>94</v>
      </c>
      <c r="G40" s="509" t="s">
        <v>94</v>
      </c>
      <c r="H40" s="509" t="s">
        <v>94</v>
      </c>
      <c r="I40" s="512" t="s">
        <v>84</v>
      </c>
      <c r="J40" s="514" t="s">
        <v>94</v>
      </c>
      <c r="K40" s="1246" t="s">
        <v>94</v>
      </c>
      <c r="L40" s="1247" t="s">
        <v>94</v>
      </c>
      <c r="M40" s="1247" t="s">
        <v>94</v>
      </c>
      <c r="N40" s="1247" t="s">
        <v>94</v>
      </c>
      <c r="O40" s="1247" t="s">
        <v>94</v>
      </c>
      <c r="P40" s="1248" t="s">
        <v>84</v>
      </c>
      <c r="Q40" s="1249" t="s">
        <v>84</v>
      </c>
      <c r="R40" s="510" t="s">
        <v>95</v>
      </c>
      <c r="S40" s="511" t="s">
        <v>95</v>
      </c>
      <c r="T40" s="511" t="s">
        <v>95</v>
      </c>
      <c r="U40" s="511" t="s">
        <v>95</v>
      </c>
      <c r="V40" s="511" t="s">
        <v>95</v>
      </c>
      <c r="W40" s="512" t="s">
        <v>84</v>
      </c>
      <c r="X40" s="493" t="s">
        <v>84</v>
      </c>
      <c r="Y40" s="515" t="s">
        <v>94</v>
      </c>
      <c r="Z40" s="509" t="s">
        <v>94</v>
      </c>
      <c r="AA40" s="509" t="s">
        <v>94</v>
      </c>
      <c r="AB40" s="509" t="s">
        <v>94</v>
      </c>
      <c r="AC40" s="509" t="s">
        <v>94</v>
      </c>
      <c r="AD40" s="512" t="s">
        <v>84</v>
      </c>
      <c r="AE40" s="507" t="s">
        <v>94</v>
      </c>
      <c r="AF40" s="508" t="s">
        <v>94</v>
      </c>
      <c r="AG40" s="509" t="s">
        <v>94</v>
      </c>
      <c r="AH40" s="507" t="s">
        <v>94</v>
      </c>
      <c r="AI40" s="137" t="s">
        <v>95</v>
      </c>
      <c r="AJ40" s="137" t="s">
        <v>38</v>
      </c>
      <c r="AK40" s="138" t="s">
        <v>84</v>
      </c>
      <c r="AL40" s="137" t="s">
        <v>81</v>
      </c>
      <c r="AM40" s="137" t="s">
        <v>88</v>
      </c>
      <c r="AN40" s="137" t="s">
        <v>96</v>
      </c>
      <c r="AO40" s="139" t="s">
        <v>97</v>
      </c>
    </row>
    <row r="41" spans="1:41" ht="18" customHeight="1">
      <c r="A41" s="1331"/>
      <c r="B41" s="44" t="s">
        <v>274</v>
      </c>
      <c r="C41" s="17" t="s">
        <v>16</v>
      </c>
      <c r="D41" s="21">
        <v>422380</v>
      </c>
      <c r="E41" s="431"/>
      <c r="F41" s="431"/>
      <c r="G41" s="431"/>
      <c r="H41" s="431"/>
      <c r="I41" s="431"/>
      <c r="J41" s="443"/>
      <c r="K41" s="441"/>
      <c r="L41" s="431"/>
      <c r="M41" s="431"/>
      <c r="N41" s="431"/>
      <c r="O41" s="431"/>
      <c r="P41" s="431"/>
      <c r="Q41" s="436"/>
      <c r="R41" s="441" t="s">
        <v>94</v>
      </c>
      <c r="S41" s="431" t="s">
        <v>94</v>
      </c>
      <c r="T41" s="431" t="s">
        <v>94</v>
      </c>
      <c r="U41" s="431" t="s">
        <v>94</v>
      </c>
      <c r="V41" s="431" t="s">
        <v>94</v>
      </c>
      <c r="W41" s="431"/>
      <c r="X41" s="443"/>
      <c r="Y41" s="441"/>
      <c r="Z41" s="431"/>
      <c r="AA41" s="431"/>
      <c r="AB41" s="431"/>
      <c r="AC41" s="431"/>
      <c r="AD41" s="431"/>
      <c r="AE41" s="436"/>
      <c r="AF41" s="435"/>
      <c r="AG41" s="431"/>
      <c r="AH41" s="436"/>
      <c r="AI41" s="89" cm="1">
        <f t="array" ref="AI41">SUMPRODUCT(($E$40:$AH$40="HR")*(E41:AH41=""))+SUMPRODUCT((E41:AH41="HR")*1)</f>
        <v>0</v>
      </c>
      <c r="AJ41" s="89" cm="1">
        <f t="array" ref="AJ41">SUMPRODUCT(($E$40:$AH$40="N0")*(E41:AH41=""))+SUMPRODUCT((E41:AH41="N")*1)</f>
        <v>19</v>
      </c>
      <c r="AK41" s="88" cm="1">
        <f t="array" ref="AK41">SUMPRODUCT(($E$40:$AH$40="RD")*(E41:AH41=""))+SUMPRODUCT((E41:AH41="RD")*1)</f>
        <v>6</v>
      </c>
      <c r="AL41" s="89" cm="1">
        <f t="array" ref="AL41">SUMPRODUCT((E41:AH41="AL")*1)</f>
        <v>0</v>
      </c>
      <c r="AM41" s="89" cm="1">
        <f t="array" ref="AM41">SUMPRODUCT((E41:AH41="SH")*1)</f>
        <v>0</v>
      </c>
      <c r="AN41" s="89" cm="1">
        <f t="array" ref="AN41">SUMPRODUCT((E41:AH41="SL")*1)</f>
        <v>0</v>
      </c>
      <c r="AO41" s="140" t="e">
        <f>#REF!-AI41-AJ41-AK41-AL41-AM41-AN41</f>
        <v>#REF!</v>
      </c>
    </row>
    <row r="42" spans="1:41" ht="18" customHeight="1">
      <c r="A42" s="1331"/>
      <c r="B42" s="45" t="s">
        <v>36</v>
      </c>
      <c r="C42" s="16" t="s">
        <v>16</v>
      </c>
      <c r="D42" s="22">
        <v>669557</v>
      </c>
      <c r="E42" s="413"/>
      <c r="F42" s="413"/>
      <c r="G42" s="413"/>
      <c r="H42" s="413"/>
      <c r="I42" s="413"/>
      <c r="J42" s="444"/>
      <c r="K42" s="416"/>
      <c r="L42" s="413"/>
      <c r="M42" s="413"/>
      <c r="N42" s="413"/>
      <c r="O42" s="413"/>
      <c r="P42" s="413"/>
      <c r="Q42" s="417"/>
      <c r="R42" s="416"/>
      <c r="S42" s="413"/>
      <c r="T42" s="413" t="s">
        <v>115</v>
      </c>
      <c r="U42" s="413" t="s">
        <v>180</v>
      </c>
      <c r="V42" s="413"/>
      <c r="W42" s="413"/>
      <c r="X42" s="444"/>
      <c r="Y42" s="416"/>
      <c r="Z42" s="413"/>
      <c r="AA42" s="413"/>
      <c r="AB42" s="413"/>
      <c r="AC42" s="413"/>
      <c r="AD42" s="413"/>
      <c r="AE42" s="417"/>
      <c r="AF42" s="421"/>
      <c r="AG42" s="413"/>
      <c r="AH42" s="417"/>
      <c r="AI42" s="89" cm="1">
        <f t="array" ref="AI42">SUMPRODUCT(($E$40:$AH$40="HR")*(E42:AH42=""))+SUMPRODUCT((E42:AH42="HR")*1)</f>
        <v>3</v>
      </c>
      <c r="AJ42" s="89" cm="1">
        <f t="array" ref="AJ42">SUMPRODUCT(($E$40:$AH$40="N0")*(E42:AH42=""))+SUMPRODUCT((E42:AH42="N")*1)</f>
        <v>19</v>
      </c>
      <c r="AK42" s="88" cm="1">
        <f t="array" ref="AK42">SUMPRODUCT(($E$40:$AH$40="RD")*(E42:AH42=""))+SUMPRODUCT((E42:AH42="RD")*1)</f>
        <v>6</v>
      </c>
      <c r="AL42" s="89" cm="1">
        <f t="array" ref="AL42">SUMPRODUCT((E42:AH42="AL")*1)</f>
        <v>0</v>
      </c>
      <c r="AM42" s="89" cm="1">
        <f t="array" ref="AM42">SUMPRODUCT((E42:AH42="SH")*1)</f>
        <v>0</v>
      </c>
      <c r="AN42" s="89" cm="1">
        <f t="array" ref="AN42">SUMPRODUCT((E42:AH42="SL")*1)</f>
        <v>0</v>
      </c>
      <c r="AO42" s="140" t="e">
        <f>#REF!-AI42-AJ42-AK42-AL42-AM42-AN42</f>
        <v>#REF!</v>
      </c>
    </row>
    <row r="43" spans="1:41" ht="18" customHeight="1">
      <c r="A43" s="1331"/>
      <c r="B43" s="45" t="s">
        <v>275</v>
      </c>
      <c r="C43" s="16" t="s">
        <v>16</v>
      </c>
      <c r="D43" s="22">
        <v>505935</v>
      </c>
      <c r="E43" s="413"/>
      <c r="F43" s="413"/>
      <c r="G43" s="413"/>
      <c r="H43" s="413"/>
      <c r="I43" s="413"/>
      <c r="J43" s="444"/>
      <c r="K43" s="416"/>
      <c r="L43" s="413"/>
      <c r="M43" s="413"/>
      <c r="N43" s="413"/>
      <c r="O43" s="413"/>
      <c r="P43" s="413"/>
      <c r="Q43" s="417"/>
      <c r="R43" s="416" t="s">
        <v>94</v>
      </c>
      <c r="S43" s="413" t="s">
        <v>94</v>
      </c>
      <c r="T43" s="413" t="s">
        <v>94</v>
      </c>
      <c r="U43" s="413" t="s">
        <v>94</v>
      </c>
      <c r="V43" s="1048" t="s">
        <v>88</v>
      </c>
      <c r="W43" s="413"/>
      <c r="X43" s="444"/>
      <c r="Y43" s="416"/>
      <c r="Z43" s="413"/>
      <c r="AA43" s="413"/>
      <c r="AB43" s="413"/>
      <c r="AC43" s="413"/>
      <c r="AD43" s="413"/>
      <c r="AE43" s="417"/>
      <c r="AF43" s="421"/>
      <c r="AG43" s="413"/>
      <c r="AH43" s="417"/>
      <c r="AI43" s="89" cm="1">
        <f t="array" ref="AI43">SUMPRODUCT(($E$40:$AH$40="HR")*(E43:AH43=""))+SUMPRODUCT((E43:AH43="HR")*1)</f>
        <v>0</v>
      </c>
      <c r="AJ43" s="89" cm="1">
        <f t="array" ref="AJ43">SUMPRODUCT(($E$40:$AH$40="N0")*(E43:AH43=""))+SUMPRODUCT((E43:AH43="N")*1)</f>
        <v>19</v>
      </c>
      <c r="AK43" s="88" cm="1">
        <f t="array" ref="AK43">SUMPRODUCT(($E$40:$AH$40="RD")*(E43:AH43=""))+SUMPRODUCT((E43:AH43="RD")*1)</f>
        <v>6</v>
      </c>
      <c r="AL43" s="89" cm="1">
        <f t="array" ref="AL43">SUMPRODUCT((E43:AH43="AL")*1)</f>
        <v>0</v>
      </c>
      <c r="AM43" s="89" cm="1">
        <f t="array" ref="AM43">SUMPRODUCT((E43:AH43="SH")*1)</f>
        <v>1</v>
      </c>
      <c r="AN43" s="89" cm="1">
        <f t="array" ref="AN43">SUMPRODUCT((E43:AH43="SL")*1)</f>
        <v>0</v>
      </c>
      <c r="AO43" s="140" t="e">
        <f>#REF!-AI43-AJ43-AK43-AL43-AM43-AN43</f>
        <v>#REF!</v>
      </c>
    </row>
    <row r="44" spans="1:41" ht="18" customHeight="1">
      <c r="A44" s="1331"/>
      <c r="B44" s="45" t="s">
        <v>25</v>
      </c>
      <c r="C44" s="16" t="s">
        <v>27</v>
      </c>
      <c r="D44" s="22">
        <v>580058</v>
      </c>
      <c r="E44" s="413"/>
      <c r="F44" s="413"/>
      <c r="G44" s="413"/>
      <c r="H44" s="413"/>
      <c r="I44" s="413"/>
      <c r="J44" s="444"/>
      <c r="K44" s="416"/>
      <c r="L44" s="413"/>
      <c r="M44" s="413"/>
      <c r="N44" s="413"/>
      <c r="O44" s="413"/>
      <c r="P44" s="413"/>
      <c r="Q44" s="417"/>
      <c r="R44" s="421"/>
      <c r="S44" s="413"/>
      <c r="T44" s="413"/>
      <c r="U44" s="413"/>
      <c r="V44" s="413"/>
      <c r="W44" s="413"/>
      <c r="X44" s="444"/>
      <c r="Y44" s="416"/>
      <c r="Z44" s="413"/>
      <c r="AA44" s="413"/>
      <c r="AB44" s="413"/>
      <c r="AC44" s="413"/>
      <c r="AD44" s="413"/>
      <c r="AE44" s="417"/>
      <c r="AF44" s="421"/>
      <c r="AG44" s="413"/>
      <c r="AH44" s="417"/>
      <c r="AI44" s="89" cm="1">
        <f t="array" ref="AI44">SUMPRODUCT(($E$40:$AH$40="HR")*(E44:AH44=""))+SUMPRODUCT((E44:AH44="HR")*1)</f>
        <v>5</v>
      </c>
      <c r="AJ44" s="89" cm="1">
        <f t="array" ref="AJ44">SUMPRODUCT(($E$40:$AH$40="N0")*(E44:AH44=""))+SUMPRODUCT((E44:AH44="N")*1)</f>
        <v>19</v>
      </c>
      <c r="AK44" s="88" cm="1">
        <f t="array" ref="AK44">SUMPRODUCT(($E$40:$AH$40="RD")*(E44:AH44=""))+SUMPRODUCT((E44:AH44="RD")*1)</f>
        <v>6</v>
      </c>
      <c r="AL44" s="89" cm="1">
        <f t="array" ref="AL44">SUMPRODUCT((E44:AH44="AL")*1)</f>
        <v>0</v>
      </c>
      <c r="AM44" s="89" cm="1">
        <f t="array" ref="AM44">SUMPRODUCT((E44:AH44="SH")*1)</f>
        <v>0</v>
      </c>
      <c r="AN44" s="89" cm="1">
        <f t="array" ref="AN44">SUMPRODUCT((E44:AH44="SL")*1)</f>
        <v>0</v>
      </c>
      <c r="AO44" s="140" t="e">
        <f>#REF!-AI44-AJ44-AK44-AL44-AM44-AN44</f>
        <v>#REF!</v>
      </c>
    </row>
    <row r="45" spans="1:41" ht="18" customHeight="1">
      <c r="A45" s="1331"/>
      <c r="B45" s="45" t="s">
        <v>37</v>
      </c>
      <c r="C45" s="16" t="s">
        <v>27</v>
      </c>
      <c r="D45" s="22">
        <v>680417</v>
      </c>
      <c r="E45" s="413"/>
      <c r="F45" s="413"/>
      <c r="G45" s="413"/>
      <c r="H45" s="413"/>
      <c r="I45" s="413"/>
      <c r="J45" s="444"/>
      <c r="K45" s="416"/>
      <c r="L45" s="413"/>
      <c r="M45" s="413"/>
      <c r="N45" s="413"/>
      <c r="O45" s="413"/>
      <c r="P45" s="413"/>
      <c r="Q45" s="417"/>
      <c r="R45" s="421" t="s">
        <v>135</v>
      </c>
      <c r="S45" s="413" t="s">
        <v>135</v>
      </c>
      <c r="T45" s="1048" t="s">
        <v>81</v>
      </c>
      <c r="U45" s="1048" t="s">
        <v>81</v>
      </c>
      <c r="V45" s="1048" t="s">
        <v>81</v>
      </c>
      <c r="W45" s="413"/>
      <c r="X45" s="444"/>
      <c r="Y45" s="416"/>
      <c r="Z45" s="413"/>
      <c r="AA45" s="413"/>
      <c r="AB45" s="413"/>
      <c r="AC45" s="413"/>
      <c r="AD45" s="413"/>
      <c r="AE45" s="417"/>
      <c r="AF45" s="421"/>
      <c r="AG45" s="413"/>
      <c r="AH45" s="417"/>
      <c r="AI45" s="89" cm="1">
        <f t="array" ref="AI45">SUMPRODUCT(($E$40:$AH$40="HR")*(E45:AH45=""))+SUMPRODUCT((E45:AH45="HR")*1)</f>
        <v>0</v>
      </c>
      <c r="AJ45" s="89" cm="1">
        <f t="array" ref="AJ45">SUMPRODUCT(($E$40:$AH$40="N0")*(E45:AH45=""))+SUMPRODUCT((E45:AH45="N")*1)</f>
        <v>19</v>
      </c>
      <c r="AK45" s="88" cm="1">
        <f t="array" ref="AK45">SUMPRODUCT(($E$40:$AH$40="RD")*(E45:AH45=""))+SUMPRODUCT((E45:AH45="RD")*1)</f>
        <v>6</v>
      </c>
      <c r="AL45" s="89" cm="1">
        <f t="array" ref="AL45">SUMPRODUCT((E45:AH45="AL")*1)</f>
        <v>3</v>
      </c>
      <c r="AM45" s="89" cm="1">
        <f t="array" ref="AM45">SUMPRODUCT((E45:AH45="SH")*1)</f>
        <v>0</v>
      </c>
      <c r="AN45" s="89" cm="1">
        <f t="array" ref="AN45">SUMPRODUCT((E45:AH45="SL")*1)</f>
        <v>0</v>
      </c>
      <c r="AO45" s="140" t="e">
        <f>#REF!-AI45-AJ45-AK45-AL45-AM45-AN45</f>
        <v>#REF!</v>
      </c>
    </row>
    <row r="46" spans="1:41" ht="18" customHeight="1">
      <c r="A46" s="1331"/>
      <c r="B46" s="120" t="s">
        <v>49</v>
      </c>
      <c r="C46" s="16" t="s">
        <v>27</v>
      </c>
      <c r="D46" s="22">
        <v>684119</v>
      </c>
      <c r="E46" s="413"/>
      <c r="F46" s="413"/>
      <c r="G46" s="413"/>
      <c r="H46" s="413"/>
      <c r="I46" s="413"/>
      <c r="J46" s="444"/>
      <c r="K46" s="416"/>
      <c r="L46" s="413"/>
      <c r="M46" s="413"/>
      <c r="N46" s="413"/>
      <c r="O46" s="413"/>
      <c r="P46" s="413"/>
      <c r="Q46" s="417"/>
      <c r="R46" s="421"/>
      <c r="S46" s="413"/>
      <c r="T46" s="413"/>
      <c r="U46" s="413"/>
      <c r="V46" s="413"/>
      <c r="W46" s="413"/>
      <c r="X46" s="444"/>
      <c r="Y46" s="416"/>
      <c r="Z46" s="413"/>
      <c r="AA46" s="413"/>
      <c r="AB46" s="413"/>
      <c r="AC46" s="1048" t="s">
        <v>88</v>
      </c>
      <c r="AD46" s="413"/>
      <c r="AE46" s="417"/>
      <c r="AF46" s="421"/>
      <c r="AG46" s="413"/>
      <c r="AH46" s="417"/>
      <c r="AI46" s="89" cm="1">
        <f t="array" ref="AI46">SUMPRODUCT(($E$40:$AH$40="HR")*(E46:AH46=""))+SUMPRODUCT((E46:AH46="HR")*1)</f>
        <v>5</v>
      </c>
      <c r="AJ46" s="89" cm="1">
        <f t="array" ref="AJ46">SUMPRODUCT(($E$40:$AH$40="N0")*(E46:AH46=""))+SUMPRODUCT((E46:AH46="N")*1)</f>
        <v>18</v>
      </c>
      <c r="AK46" s="88" cm="1">
        <f t="array" ref="AK46">SUMPRODUCT(($E$40:$AH$40="RD")*(E46:AH46=""))+SUMPRODUCT((E46:AH46="RD")*1)</f>
        <v>6</v>
      </c>
      <c r="AL46" s="89" cm="1">
        <f t="array" ref="AL46">SUMPRODUCT((E46:AH46="AL")*1)</f>
        <v>0</v>
      </c>
      <c r="AM46" s="89" cm="1">
        <f t="array" ref="AM46">SUMPRODUCT((E46:AH46="SH")*1)</f>
        <v>1</v>
      </c>
      <c r="AN46" s="89" cm="1">
        <f t="array" ref="AN46">SUMPRODUCT((E46:AH46="SL")*1)</f>
        <v>0</v>
      </c>
      <c r="AO46" s="140" t="e">
        <f>#REF!-AI46-AJ46-AK46-AL46-AM46-AN46</f>
        <v>#REF!</v>
      </c>
    </row>
    <row r="47" spans="1:41" ht="18" customHeight="1">
      <c r="A47" s="1333"/>
      <c r="B47" s="117" t="s">
        <v>57</v>
      </c>
      <c r="C47" s="104" t="s">
        <v>27</v>
      </c>
      <c r="D47" s="105">
        <v>676140</v>
      </c>
      <c r="E47" s="523"/>
      <c r="F47" s="523"/>
      <c r="G47" s="523"/>
      <c r="H47" s="523"/>
      <c r="I47" s="523"/>
      <c r="J47" s="525"/>
      <c r="K47" s="521"/>
      <c r="L47" s="523"/>
      <c r="M47" s="523"/>
      <c r="N47" s="523"/>
      <c r="O47" s="523"/>
      <c r="P47" s="523"/>
      <c r="Q47" s="522"/>
      <c r="R47" s="421" t="s">
        <v>140</v>
      </c>
      <c r="S47" s="413" t="s">
        <v>140</v>
      </c>
      <c r="T47" s="413" t="s">
        <v>140</v>
      </c>
      <c r="U47" s="523"/>
      <c r="V47" s="523"/>
      <c r="W47" s="523"/>
      <c r="X47" s="525"/>
      <c r="Y47" s="521"/>
      <c r="Z47" s="523"/>
      <c r="AA47" s="523"/>
      <c r="AB47" s="523"/>
      <c r="AC47" s="523"/>
      <c r="AD47" s="523"/>
      <c r="AE47" s="522"/>
      <c r="AF47" s="524"/>
      <c r="AG47" s="523"/>
      <c r="AH47" s="522"/>
      <c r="AI47" s="89" cm="1">
        <f t="array" ref="AI47">SUMPRODUCT(($E$40:$AH$40="HR")*(E47:AH47=""))+SUMPRODUCT((E47:AH47="HR")*1)</f>
        <v>2</v>
      </c>
      <c r="AJ47" s="89" cm="1">
        <f t="array" ref="AJ47">SUMPRODUCT(($E$40:$AH$40="N0")*(E47:AH47=""))+SUMPRODUCT((E47:AH47="N")*1)</f>
        <v>19</v>
      </c>
      <c r="AK47" s="88" cm="1">
        <f t="array" ref="AK47">SUMPRODUCT(($E$40:$AH$40="RD")*(E47:AH47=""))+SUMPRODUCT((E47:AH47="RD")*1)</f>
        <v>6</v>
      </c>
      <c r="AL47" s="89" cm="1">
        <f t="array" ref="AL47">SUMPRODUCT((E47:AH47="AL")*1)</f>
        <v>0</v>
      </c>
      <c r="AM47" s="89" cm="1">
        <f t="array" ref="AM47">SUMPRODUCT((E47:AH47="SH")*1)</f>
        <v>0</v>
      </c>
      <c r="AN47" s="89" cm="1">
        <f t="array" ref="AN47">SUMPRODUCT((E47:AH47="SL")*1)</f>
        <v>0</v>
      </c>
      <c r="AO47" s="140" t="e">
        <f>#REF!-AI47-AJ47-AK47-AL47-AM47-AN47</f>
        <v>#REF!</v>
      </c>
    </row>
    <row r="48" spans="1:41" ht="18" customHeight="1">
      <c r="A48" s="1286"/>
      <c r="B48" s="1334" t="s">
        <v>93</v>
      </c>
      <c r="C48" s="1332"/>
      <c r="D48" s="1332"/>
      <c r="E48" s="509" t="s">
        <v>87</v>
      </c>
      <c r="F48" s="509" t="s">
        <v>87</v>
      </c>
      <c r="G48" s="509" t="s">
        <v>87</v>
      </c>
      <c r="H48" s="509" t="s">
        <v>87</v>
      </c>
      <c r="I48" s="512" t="s">
        <v>84</v>
      </c>
      <c r="J48" s="493" t="s">
        <v>84</v>
      </c>
      <c r="K48" s="468" t="s">
        <v>87</v>
      </c>
      <c r="L48" s="469" t="s">
        <v>87</v>
      </c>
      <c r="M48" s="469" t="s">
        <v>87</v>
      </c>
      <c r="N48" s="469" t="s">
        <v>87</v>
      </c>
      <c r="O48" s="469" t="s">
        <v>87</v>
      </c>
      <c r="P48" s="512" t="s">
        <v>84</v>
      </c>
      <c r="Q48" s="477" t="s">
        <v>84</v>
      </c>
      <c r="R48" s="508" t="s">
        <v>87</v>
      </c>
      <c r="S48" s="509" t="s">
        <v>87</v>
      </c>
      <c r="T48" s="509" t="s">
        <v>87</v>
      </c>
      <c r="U48" s="509" t="s">
        <v>87</v>
      </c>
      <c r="V48" s="509" t="s">
        <v>87</v>
      </c>
      <c r="W48" s="512" t="s">
        <v>84</v>
      </c>
      <c r="X48" s="493" t="s">
        <v>84</v>
      </c>
      <c r="Y48" s="515" t="s">
        <v>87</v>
      </c>
      <c r="Z48" s="509" t="s">
        <v>87</v>
      </c>
      <c r="AA48" s="509" t="s">
        <v>87</v>
      </c>
      <c r="AB48" s="509" t="s">
        <v>87</v>
      </c>
      <c r="AC48" s="509" t="s">
        <v>87</v>
      </c>
      <c r="AD48" s="512" t="s">
        <v>84</v>
      </c>
      <c r="AE48" s="477" t="s">
        <v>84</v>
      </c>
      <c r="AF48" s="508" t="s">
        <v>87</v>
      </c>
      <c r="AG48" s="509" t="s">
        <v>87</v>
      </c>
      <c r="AH48" s="507" t="s">
        <v>87</v>
      </c>
    </row>
    <row r="49" spans="1:40" ht="18" customHeight="1">
      <c r="A49" s="1284" t="s">
        <v>379</v>
      </c>
      <c r="B49" s="126" t="s">
        <v>380</v>
      </c>
      <c r="C49" s="122" t="s">
        <v>27</v>
      </c>
      <c r="D49" s="158">
        <v>673850</v>
      </c>
      <c r="E49" s="509"/>
      <c r="F49" s="509"/>
      <c r="G49" s="509"/>
      <c r="H49" s="509" t="s">
        <v>122</v>
      </c>
      <c r="I49" s="512"/>
      <c r="J49" s="493"/>
      <c r="K49" s="468" t="s">
        <v>94</v>
      </c>
      <c r="L49" s="469" t="s">
        <v>94</v>
      </c>
      <c r="M49" s="469" t="s">
        <v>94</v>
      </c>
      <c r="N49" s="469" t="s">
        <v>94</v>
      </c>
      <c r="O49" s="469" t="s">
        <v>94</v>
      </c>
      <c r="P49" s="512" t="s">
        <v>84</v>
      </c>
      <c r="Q49" s="1287" t="s">
        <v>94</v>
      </c>
      <c r="R49" s="508" t="s">
        <v>94</v>
      </c>
      <c r="S49" s="509" t="s">
        <v>94</v>
      </c>
      <c r="T49" s="509" t="s">
        <v>94</v>
      </c>
      <c r="U49" s="509" t="s">
        <v>94</v>
      </c>
      <c r="V49" s="509" t="s">
        <v>94</v>
      </c>
      <c r="W49" s="512"/>
      <c r="X49" s="493"/>
      <c r="Y49" s="515"/>
      <c r="Z49" s="509"/>
      <c r="AA49" s="509"/>
      <c r="AB49" s="509"/>
      <c r="AC49" s="509"/>
      <c r="AD49" s="512"/>
      <c r="AE49" s="477"/>
      <c r="AF49" s="508"/>
      <c r="AG49" s="509"/>
      <c r="AH49" s="507"/>
    </row>
    <row r="50" spans="1:40" ht="18" customHeight="1">
      <c r="A50" s="1285" t="s">
        <v>125</v>
      </c>
      <c r="B50" s="126" t="s">
        <v>43</v>
      </c>
      <c r="C50" s="122" t="s">
        <v>45</v>
      </c>
      <c r="D50" s="158">
        <v>555851</v>
      </c>
      <c r="E50" s="469"/>
      <c r="F50" s="469"/>
      <c r="G50" s="469"/>
      <c r="H50" s="469"/>
      <c r="I50" s="469"/>
      <c r="J50" s="471"/>
      <c r="K50" s="468"/>
      <c r="L50" s="469"/>
      <c r="M50" s="469"/>
      <c r="N50" s="469"/>
      <c r="O50" s="469"/>
      <c r="P50" s="469"/>
      <c r="Q50" s="467"/>
      <c r="R50" s="470"/>
      <c r="S50" s="469"/>
      <c r="T50" s="469"/>
      <c r="U50" s="469"/>
      <c r="V50" s="469"/>
      <c r="W50" s="469"/>
      <c r="X50" s="471"/>
      <c r="Y50" s="468"/>
      <c r="Z50" s="469"/>
      <c r="AA50" s="469"/>
      <c r="AB50" s="469"/>
      <c r="AC50" s="469"/>
      <c r="AD50" s="469"/>
      <c r="AE50" s="467"/>
      <c r="AF50" s="470"/>
      <c r="AG50" s="469"/>
      <c r="AH50" s="467"/>
    </row>
    <row r="52" spans="1:40" ht="18" customHeight="1">
      <c r="D52" s="124" t="s">
        <v>123</v>
      </c>
      <c r="E52" s="123"/>
      <c r="F52" s="123" t="s">
        <v>381</v>
      </c>
      <c r="G52" s="123"/>
      <c r="H52" s="123"/>
      <c r="I52" s="123"/>
      <c r="J52" s="123"/>
      <c r="K52" s="123"/>
      <c r="L52" s="123"/>
      <c r="M52" s="145"/>
      <c r="N52" s="145"/>
      <c r="T52" s="124" t="s">
        <v>135</v>
      </c>
      <c r="U52" s="123"/>
      <c r="V52" s="123" t="s">
        <v>255</v>
      </c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</row>
    <row r="53" spans="1:40" ht="18" customHeight="1"/>
    <row r="54" spans="1:40" ht="18" customHeight="1">
      <c r="D54" s="124" t="s">
        <v>137</v>
      </c>
      <c r="E54" s="1081"/>
      <c r="F54" s="1081" t="s">
        <v>147</v>
      </c>
      <c r="G54" s="123"/>
      <c r="H54" s="123"/>
      <c r="I54" s="123"/>
      <c r="J54" s="123"/>
      <c r="K54" s="123"/>
      <c r="L54" s="123"/>
      <c r="T54" s="124" t="s">
        <v>124</v>
      </c>
      <c r="U54" s="123"/>
      <c r="V54" s="123" t="s">
        <v>326</v>
      </c>
      <c r="W54" s="123"/>
      <c r="X54" s="123"/>
      <c r="Y54" s="123"/>
      <c r="Z54" s="123"/>
      <c r="AA54" s="123"/>
      <c r="AB54" s="123"/>
      <c r="AC54" s="123"/>
    </row>
    <row r="55" spans="1:40" ht="18" customHeight="1"/>
    <row r="56" spans="1:40" ht="18" customHeight="1">
      <c r="D56" s="124" t="s">
        <v>107</v>
      </c>
      <c r="E56" s="1081"/>
      <c r="F56" s="1081" t="s">
        <v>254</v>
      </c>
      <c r="G56" s="209"/>
      <c r="H56" s="209"/>
      <c r="I56" s="209"/>
      <c r="J56" s="209"/>
      <c r="K56" s="209"/>
      <c r="L56" s="209"/>
      <c r="M56" s="209"/>
      <c r="N56" s="209"/>
      <c r="O56" s="209"/>
      <c r="T56" s="124" t="s">
        <v>140</v>
      </c>
      <c r="V56" s="123" t="s">
        <v>148</v>
      </c>
      <c r="W56" s="123"/>
      <c r="X56" s="123"/>
      <c r="Y56" s="123"/>
      <c r="Z56" s="123"/>
      <c r="AA56" s="123"/>
      <c r="AB56" s="123"/>
    </row>
    <row r="57" spans="1:40" ht="18" customHeight="1"/>
    <row r="58" spans="1:40" ht="18" customHeight="1">
      <c r="D58" s="124" t="s">
        <v>108</v>
      </c>
      <c r="E58" s="209"/>
      <c r="F58" s="123" t="s">
        <v>292</v>
      </c>
      <c r="G58" s="209"/>
      <c r="H58" s="209"/>
      <c r="I58" s="209"/>
      <c r="J58" s="209"/>
      <c r="K58" s="209"/>
      <c r="L58" s="209"/>
      <c r="M58" s="209"/>
      <c r="N58" s="209"/>
      <c r="O58" s="209"/>
      <c r="T58" s="124" t="s">
        <v>103</v>
      </c>
      <c r="V58" s="1081" t="s">
        <v>340</v>
      </c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</row>
    <row r="59" spans="1:40" ht="18" customHeight="1"/>
    <row r="60" spans="1:40" ht="18" customHeight="1">
      <c r="D60" s="124" t="s">
        <v>105</v>
      </c>
      <c r="E60" s="123"/>
      <c r="F60" s="123" t="s">
        <v>365</v>
      </c>
      <c r="T60" s="124" t="s">
        <v>145</v>
      </c>
      <c r="V60" s="123" t="s">
        <v>382</v>
      </c>
    </row>
    <row r="61" spans="1:40" ht="18" customHeight="1"/>
    <row r="62" spans="1:40" ht="18" customHeight="1">
      <c r="A62" s="123"/>
      <c r="B62" s="123"/>
      <c r="C62" s="123"/>
      <c r="D62" s="124" t="s">
        <v>122</v>
      </c>
      <c r="E62" s="123"/>
      <c r="F62" s="123" t="s">
        <v>383</v>
      </c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4" t="s">
        <v>115</v>
      </c>
      <c r="V62" s="123" t="s">
        <v>384</v>
      </c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</row>
    <row r="63" spans="1:40" ht="18" customHeight="1"/>
    <row r="64" spans="1:40" ht="18" customHeight="1">
      <c r="D64" s="124" t="s">
        <v>149</v>
      </c>
      <c r="E64" s="123"/>
    </row>
    <row r="67" spans="4:34">
      <c r="D67" s="141" t="s">
        <v>150</v>
      </c>
      <c r="E67" s="60" t="s">
        <v>94</v>
      </c>
      <c r="F67" s="60" t="s">
        <v>94</v>
      </c>
      <c r="G67" s="60" t="s">
        <v>94</v>
      </c>
      <c r="H67" s="60" t="s">
        <v>94</v>
      </c>
      <c r="I67" s="73" t="s">
        <v>84</v>
      </c>
      <c r="J67" s="61" t="s">
        <v>94</v>
      </c>
      <c r="K67" s="62" t="s">
        <v>94</v>
      </c>
      <c r="L67" s="60" t="s">
        <v>94</v>
      </c>
      <c r="M67" s="60" t="s">
        <v>94</v>
      </c>
      <c r="N67" s="60" t="s">
        <v>94</v>
      </c>
      <c r="O67" s="60" t="s">
        <v>94</v>
      </c>
      <c r="P67" s="63" t="s">
        <v>84</v>
      </c>
      <c r="Q67" s="64" t="s">
        <v>84</v>
      </c>
      <c r="R67" s="129" t="s">
        <v>95</v>
      </c>
      <c r="S67" s="129" t="s">
        <v>95</v>
      </c>
      <c r="T67" s="129" t="s">
        <v>95</v>
      </c>
      <c r="U67" s="129" t="s">
        <v>95</v>
      </c>
      <c r="V67" s="129" t="s">
        <v>95</v>
      </c>
      <c r="W67" s="68" t="s">
        <v>84</v>
      </c>
      <c r="X67" s="59" t="s">
        <v>84</v>
      </c>
      <c r="Y67" s="62" t="s">
        <v>94</v>
      </c>
      <c r="Z67" s="60" t="s">
        <v>94</v>
      </c>
      <c r="AA67" s="60" t="s">
        <v>94</v>
      </c>
      <c r="AB67" s="60" t="s">
        <v>94</v>
      </c>
      <c r="AC67" s="60" t="s">
        <v>94</v>
      </c>
      <c r="AD67" s="63" t="s">
        <v>84</v>
      </c>
      <c r="AE67" s="60" t="s">
        <v>94</v>
      </c>
      <c r="AF67" s="60" t="s">
        <v>94</v>
      </c>
      <c r="AG67" s="74"/>
      <c r="AH67" s="63" t="s">
        <v>84</v>
      </c>
    </row>
    <row r="68" spans="4:34">
      <c r="D68" s="142" t="s">
        <v>151</v>
      </c>
      <c r="E68" s="311">
        <f t="shared" ref="E68:AH68" si="0">COUNTBLANK(E19:E24)</f>
        <v>6</v>
      </c>
      <c r="F68" s="311">
        <f t="shared" si="0"/>
        <v>5</v>
      </c>
      <c r="G68" s="311">
        <f t="shared" si="0"/>
        <v>6</v>
      </c>
      <c r="H68" s="311">
        <f t="shared" si="0"/>
        <v>6</v>
      </c>
      <c r="I68" s="311">
        <f t="shared" si="0"/>
        <v>6</v>
      </c>
      <c r="J68" s="311">
        <f t="shared" si="0"/>
        <v>6</v>
      </c>
      <c r="K68" s="311">
        <f t="shared" si="0"/>
        <v>6</v>
      </c>
      <c r="L68" s="311">
        <f t="shared" si="0"/>
        <v>6</v>
      </c>
      <c r="M68" s="311">
        <f t="shared" si="0"/>
        <v>6</v>
      </c>
      <c r="N68" s="311">
        <f t="shared" si="0"/>
        <v>6</v>
      </c>
      <c r="O68" s="311">
        <f t="shared" si="0"/>
        <v>4</v>
      </c>
      <c r="P68" s="311">
        <f t="shared" si="0"/>
        <v>6</v>
      </c>
      <c r="Q68" s="311">
        <f t="shared" si="0"/>
        <v>4</v>
      </c>
      <c r="R68" s="311">
        <f t="shared" si="0"/>
        <v>5</v>
      </c>
      <c r="S68" s="311">
        <f t="shared" si="0"/>
        <v>6</v>
      </c>
      <c r="T68" s="311">
        <f t="shared" si="0"/>
        <v>6</v>
      </c>
      <c r="U68" s="311">
        <f t="shared" si="0"/>
        <v>6</v>
      </c>
      <c r="V68" s="311">
        <f t="shared" si="0"/>
        <v>6</v>
      </c>
      <c r="W68" s="311">
        <f t="shared" si="0"/>
        <v>6</v>
      </c>
      <c r="X68" s="311">
        <f t="shared" si="0"/>
        <v>6</v>
      </c>
      <c r="Y68" s="311">
        <f t="shared" si="0"/>
        <v>4</v>
      </c>
      <c r="Z68" s="311">
        <f t="shared" si="0"/>
        <v>2</v>
      </c>
      <c r="AA68" s="311">
        <f t="shared" si="0"/>
        <v>3</v>
      </c>
      <c r="AB68" s="311">
        <f t="shared" si="0"/>
        <v>2</v>
      </c>
      <c r="AC68" s="311">
        <f t="shared" si="0"/>
        <v>6</v>
      </c>
      <c r="AD68" s="311">
        <f t="shared" si="0"/>
        <v>6</v>
      </c>
      <c r="AE68" s="311">
        <f t="shared" si="0"/>
        <v>6</v>
      </c>
      <c r="AF68" s="311">
        <f t="shared" si="0"/>
        <v>6</v>
      </c>
      <c r="AG68" s="311"/>
      <c r="AH68" s="311">
        <f t="shared" si="0"/>
        <v>6</v>
      </c>
    </row>
    <row r="69" spans="4:34">
      <c r="D69" s="143" t="s">
        <v>150</v>
      </c>
      <c r="E69" s="70" t="s">
        <v>94</v>
      </c>
      <c r="F69" s="70" t="s">
        <v>94</v>
      </c>
      <c r="G69" s="70" t="s">
        <v>94</v>
      </c>
      <c r="H69" s="70" t="s">
        <v>94</v>
      </c>
      <c r="I69" s="71" t="s">
        <v>84</v>
      </c>
      <c r="J69" s="69" t="s">
        <v>94</v>
      </c>
      <c r="K69" s="77" t="s">
        <v>94</v>
      </c>
      <c r="L69" s="70" t="s">
        <v>94</v>
      </c>
      <c r="M69" s="70" t="s">
        <v>94</v>
      </c>
      <c r="N69" s="70" t="s">
        <v>94</v>
      </c>
      <c r="O69" s="70" t="s">
        <v>94</v>
      </c>
      <c r="P69" s="68" t="s">
        <v>84</v>
      </c>
      <c r="Q69" s="69" t="s">
        <v>94</v>
      </c>
      <c r="R69" s="77" t="s">
        <v>94</v>
      </c>
      <c r="S69" s="70" t="s">
        <v>94</v>
      </c>
      <c r="T69" s="70" t="s">
        <v>94</v>
      </c>
      <c r="U69" s="70" t="s">
        <v>94</v>
      </c>
      <c r="V69" s="70" t="s">
        <v>94</v>
      </c>
      <c r="W69" s="76" t="s">
        <v>84</v>
      </c>
      <c r="X69" s="59" t="s">
        <v>84</v>
      </c>
      <c r="Y69" s="129" t="s">
        <v>95</v>
      </c>
      <c r="Z69" s="129" t="s">
        <v>95</v>
      </c>
      <c r="AA69" s="129" t="s">
        <v>95</v>
      </c>
      <c r="AB69" s="129" t="s">
        <v>95</v>
      </c>
      <c r="AC69" s="129" t="s">
        <v>95</v>
      </c>
      <c r="AD69" s="68" t="s">
        <v>84</v>
      </c>
      <c r="AE69" s="129" t="s">
        <v>95</v>
      </c>
      <c r="AF69" s="129" t="s">
        <v>95</v>
      </c>
      <c r="AG69" s="129"/>
      <c r="AH69" s="68" t="s">
        <v>84</v>
      </c>
    </row>
    <row r="70" spans="4:34">
      <c r="D70" s="142" t="s">
        <v>152</v>
      </c>
      <c r="E70" s="311">
        <f t="shared" ref="E70:AH70" si="1">COUNTBLANK(E26:E32)</f>
        <v>3</v>
      </c>
      <c r="F70" s="311">
        <f t="shared" si="1"/>
        <v>6</v>
      </c>
      <c r="G70" s="311">
        <f t="shared" si="1"/>
        <v>3</v>
      </c>
      <c r="H70" s="311">
        <f t="shared" si="1"/>
        <v>5</v>
      </c>
      <c r="I70" s="311">
        <f t="shared" si="1"/>
        <v>7</v>
      </c>
      <c r="J70" s="311">
        <f t="shared" si="1"/>
        <v>7</v>
      </c>
      <c r="K70" s="311">
        <f t="shared" si="1"/>
        <v>6</v>
      </c>
      <c r="L70" s="311">
        <f t="shared" si="1"/>
        <v>6</v>
      </c>
      <c r="M70" s="311">
        <f t="shared" si="1"/>
        <v>7</v>
      </c>
      <c r="N70" s="311">
        <f t="shared" si="1"/>
        <v>7</v>
      </c>
      <c r="O70" s="311">
        <f t="shared" si="1"/>
        <v>7</v>
      </c>
      <c r="P70" s="311">
        <f t="shared" si="1"/>
        <v>7</v>
      </c>
      <c r="Q70" s="311">
        <f t="shared" si="1"/>
        <v>7</v>
      </c>
      <c r="R70" s="311">
        <f t="shared" si="1"/>
        <v>7</v>
      </c>
      <c r="S70" s="311">
        <f t="shared" si="1"/>
        <v>7</v>
      </c>
      <c r="T70" s="311">
        <f t="shared" si="1"/>
        <v>7</v>
      </c>
      <c r="U70" s="311">
        <f t="shared" si="1"/>
        <v>7</v>
      </c>
      <c r="V70" s="311">
        <f t="shared" si="1"/>
        <v>7</v>
      </c>
      <c r="W70" s="311">
        <f t="shared" si="1"/>
        <v>7</v>
      </c>
      <c r="X70" s="311">
        <f t="shared" si="1"/>
        <v>7</v>
      </c>
      <c r="Y70" s="311">
        <f t="shared" si="1"/>
        <v>6</v>
      </c>
      <c r="Z70" s="311">
        <f t="shared" si="1"/>
        <v>7</v>
      </c>
      <c r="AA70" s="311">
        <f t="shared" si="1"/>
        <v>7</v>
      </c>
      <c r="AB70" s="311">
        <f t="shared" si="1"/>
        <v>7</v>
      </c>
      <c r="AC70" s="311">
        <f t="shared" si="1"/>
        <v>7</v>
      </c>
      <c r="AD70" s="311">
        <f t="shared" si="1"/>
        <v>7</v>
      </c>
      <c r="AE70" s="311">
        <f t="shared" si="1"/>
        <v>7</v>
      </c>
      <c r="AF70" s="311">
        <f t="shared" si="1"/>
        <v>5</v>
      </c>
      <c r="AG70" s="311"/>
      <c r="AH70" s="311">
        <f t="shared" si="1"/>
        <v>6</v>
      </c>
    </row>
    <row r="71" spans="4:34">
      <c r="D71" s="143" t="s">
        <v>150</v>
      </c>
      <c r="E71" s="129" t="s">
        <v>95</v>
      </c>
      <c r="F71" s="129" t="s">
        <v>95</v>
      </c>
      <c r="G71" s="129" t="s">
        <v>95</v>
      </c>
      <c r="H71" s="129" t="s">
        <v>95</v>
      </c>
      <c r="I71" s="76" t="s">
        <v>84</v>
      </c>
      <c r="J71" s="59" t="s">
        <v>84</v>
      </c>
      <c r="K71" s="128" t="s">
        <v>94</v>
      </c>
      <c r="L71" s="70" t="s">
        <v>94</v>
      </c>
      <c r="M71" s="70" t="s">
        <v>94</v>
      </c>
      <c r="N71" s="70" t="s">
        <v>94</v>
      </c>
      <c r="O71" s="70" t="s">
        <v>94</v>
      </c>
      <c r="P71" s="71" t="s">
        <v>84</v>
      </c>
      <c r="Q71" s="69" t="s">
        <v>94</v>
      </c>
      <c r="R71" s="77" t="s">
        <v>94</v>
      </c>
      <c r="S71" s="70" t="s">
        <v>94</v>
      </c>
      <c r="T71" s="70" t="s">
        <v>94</v>
      </c>
      <c r="U71" s="70" t="s">
        <v>94</v>
      </c>
      <c r="V71" s="70" t="s">
        <v>94</v>
      </c>
      <c r="W71" s="76" t="s">
        <v>84</v>
      </c>
      <c r="X71" s="69" t="s">
        <v>94</v>
      </c>
      <c r="Y71" s="77" t="s">
        <v>94</v>
      </c>
      <c r="Z71" s="70" t="s">
        <v>94</v>
      </c>
      <c r="AA71" s="70" t="s">
        <v>94</v>
      </c>
      <c r="AB71" s="70" t="s">
        <v>94</v>
      </c>
      <c r="AC71" s="70" t="s">
        <v>94</v>
      </c>
      <c r="AD71" s="76" t="s">
        <v>84</v>
      </c>
      <c r="AE71" s="70" t="s">
        <v>94</v>
      </c>
      <c r="AF71" s="70" t="s">
        <v>94</v>
      </c>
      <c r="AG71" s="77"/>
      <c r="AH71" s="76" t="s">
        <v>84</v>
      </c>
    </row>
    <row r="72" spans="4:34">
      <c r="D72" s="142" t="s">
        <v>117</v>
      </c>
      <c r="E72" s="311">
        <f t="shared" ref="E72:AF72" si="2">COUNTBLANK(E34:E39)</f>
        <v>6</v>
      </c>
      <c r="F72" s="311">
        <f t="shared" si="2"/>
        <v>5</v>
      </c>
      <c r="G72" s="311">
        <f t="shared" si="2"/>
        <v>4</v>
      </c>
      <c r="H72" s="311">
        <f t="shared" si="2"/>
        <v>4</v>
      </c>
      <c r="I72" s="311">
        <f t="shared" si="2"/>
        <v>5</v>
      </c>
      <c r="J72" s="311">
        <f t="shared" si="2"/>
        <v>5</v>
      </c>
      <c r="K72" s="311">
        <f t="shared" si="2"/>
        <v>2</v>
      </c>
      <c r="L72" s="311">
        <f t="shared" si="2"/>
        <v>2</v>
      </c>
      <c r="M72" s="311">
        <f t="shared" si="2"/>
        <v>3</v>
      </c>
      <c r="N72" s="311">
        <f t="shared" si="2"/>
        <v>2</v>
      </c>
      <c r="O72" s="311">
        <f t="shared" si="2"/>
        <v>2</v>
      </c>
      <c r="P72" s="311">
        <f t="shared" si="2"/>
        <v>6</v>
      </c>
      <c r="Q72" s="311">
        <f t="shared" si="2"/>
        <v>6</v>
      </c>
      <c r="R72" s="311">
        <f t="shared" si="2"/>
        <v>6</v>
      </c>
      <c r="S72" s="311">
        <f t="shared" si="2"/>
        <v>6</v>
      </c>
      <c r="T72" s="311">
        <f t="shared" si="2"/>
        <v>6</v>
      </c>
      <c r="U72" s="311">
        <f t="shared" si="2"/>
        <v>6</v>
      </c>
      <c r="V72" s="311">
        <f t="shared" si="2"/>
        <v>6</v>
      </c>
      <c r="W72" s="311">
        <f t="shared" si="2"/>
        <v>6</v>
      </c>
      <c r="X72" s="311">
        <f t="shared" si="2"/>
        <v>6</v>
      </c>
      <c r="Y72" s="311">
        <f t="shared" si="2"/>
        <v>6</v>
      </c>
      <c r="Z72" s="311">
        <f t="shared" si="2"/>
        <v>6</v>
      </c>
      <c r="AA72" s="311">
        <f t="shared" si="2"/>
        <v>6</v>
      </c>
      <c r="AB72" s="311">
        <f t="shared" si="2"/>
        <v>6</v>
      </c>
      <c r="AC72" s="311">
        <f t="shared" si="2"/>
        <v>6</v>
      </c>
      <c r="AD72" s="311">
        <f t="shared" si="2"/>
        <v>6</v>
      </c>
      <c r="AE72" s="311">
        <f t="shared" si="2"/>
        <v>6</v>
      </c>
      <c r="AF72" s="311">
        <f t="shared" si="2"/>
        <v>6</v>
      </c>
      <c r="AG72" s="311"/>
      <c r="AH72" s="311">
        <f>COUNTBLANK(AH34:AH39)</f>
        <v>6</v>
      </c>
    </row>
    <row r="73" spans="4:34">
      <c r="D73" s="144" t="s">
        <v>150</v>
      </c>
      <c r="E73" s="110" t="s">
        <v>84</v>
      </c>
      <c r="F73" s="59" t="s">
        <v>84</v>
      </c>
      <c r="G73" s="129" t="s">
        <v>95</v>
      </c>
      <c r="H73" s="129" t="s">
        <v>95</v>
      </c>
      <c r="I73" s="129" t="s">
        <v>95</v>
      </c>
      <c r="J73" s="129" t="s">
        <v>95</v>
      </c>
      <c r="K73" s="129" t="s">
        <v>95</v>
      </c>
      <c r="L73" s="76" t="s">
        <v>84</v>
      </c>
      <c r="M73" s="59" t="s">
        <v>84</v>
      </c>
      <c r="N73" s="128" t="s">
        <v>94</v>
      </c>
      <c r="O73" s="70" t="s">
        <v>94</v>
      </c>
      <c r="P73" s="70" t="s">
        <v>94</v>
      </c>
      <c r="Q73" s="70" t="s">
        <v>94</v>
      </c>
      <c r="R73" s="70" t="s">
        <v>94</v>
      </c>
      <c r="S73" s="71" t="s">
        <v>84</v>
      </c>
      <c r="T73" s="69" t="s">
        <v>94</v>
      </c>
      <c r="U73" s="77" t="s">
        <v>94</v>
      </c>
      <c r="V73" s="70" t="s">
        <v>94</v>
      </c>
      <c r="W73" s="70" t="s">
        <v>94</v>
      </c>
      <c r="X73" s="70" t="s">
        <v>94</v>
      </c>
      <c r="Y73" s="70" t="s">
        <v>94</v>
      </c>
      <c r="Z73" s="76" t="s">
        <v>84</v>
      </c>
      <c r="AA73" s="69" t="s">
        <v>94</v>
      </c>
      <c r="AB73" s="77" t="s">
        <v>94</v>
      </c>
      <c r="AC73" s="70" t="s">
        <v>94</v>
      </c>
      <c r="AD73" s="69" t="s">
        <v>94</v>
      </c>
      <c r="AE73" s="77" t="s">
        <v>94</v>
      </c>
      <c r="AF73" s="70" t="s">
        <v>94</v>
      </c>
      <c r="AG73" s="66"/>
      <c r="AH73" s="69" t="s">
        <v>94</v>
      </c>
    </row>
    <row r="74" spans="4:34">
      <c r="D74" s="142" t="s">
        <v>119</v>
      </c>
      <c r="E74" s="311">
        <f t="shared" ref="E74:AH74" si="3">COUNTBLANK(E41:E47)</f>
        <v>7</v>
      </c>
      <c r="F74" s="311">
        <f t="shared" si="3"/>
        <v>7</v>
      </c>
      <c r="G74" s="311">
        <f t="shared" si="3"/>
        <v>7</v>
      </c>
      <c r="H74" s="311">
        <f t="shared" si="3"/>
        <v>7</v>
      </c>
      <c r="I74" s="311">
        <f t="shared" si="3"/>
        <v>7</v>
      </c>
      <c r="J74" s="311">
        <f t="shared" si="3"/>
        <v>7</v>
      </c>
      <c r="K74" s="311">
        <f t="shared" si="3"/>
        <v>7</v>
      </c>
      <c r="L74" s="311">
        <f t="shared" si="3"/>
        <v>7</v>
      </c>
      <c r="M74" s="311">
        <f t="shared" si="3"/>
        <v>7</v>
      </c>
      <c r="N74" s="311">
        <f t="shared" si="3"/>
        <v>7</v>
      </c>
      <c r="O74" s="311">
        <f t="shared" si="3"/>
        <v>7</v>
      </c>
      <c r="P74" s="311">
        <f t="shared" si="3"/>
        <v>7</v>
      </c>
      <c r="Q74" s="311">
        <f t="shared" si="3"/>
        <v>7</v>
      </c>
      <c r="R74" s="311">
        <f t="shared" si="3"/>
        <v>3</v>
      </c>
      <c r="S74" s="311">
        <f t="shared" si="3"/>
        <v>3</v>
      </c>
      <c r="T74" s="311">
        <f t="shared" si="3"/>
        <v>2</v>
      </c>
      <c r="U74" s="311">
        <f t="shared" si="3"/>
        <v>3</v>
      </c>
      <c r="V74" s="311">
        <f t="shared" si="3"/>
        <v>4</v>
      </c>
      <c r="W74" s="311">
        <f t="shared" si="3"/>
        <v>7</v>
      </c>
      <c r="X74" s="311">
        <f t="shared" si="3"/>
        <v>7</v>
      </c>
      <c r="Y74" s="311">
        <f t="shared" si="3"/>
        <v>7</v>
      </c>
      <c r="Z74" s="311">
        <f t="shared" si="3"/>
        <v>7</v>
      </c>
      <c r="AA74" s="311">
        <f t="shared" si="3"/>
        <v>7</v>
      </c>
      <c r="AB74" s="311">
        <f t="shared" si="3"/>
        <v>7</v>
      </c>
      <c r="AC74" s="311">
        <f t="shared" si="3"/>
        <v>6</v>
      </c>
      <c r="AD74" s="311">
        <f t="shared" si="3"/>
        <v>7</v>
      </c>
      <c r="AE74" s="311">
        <f t="shared" si="3"/>
        <v>7</v>
      </c>
      <c r="AF74" s="311">
        <f t="shared" si="3"/>
        <v>7</v>
      </c>
      <c r="AG74" s="311"/>
      <c r="AH74" s="311">
        <f t="shared" si="3"/>
        <v>7</v>
      </c>
    </row>
  </sheetData>
  <mergeCells count="24">
    <mergeCell ref="B48:D48"/>
    <mergeCell ref="E4:J4"/>
    <mergeCell ref="K4:Q4"/>
    <mergeCell ref="R4:X4"/>
    <mergeCell ref="A40:A47"/>
    <mergeCell ref="B40:D40"/>
    <mergeCell ref="A25:A32"/>
    <mergeCell ref="B25:D25"/>
    <mergeCell ref="A33:A39"/>
    <mergeCell ref="B33:D33"/>
    <mergeCell ref="A14:A15"/>
    <mergeCell ref="B14:D14"/>
    <mergeCell ref="A16:A17"/>
    <mergeCell ref="B16:D16"/>
    <mergeCell ref="A18:A24"/>
    <mergeCell ref="B18:D18"/>
    <mergeCell ref="E2:AH2"/>
    <mergeCell ref="E3:AH3"/>
    <mergeCell ref="A8:A9"/>
    <mergeCell ref="A10:A11"/>
    <mergeCell ref="A12:A13"/>
    <mergeCell ref="B12:D12"/>
    <mergeCell ref="Y4:AE4"/>
    <mergeCell ref="AF4:AH4"/>
  </mergeCells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26D7BCCF-84A2-4A71-9812-BBC08F38B116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C65F59A7-B927-4F44-B23E-A37872FF49D0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23192C11-47A0-41C7-8CD6-49AF5CB9C02E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1CDE23DC-6DE8-4137-8489-DE5D4108617D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DCE745B5-13F4-4624-BF6E-728639C0D2B4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EEDAA6CA-C9CA-4447-BB2E-01EC77720028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016FA42B-8F29-40DD-98D8-C6BB1B7ECCDE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93E18646-5A33-426D-B3D3-7DA84446277E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06267073-39CF-4D8F-8FE1-250E98006DD8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46FB8B56-6D64-49E5-8CD5-AEAD1D9FD303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851ECEDC-44CF-4FEE-A073-590815910C71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FC08B747-DDEE-4C95-BF46-11A492BCDBA9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47642590-BEC1-47A4-A40D-5C241F788CAB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8B6F2EE7-153F-459C-ACC4-18E97B1325AB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7A08710B-3127-48F5-9D9D-5289E430BA89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8B0C7FD7-7BB5-4A83-83E6-59E1CC761B16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E502D5C7-7213-4BDD-99B4-0D432EA9D18C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90CE373F-B5DA-43D8-9B6C-6E88AEAB5AE3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B614E20A-1426-456F-9C1E-9DD59E4451D3}">
            <xm:f>'OHLR DUAT'!$F$18&gt;2</xm:f>
            <x14:dxf/>
          </x14:cfRule>
          <x14:cfRule type="expression" priority="21" stopIfTrue="1" id="{27FE3EB7-5E69-4AB2-91C9-02B41362B459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FBD28E15-9F2D-49F0-839C-ED48F51D143F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1024C587-6622-4330-89A4-5AF3061350AF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581B4CE1-A630-41B3-BB98-F6045841727A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43E0D608-403B-4B11-B5DA-45D9DA98F02A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12BE068B-C71F-4529-8499-9F4BE46BBCDB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D7952251-F3C7-40B0-B9FE-7574C8FAC3AA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1DB6A879-D3F6-4F33-B8BF-0FAE64093EB2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45687C0F-F6B3-4974-9B49-74E03FDA3D6A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7E2805C4-9764-40E6-9205-82A7F6C82D65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ABF7FC89-F082-45CA-B691-B7FB03AEC0E6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0496344D-7F9A-44BE-B4B7-C805B169E2D3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A6BCF685-E33A-4B4B-8AF0-B5B034C41BC7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718D0939-308B-4A9D-B069-F1A5E8CA8691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396F4E4A-8E25-4C40-84D0-F1B4A086C079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91573439-05C4-47F8-858B-2A501F481950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0" id="{5F9DA64C-5A07-4A88-8553-8FC999B921F7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D612A25A-9A4C-49E3-BDCA-59D0C2BFCD3D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8346F401-5B5D-4406-ADF9-432EB88C1BB7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" id="{12AC064B-6C4B-4391-9A80-2C489F204648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AC96CE20-A580-4F26-808A-AAAC4F8D2481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278D7DFA-FC5B-459F-BAF2-0ED93D358591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" id="{AEB9FE44-6666-44E7-B2CD-0BE13A79347A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214B1C67-58AC-4136-9EA3-F9A1AE8DBB7B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A22FBEEB-CCF2-42AF-A25C-C12E482C2A93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2" stopIfTrue="1" id="{3CA07036-B16D-4549-B955-65E2919B7B64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DC99BF1C-0E30-49B4-8477-6D12294A676F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D228C5D1-B681-4187-8466-4ACA406129D3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1D23F13E-A0C5-4A0B-94A8-290D386B6E9C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212BC79A-7ED5-4B70-AD24-4EF227ED3261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D6892F2D-027C-41FF-B5DA-153CFA81D46E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6A5455DA-AD6C-465D-AB42-FF20DA99BEC0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898C0275-69F7-4B84-BA6F-177A0197E5C2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2B2C7407-2590-4E71-BD0D-DDFFE385D358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6DD2A75E-B611-4C94-86A3-CFCE33605077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15779B78-7CC7-4739-9795-FFF27C7B6E78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B31177D2-76BE-4E5D-8704-6B412CDB25C8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2C01BE52-90F7-4BDB-88E7-B89DC1C65F9C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8B537DB8-697A-48C6-BA34-D5037D0A1BED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AB84F642-30BC-48BA-8E66-56B87259B260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0A617166-EA24-411B-A041-FDE625B45DE9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48088A9E-61F7-4CA0-906E-32198F136E78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51A4CB5F-653A-4327-A7AD-A2C0FF96F17B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70952A96-815D-4F7D-999E-2E70DC12C1EE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0A8B2FEC-D0EE-410C-8E23-CFC486A8E400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38979762-9448-4D2A-838B-09FEBDAF8BFD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0CE0B7CE-6BE0-42CF-8815-429B7758D114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6D056ACD-1FBB-4CF2-B16C-D1A7190E9949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89DCA3FA-6FBC-4F0D-BBAE-6D8327FB9039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8051D8B0-F50B-471D-AF89-F1A81E8ED29B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9BA73CC7-E7EB-42C3-B7F9-63475075E906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354BB052-CA40-4545-BF7C-FCC2F006C00F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0286F3FB-252A-4667-9846-23E91E284A15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1F87D5FB-08EC-4510-B68C-985B10225089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222FEF49-53B0-42AC-B369-45B875B52168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253EE822-12F3-41EB-AE44-7498DB18E7D1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EC071B92-3356-4C75-99C5-F3247F1A0E6E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CA171FD1-A718-4392-AA41-D8959B29A92B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ED23E713-A033-4898-A2BA-3525A41EB46C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3" id="{A9FAB246-F350-4C8B-9AEC-F7187A2390C4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839" id="{DAE72C38-5E1A-4BD4-9085-6D5FFF002660}">
            <xm:f>VLOOKUP(#REF!,'OHLR DUAT'!$B$4:$E$15,4,FALSE)</xm:f>
            <x14:dxf/>
          </x14:cfRule>
          <xm:sqref>E8:AH9 C10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C824-BDCC-45AF-A2EA-75813CF86B26}">
  <dimension ref="A1:AP73"/>
  <sheetViews>
    <sheetView zoomScale="85" zoomScaleNormal="85" workbookViewId="0">
      <pane xSplit="4" ySplit="7" topLeftCell="J24" activePane="bottomRight" state="frozen"/>
      <selection pane="topRight"/>
      <selection pane="bottomLeft"/>
      <selection pane="bottomRight" activeCell="B30" sqref="B30:D30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35" width="6.6328125" customWidth="1"/>
  </cols>
  <sheetData>
    <row r="1" spans="1:42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42" ht="20.5" thickBot="1">
      <c r="A2" s="14"/>
      <c r="B2" s="42"/>
      <c r="C2" s="15"/>
      <c r="D2" s="15"/>
      <c r="E2" s="1407" t="s">
        <v>60</v>
      </c>
      <c r="F2" s="1407"/>
      <c r="G2" s="1407"/>
      <c r="H2" s="1407"/>
      <c r="I2" s="1407"/>
      <c r="J2" s="1407"/>
      <c r="K2" s="1407"/>
      <c r="L2" s="1407"/>
      <c r="M2" s="1407"/>
      <c r="N2" s="1407"/>
      <c r="O2" s="1407"/>
      <c r="P2" s="1407"/>
      <c r="Q2" s="1407"/>
      <c r="R2" s="1407"/>
      <c r="S2" s="1407"/>
      <c r="T2" s="1407"/>
      <c r="U2" s="1407"/>
      <c r="V2" s="1407"/>
      <c r="W2" s="1407"/>
      <c r="X2" s="1407"/>
      <c r="Y2" s="1407"/>
      <c r="Z2" s="1407"/>
      <c r="AA2" s="1407"/>
      <c r="AB2" s="1407"/>
      <c r="AC2" s="1407"/>
      <c r="AD2" s="1407"/>
      <c r="AE2" s="1407"/>
      <c r="AF2" s="1407"/>
      <c r="AG2" s="1407"/>
      <c r="AH2" s="1407"/>
      <c r="AI2" s="448"/>
    </row>
    <row r="3" spans="1:42" ht="18" customHeight="1" thickBot="1">
      <c r="A3" s="19"/>
      <c r="B3" s="43"/>
      <c r="C3" s="19"/>
      <c r="D3" s="19"/>
      <c r="E3" s="1410" t="s">
        <v>385</v>
      </c>
      <c r="F3" s="1408"/>
      <c r="G3" s="1408"/>
      <c r="H3" s="1408"/>
      <c r="I3" s="1408"/>
      <c r="J3" s="1408"/>
      <c r="K3" s="1408"/>
      <c r="L3" s="1408"/>
      <c r="M3" s="1408"/>
      <c r="N3" s="1408"/>
      <c r="O3" s="1408"/>
      <c r="P3" s="1408"/>
      <c r="Q3" s="1408"/>
      <c r="R3" s="1408"/>
      <c r="S3" s="1408"/>
      <c r="T3" s="1408"/>
      <c r="U3" s="1408"/>
      <c r="V3" s="1408"/>
      <c r="W3" s="1408"/>
      <c r="X3" s="1408"/>
      <c r="Y3" s="1408"/>
      <c r="Z3" s="1408"/>
      <c r="AA3" s="1408"/>
      <c r="AB3" s="1408"/>
      <c r="AC3" s="1408"/>
      <c r="AD3" s="1411"/>
      <c r="AE3" s="1411"/>
      <c r="AF3" s="1411"/>
      <c r="AG3" s="1411"/>
      <c r="AH3" s="1411"/>
      <c r="AI3" s="1412"/>
    </row>
    <row r="4" spans="1:42" s="31" customFormat="1" ht="18" customHeight="1">
      <c r="A4" s="19"/>
      <c r="B4" s="43"/>
      <c r="C4" s="19"/>
      <c r="D4" s="19"/>
      <c r="E4" s="1420" t="s">
        <v>373</v>
      </c>
      <c r="F4" s="1418"/>
      <c r="G4" s="1418"/>
      <c r="H4" s="1421"/>
      <c r="I4" s="1417" t="s">
        <v>386</v>
      </c>
      <c r="J4" s="1418"/>
      <c r="K4" s="1418"/>
      <c r="L4" s="1418"/>
      <c r="M4" s="1418"/>
      <c r="N4" s="1418"/>
      <c r="O4" s="1419"/>
      <c r="P4" s="1420" t="s">
        <v>387</v>
      </c>
      <c r="Q4" s="1418"/>
      <c r="R4" s="1418"/>
      <c r="S4" s="1418"/>
      <c r="T4" s="1418"/>
      <c r="U4" s="1418"/>
      <c r="V4" s="1421"/>
      <c r="W4" s="1417" t="s">
        <v>388</v>
      </c>
      <c r="X4" s="1418"/>
      <c r="Y4" s="1418"/>
      <c r="Z4" s="1418"/>
      <c r="AA4" s="1418"/>
      <c r="AB4" s="1418"/>
      <c r="AC4" s="1419"/>
      <c r="AD4" s="1413" t="s">
        <v>389</v>
      </c>
      <c r="AE4" s="1414"/>
      <c r="AF4" s="1414"/>
      <c r="AG4" s="1414"/>
      <c r="AH4" s="1414"/>
      <c r="AI4" s="1415"/>
    </row>
    <row r="5" spans="1:42" s="31" customFormat="1" ht="18" customHeight="1">
      <c r="A5" s="14"/>
      <c r="B5" s="42"/>
      <c r="C5" s="15"/>
      <c r="D5" s="15"/>
      <c r="E5" s="428">
        <v>46296</v>
      </c>
      <c r="F5" s="418">
        <v>46297</v>
      </c>
      <c r="G5" s="418">
        <v>46298</v>
      </c>
      <c r="H5" s="429">
        <v>46299</v>
      </c>
      <c r="I5" s="426">
        <v>46300</v>
      </c>
      <c r="J5" s="418">
        <v>46301</v>
      </c>
      <c r="K5" s="418">
        <v>46302</v>
      </c>
      <c r="L5" s="418">
        <v>46303</v>
      </c>
      <c r="M5" s="418">
        <v>46304</v>
      </c>
      <c r="N5" s="418">
        <v>46305</v>
      </c>
      <c r="O5" s="432">
        <v>46306</v>
      </c>
      <c r="P5" s="428">
        <v>46307</v>
      </c>
      <c r="Q5" s="418">
        <v>46308</v>
      </c>
      <c r="R5" s="418">
        <v>46309</v>
      </c>
      <c r="S5" s="418">
        <v>46310</v>
      </c>
      <c r="T5" s="418">
        <v>46311</v>
      </c>
      <c r="U5" s="418">
        <v>46312</v>
      </c>
      <c r="V5" s="429">
        <v>46313</v>
      </c>
      <c r="W5" s="426">
        <v>46314</v>
      </c>
      <c r="X5" s="418">
        <v>46315</v>
      </c>
      <c r="Y5" s="418">
        <v>46316</v>
      </c>
      <c r="Z5" s="418">
        <v>46317</v>
      </c>
      <c r="AA5" s="418">
        <v>46318</v>
      </c>
      <c r="AB5" s="418">
        <v>46319</v>
      </c>
      <c r="AC5" s="432">
        <v>46320</v>
      </c>
      <c r="AD5" s="428">
        <v>46321</v>
      </c>
      <c r="AE5" s="418">
        <v>46322</v>
      </c>
      <c r="AF5" s="418">
        <v>46323</v>
      </c>
      <c r="AG5" s="418">
        <v>46324</v>
      </c>
      <c r="AH5" s="418">
        <v>46325</v>
      </c>
      <c r="AI5" s="429">
        <v>46326</v>
      </c>
    </row>
    <row r="6" spans="1:42" s="31" customFormat="1" ht="18" customHeight="1" thickBot="1">
      <c r="A6" s="19"/>
      <c r="B6" s="43"/>
      <c r="C6" s="19"/>
      <c r="D6" s="19"/>
      <c r="E6" s="424" t="s">
        <v>67</v>
      </c>
      <c r="F6" s="420" t="s">
        <v>68</v>
      </c>
      <c r="G6" s="420" t="s">
        <v>69</v>
      </c>
      <c r="H6" s="425" t="s">
        <v>70</v>
      </c>
      <c r="I6" s="450" t="s">
        <v>71</v>
      </c>
      <c r="J6" s="420" t="s">
        <v>72</v>
      </c>
      <c r="K6" s="419" t="s">
        <v>73</v>
      </c>
      <c r="L6" s="419" t="s">
        <v>67</v>
      </c>
      <c r="M6" s="419" t="s">
        <v>68</v>
      </c>
      <c r="N6" s="419" t="s">
        <v>69</v>
      </c>
      <c r="O6" s="433" t="s">
        <v>70</v>
      </c>
      <c r="P6" s="424" t="s">
        <v>71</v>
      </c>
      <c r="Q6" s="419" t="s">
        <v>72</v>
      </c>
      <c r="R6" s="419" t="s">
        <v>73</v>
      </c>
      <c r="S6" s="419" t="s">
        <v>67</v>
      </c>
      <c r="T6" s="419" t="s">
        <v>68</v>
      </c>
      <c r="U6" s="419" t="s">
        <v>69</v>
      </c>
      <c r="V6" s="425" t="s">
        <v>70</v>
      </c>
      <c r="W6" s="427" t="s">
        <v>71</v>
      </c>
      <c r="X6" s="419" t="s">
        <v>72</v>
      </c>
      <c r="Y6" s="419" t="s">
        <v>73</v>
      </c>
      <c r="Z6" s="419" t="s">
        <v>67</v>
      </c>
      <c r="AA6" s="419" t="s">
        <v>68</v>
      </c>
      <c r="AB6" s="419" t="s">
        <v>69</v>
      </c>
      <c r="AC6" s="433" t="s">
        <v>70</v>
      </c>
      <c r="AD6" s="424" t="s">
        <v>71</v>
      </c>
      <c r="AE6" s="419" t="s">
        <v>72</v>
      </c>
      <c r="AF6" s="419" t="s">
        <v>73</v>
      </c>
      <c r="AG6" s="419" t="s">
        <v>67</v>
      </c>
      <c r="AH6" s="420" t="s">
        <v>68</v>
      </c>
      <c r="AI6" s="446" t="s">
        <v>69</v>
      </c>
    </row>
    <row r="7" spans="1:42" ht="18" customHeight="1" thickBot="1">
      <c r="A7" s="24" t="s">
        <v>74</v>
      </c>
      <c r="B7" s="113" t="s">
        <v>75</v>
      </c>
      <c r="C7" s="25" t="s">
        <v>76</v>
      </c>
      <c r="D7" s="26" t="s">
        <v>77</v>
      </c>
      <c r="E7" s="437"/>
      <c r="F7" s="438"/>
      <c r="G7" s="438"/>
      <c r="H7" s="439"/>
      <c r="I7" s="440"/>
      <c r="J7" s="438"/>
      <c r="K7" s="438"/>
      <c r="L7" s="438"/>
      <c r="M7" s="438"/>
      <c r="N7" s="438"/>
      <c r="O7" s="442"/>
      <c r="P7" s="437"/>
      <c r="Q7" s="438"/>
      <c r="R7" s="438"/>
      <c r="S7" s="438"/>
      <c r="T7" s="438"/>
      <c r="U7" s="438"/>
      <c r="V7" s="439"/>
      <c r="W7" s="440"/>
      <c r="X7" s="438"/>
      <c r="Y7" s="438"/>
      <c r="Z7" s="438"/>
      <c r="AA7" s="438"/>
      <c r="AB7" s="438"/>
      <c r="AC7" s="442"/>
      <c r="AD7" s="437"/>
      <c r="AE7" s="438"/>
      <c r="AF7" s="438"/>
      <c r="AG7" s="438"/>
      <c r="AH7" s="438"/>
      <c r="AI7" s="439"/>
    </row>
    <row r="8" spans="1:42" ht="18" customHeight="1">
      <c r="A8" s="1346" t="s">
        <v>78</v>
      </c>
      <c r="B8" s="44" t="s">
        <v>79</v>
      </c>
      <c r="C8" s="17" t="s">
        <v>80</v>
      </c>
      <c r="D8" s="21">
        <v>300179</v>
      </c>
      <c r="E8" s="441"/>
      <c r="F8" s="431"/>
      <c r="G8" s="431"/>
      <c r="H8" s="436"/>
      <c r="I8" s="435"/>
      <c r="J8" s="431"/>
      <c r="K8" s="431"/>
      <c r="L8" s="431"/>
      <c r="M8" s="431"/>
      <c r="N8" s="431"/>
      <c r="O8" s="443"/>
      <c r="P8" s="441"/>
      <c r="Q8" s="431"/>
      <c r="R8" s="431"/>
      <c r="S8" s="431"/>
      <c r="T8" s="431"/>
      <c r="U8" s="431"/>
      <c r="V8" s="436"/>
      <c r="W8" s="435"/>
      <c r="X8" s="431"/>
      <c r="Y8" s="431"/>
      <c r="Z8" s="431"/>
      <c r="AA8" s="431"/>
      <c r="AB8" s="431"/>
      <c r="AC8" s="443"/>
      <c r="AD8" s="441"/>
      <c r="AE8" s="431"/>
      <c r="AF8" s="431"/>
      <c r="AG8" s="431"/>
      <c r="AH8" s="431"/>
      <c r="AI8" s="436"/>
    </row>
    <row r="9" spans="1:42" ht="18" customHeight="1" thickBot="1">
      <c r="A9" s="1347"/>
      <c r="B9" s="115" t="s">
        <v>82</v>
      </c>
      <c r="C9" s="20" t="s">
        <v>80</v>
      </c>
      <c r="D9" s="156">
        <v>668695</v>
      </c>
      <c r="E9" s="516"/>
      <c r="F9" s="518"/>
      <c r="G9" s="518"/>
      <c r="H9" s="517"/>
      <c r="I9" s="519"/>
      <c r="J9" s="518"/>
      <c r="K9" s="518"/>
      <c r="L9" s="518"/>
      <c r="M9" s="518"/>
      <c r="N9" s="518"/>
      <c r="O9" s="520"/>
      <c r="P9" s="516"/>
      <c r="Q9" s="518"/>
      <c r="R9" s="518"/>
      <c r="S9" s="518"/>
      <c r="T9" s="518"/>
      <c r="U9" s="518"/>
      <c r="V9" s="517"/>
      <c r="W9" s="519"/>
      <c r="X9" s="518"/>
      <c r="Y9" s="518"/>
      <c r="Z9" s="518"/>
      <c r="AA9" s="518"/>
      <c r="AB9" s="518"/>
      <c r="AC9" s="520"/>
      <c r="AD9" s="516"/>
      <c r="AE9" s="518"/>
      <c r="AF9" s="518"/>
      <c r="AG9" s="518"/>
      <c r="AH9" s="518"/>
      <c r="AI9" s="517"/>
    </row>
    <row r="10" spans="1:42" ht="18" customHeight="1" thickTop="1">
      <c r="A10" s="1331" t="s">
        <v>85</v>
      </c>
      <c r="B10" s="90" t="s">
        <v>86</v>
      </c>
      <c r="C10" s="17" t="s">
        <v>13</v>
      </c>
      <c r="D10" s="21">
        <v>231061</v>
      </c>
      <c r="E10" s="527" t="s">
        <v>38</v>
      </c>
      <c r="F10" s="528" t="s">
        <v>38</v>
      </c>
      <c r="G10" s="529" t="s">
        <v>84</v>
      </c>
      <c r="H10" s="534" t="s">
        <v>38</v>
      </c>
      <c r="I10" s="532" t="s">
        <v>38</v>
      </c>
      <c r="J10" s="528" t="s">
        <v>38</v>
      </c>
      <c r="K10" s="528" t="s">
        <v>38</v>
      </c>
      <c r="L10" s="528" t="s">
        <v>38</v>
      </c>
      <c r="M10" s="528" t="s">
        <v>38</v>
      </c>
      <c r="N10" s="529" t="s">
        <v>84</v>
      </c>
      <c r="O10" s="533" t="s">
        <v>84</v>
      </c>
      <c r="P10" s="527" t="s">
        <v>87</v>
      </c>
      <c r="Q10" s="528" t="s">
        <v>87</v>
      </c>
      <c r="R10" s="528" t="s">
        <v>87</v>
      </c>
      <c r="S10" s="528" t="s">
        <v>87</v>
      </c>
      <c r="T10" s="528" t="s">
        <v>87</v>
      </c>
      <c r="U10" s="529" t="s">
        <v>84</v>
      </c>
      <c r="V10" s="531" t="s">
        <v>84</v>
      </c>
      <c r="W10" s="532" t="s">
        <v>87</v>
      </c>
      <c r="X10" s="528" t="s">
        <v>87</v>
      </c>
      <c r="Y10" s="528" t="s">
        <v>87</v>
      </c>
      <c r="Z10" s="528" t="s">
        <v>87</v>
      </c>
      <c r="AA10" s="528" t="s">
        <v>87</v>
      </c>
      <c r="AB10" s="529" t="s">
        <v>84</v>
      </c>
      <c r="AC10" s="530" t="s">
        <v>38</v>
      </c>
      <c r="AD10" s="527" t="s">
        <v>38</v>
      </c>
      <c r="AE10" s="528" t="s">
        <v>38</v>
      </c>
      <c r="AF10" s="528" t="s">
        <v>38</v>
      </c>
      <c r="AG10" s="528" t="s">
        <v>38</v>
      </c>
      <c r="AH10" s="528" t="s">
        <v>38</v>
      </c>
      <c r="AI10" s="531" t="s">
        <v>84</v>
      </c>
    </row>
    <row r="11" spans="1:42" ht="18" customHeight="1">
      <c r="A11" s="1331"/>
      <c r="B11" s="86" t="s">
        <v>24</v>
      </c>
      <c r="C11" s="18" t="s">
        <v>13</v>
      </c>
      <c r="D11" s="52" t="s">
        <v>89</v>
      </c>
      <c r="E11" s="485" t="s">
        <v>87</v>
      </c>
      <c r="F11" s="487" t="s">
        <v>87</v>
      </c>
      <c r="G11" s="486" t="s">
        <v>90</v>
      </c>
      <c r="H11" s="484" t="s">
        <v>84</v>
      </c>
      <c r="I11" s="488" t="s">
        <v>87</v>
      </c>
      <c r="J11" s="486" t="s">
        <v>87</v>
      </c>
      <c r="K11" s="486" t="s">
        <v>87</v>
      </c>
      <c r="L11" s="486" t="s">
        <v>87</v>
      </c>
      <c r="M11" s="486" t="s">
        <v>87</v>
      </c>
      <c r="N11" s="489" t="s">
        <v>84</v>
      </c>
      <c r="O11" s="490" t="s">
        <v>84</v>
      </c>
      <c r="P11" s="485" t="s">
        <v>123</v>
      </c>
      <c r="Q11" s="486" t="s">
        <v>87</v>
      </c>
      <c r="R11" s="486" t="s">
        <v>87</v>
      </c>
      <c r="S11" s="486" t="s">
        <v>87</v>
      </c>
      <c r="T11" s="487" t="s">
        <v>87</v>
      </c>
      <c r="U11" s="486" t="s">
        <v>90</v>
      </c>
      <c r="V11" s="484" t="s">
        <v>84</v>
      </c>
      <c r="W11" s="1189" t="s">
        <v>81</v>
      </c>
      <c r="X11" s="489" t="s">
        <v>81</v>
      </c>
      <c r="Y11" s="489" t="s">
        <v>81</v>
      </c>
      <c r="Z11" s="489" t="s">
        <v>81</v>
      </c>
      <c r="AA11" s="1190" t="s">
        <v>162</v>
      </c>
      <c r="AB11" s="489" t="s">
        <v>84</v>
      </c>
      <c r="AC11" s="490" t="s">
        <v>84</v>
      </c>
      <c r="AD11" s="485" t="s">
        <v>87</v>
      </c>
      <c r="AE11" s="486" t="s">
        <v>87</v>
      </c>
      <c r="AF11" s="486" t="s">
        <v>87</v>
      </c>
      <c r="AG11" s="486" t="s">
        <v>87</v>
      </c>
      <c r="AH11" s="487" t="s">
        <v>87</v>
      </c>
      <c r="AI11" s="526" t="s">
        <v>90</v>
      </c>
    </row>
    <row r="12" spans="1:42" ht="18" customHeight="1" thickTop="1" thickBot="1">
      <c r="A12" s="1316" t="s">
        <v>92</v>
      </c>
      <c r="B12" s="1334" t="s">
        <v>93</v>
      </c>
      <c r="C12" s="1332"/>
      <c r="D12" s="1332"/>
      <c r="E12" s="476" t="s">
        <v>95</v>
      </c>
      <c r="F12" s="478" t="s">
        <v>95</v>
      </c>
      <c r="G12" s="479" t="s">
        <v>84</v>
      </c>
      <c r="H12" s="480" t="s">
        <v>84</v>
      </c>
      <c r="I12" s="481" t="s">
        <v>94</v>
      </c>
      <c r="J12" s="478" t="s">
        <v>94</v>
      </c>
      <c r="K12" s="478" t="s">
        <v>94</v>
      </c>
      <c r="L12" s="478" t="s">
        <v>94</v>
      </c>
      <c r="M12" s="478" t="s">
        <v>94</v>
      </c>
      <c r="N12" s="479" t="s">
        <v>84</v>
      </c>
      <c r="O12" s="482" t="s">
        <v>94</v>
      </c>
      <c r="P12" s="476" t="s">
        <v>94</v>
      </c>
      <c r="Q12" s="478" t="s">
        <v>94</v>
      </c>
      <c r="R12" s="478" t="s">
        <v>94</v>
      </c>
      <c r="S12" s="478" t="s">
        <v>94</v>
      </c>
      <c r="T12" s="478" t="s">
        <v>94</v>
      </c>
      <c r="U12" s="479" t="s">
        <v>84</v>
      </c>
      <c r="V12" s="480" t="s">
        <v>84</v>
      </c>
      <c r="W12" s="481" t="s">
        <v>95</v>
      </c>
      <c r="X12" s="478" t="s">
        <v>95</v>
      </c>
      <c r="Y12" s="478" t="s">
        <v>95</v>
      </c>
      <c r="Z12" s="478" t="s">
        <v>95</v>
      </c>
      <c r="AA12" s="478" t="s">
        <v>95</v>
      </c>
      <c r="AB12" s="478" t="s">
        <v>95</v>
      </c>
      <c r="AC12" s="493" t="s">
        <v>84</v>
      </c>
      <c r="AD12" s="476" t="s">
        <v>95</v>
      </c>
      <c r="AE12" s="478" t="s">
        <v>95</v>
      </c>
      <c r="AF12" s="478" t="s">
        <v>95</v>
      </c>
      <c r="AG12" s="478" t="s">
        <v>95</v>
      </c>
      <c r="AH12" s="478" t="s">
        <v>95</v>
      </c>
      <c r="AI12" s="480" t="s">
        <v>84</v>
      </c>
      <c r="AJ12" s="137" t="s">
        <v>95</v>
      </c>
      <c r="AK12" s="137" t="s">
        <v>38</v>
      </c>
      <c r="AL12" s="138" t="s">
        <v>84</v>
      </c>
      <c r="AM12" s="137" t="s">
        <v>81</v>
      </c>
      <c r="AN12" s="137" t="s">
        <v>88</v>
      </c>
      <c r="AO12" s="137" t="s">
        <v>96</v>
      </c>
      <c r="AP12" s="139" t="s">
        <v>97</v>
      </c>
    </row>
    <row r="13" spans="1:42" ht="18" customHeight="1" thickBot="1">
      <c r="A13" s="1333"/>
      <c r="B13" s="116" t="s">
        <v>22</v>
      </c>
      <c r="C13" s="53" t="s">
        <v>16</v>
      </c>
      <c r="D13" s="23">
        <v>517968</v>
      </c>
      <c r="E13" s="494"/>
      <c r="F13" s="496"/>
      <c r="G13" s="496"/>
      <c r="H13" s="495"/>
      <c r="I13" s="497"/>
      <c r="J13" s="496"/>
      <c r="K13" s="496"/>
      <c r="L13" s="496"/>
      <c r="M13" s="496"/>
      <c r="N13" s="496"/>
      <c r="O13" s="498"/>
      <c r="P13" s="494"/>
      <c r="Q13" s="496"/>
      <c r="R13" s="496"/>
      <c r="S13" s="496"/>
      <c r="T13" s="496"/>
      <c r="U13" s="496"/>
      <c r="V13" s="495"/>
      <c r="W13" s="497"/>
      <c r="X13" s="496"/>
      <c r="Y13" s="496"/>
      <c r="Z13" s="496"/>
      <c r="AA13" s="496"/>
      <c r="AB13" s="496"/>
      <c r="AC13" s="498"/>
      <c r="AD13" s="494"/>
      <c r="AE13" s="496"/>
      <c r="AF13" s="496"/>
      <c r="AG13" s="496"/>
      <c r="AH13" s="496"/>
      <c r="AI13" s="495"/>
      <c r="AJ13" s="89" cm="1">
        <f t="array" ref="AJ13">SUMPRODUCT(($E$12:$AH$12="HR")*($E$13:$AH$13=""))+SUMPRODUCT(($E$13:$AH$13="HR")*1)</f>
        <v>13</v>
      </c>
      <c r="AK13" s="89" cm="1">
        <f t="array" ref="AK13">SUMPRODUCT(($E$12:$AH$12="N0")*($E$13:$AH$13=""))+SUMPRODUCT(($E$13:$AH$13="N")*1)</f>
        <v>11</v>
      </c>
      <c r="AL13" s="89" cm="1">
        <f t="array" ref="AL13">SUMPRODUCT(($E$12:$AH$12="RD")*($E$13:$AH$13=""))+SUMPRODUCT(($E$13:$AH$13="RD")*1)</f>
        <v>6</v>
      </c>
      <c r="AM13" s="89" cm="1">
        <f t="array" ref="AM13">SUMPRODUCT(($E$13:$AH$13="AL")*1)</f>
        <v>0</v>
      </c>
      <c r="AN13" s="89" cm="1">
        <f t="array" ref="AN13">SUMPRODUCT(($E$13:$AH$13="SH")*1)</f>
        <v>0</v>
      </c>
      <c r="AO13" s="89" cm="1">
        <f t="array" ref="AO13">SUMPRODUCT(($E$13:$AH$13="SL")*1)</f>
        <v>0</v>
      </c>
      <c r="AP13" s="140" t="e">
        <f>#REF!-AJ13-AK13-AL13-AM13-AN13-AO13</f>
        <v>#REF!</v>
      </c>
    </row>
    <row r="14" spans="1:42" ht="18" customHeight="1" thickTop="1" thickBot="1">
      <c r="A14" s="1316" t="s">
        <v>98</v>
      </c>
      <c r="B14" s="1330" t="s">
        <v>93</v>
      </c>
      <c r="C14" s="1330"/>
      <c r="D14" s="1330"/>
      <c r="E14" s="476" t="s">
        <v>94</v>
      </c>
      <c r="F14" s="478" t="s">
        <v>94</v>
      </c>
      <c r="G14" s="479" t="s">
        <v>84</v>
      </c>
      <c r="H14" s="480" t="s">
        <v>84</v>
      </c>
      <c r="I14" s="481" t="s">
        <v>95</v>
      </c>
      <c r="J14" s="478" t="s">
        <v>95</v>
      </c>
      <c r="K14" s="478" t="s">
        <v>95</v>
      </c>
      <c r="L14" s="478" t="s">
        <v>95</v>
      </c>
      <c r="M14" s="478" t="s">
        <v>95</v>
      </c>
      <c r="N14" s="478" t="s">
        <v>95</v>
      </c>
      <c r="O14" s="493" t="s">
        <v>84</v>
      </c>
      <c r="P14" s="476" t="s">
        <v>95</v>
      </c>
      <c r="Q14" s="478" t="s">
        <v>95</v>
      </c>
      <c r="R14" s="478" t="s">
        <v>95</v>
      </c>
      <c r="S14" s="478" t="s">
        <v>95</v>
      </c>
      <c r="T14" s="478" t="s">
        <v>95</v>
      </c>
      <c r="U14" s="479" t="s">
        <v>84</v>
      </c>
      <c r="V14" s="480" t="s">
        <v>84</v>
      </c>
      <c r="W14" s="481" t="s">
        <v>94</v>
      </c>
      <c r="X14" s="478" t="s">
        <v>94</v>
      </c>
      <c r="Y14" s="478" t="s">
        <v>94</v>
      </c>
      <c r="Z14" s="478" t="s">
        <v>94</v>
      </c>
      <c r="AA14" s="478" t="s">
        <v>94</v>
      </c>
      <c r="AB14" s="479" t="s">
        <v>84</v>
      </c>
      <c r="AC14" s="482" t="s">
        <v>94</v>
      </c>
      <c r="AD14" s="476" t="s">
        <v>94</v>
      </c>
      <c r="AE14" s="478" t="s">
        <v>94</v>
      </c>
      <c r="AF14" s="478" t="s">
        <v>94</v>
      </c>
      <c r="AG14" s="478" t="s">
        <v>94</v>
      </c>
      <c r="AH14" s="478" t="s">
        <v>94</v>
      </c>
      <c r="AI14" s="480" t="s">
        <v>84</v>
      </c>
      <c r="AJ14" s="137" t="s">
        <v>95</v>
      </c>
      <c r="AK14" s="137" t="s">
        <v>38</v>
      </c>
      <c r="AL14" s="138" t="s">
        <v>84</v>
      </c>
      <c r="AM14" s="137" t="s">
        <v>81</v>
      </c>
      <c r="AN14" s="137" t="s">
        <v>88</v>
      </c>
      <c r="AO14" s="137" t="s">
        <v>96</v>
      </c>
      <c r="AP14" s="139" t="s">
        <v>97</v>
      </c>
    </row>
    <row r="15" spans="1:42" ht="18" customHeight="1" thickBot="1">
      <c r="A15" s="1333"/>
      <c r="B15" s="55" t="s">
        <v>46</v>
      </c>
      <c r="C15" s="53" t="s">
        <v>16</v>
      </c>
      <c r="D15" s="54">
        <v>673706</v>
      </c>
      <c r="E15" s="500"/>
      <c r="F15" s="502"/>
      <c r="G15" s="502"/>
      <c r="H15" s="501"/>
      <c r="I15" s="503"/>
      <c r="J15" s="1223" t="s">
        <v>81</v>
      </c>
      <c r="K15" s="502"/>
      <c r="L15" s="502"/>
      <c r="M15" s="502"/>
      <c r="N15" s="502"/>
      <c r="O15" s="504"/>
      <c r="P15" s="500"/>
      <c r="Q15" s="502"/>
      <c r="R15" s="502"/>
      <c r="S15" s="502" t="s">
        <v>135</v>
      </c>
      <c r="T15" s="502"/>
      <c r="U15" s="502"/>
      <c r="V15" s="501"/>
      <c r="W15" s="503"/>
      <c r="X15" s="502"/>
      <c r="Y15" s="502"/>
      <c r="Z15" s="502"/>
      <c r="AA15" s="535"/>
      <c r="AB15" s="502"/>
      <c r="AC15" s="504"/>
      <c r="AD15" s="500"/>
      <c r="AE15" s="502"/>
      <c r="AF15" s="502"/>
      <c r="AG15" s="502"/>
      <c r="AH15" s="502"/>
      <c r="AI15" s="501"/>
      <c r="AJ15" s="89" cm="1">
        <f t="array" ref="AJ15">SUMPRODUCT(($E$14:$AH$14="HR")*($E$15:$AH$15=""))+SUMPRODUCT(($E$15:$AH$15="HR")*1)</f>
        <v>9</v>
      </c>
      <c r="AK15" s="89" cm="1">
        <f t="array" ref="AK15">SUMPRODUCT(($E$14:$AH$14="N0")*($E$15:$AH$15=""))+SUMPRODUCT(($E$15:$AH$15="N")*1)</f>
        <v>13</v>
      </c>
      <c r="AL15" s="89" cm="1">
        <f t="array" ref="AL15">SUMPRODUCT(($E$14:$AH$14="RD")*($E$15:$AH$15=""))+SUMPRODUCT(($E$15:$AH$15="RD")*1)</f>
        <v>6</v>
      </c>
      <c r="AM15" s="89" cm="1">
        <f t="array" ref="AM15">SUMPRODUCT(($E$15:$AH$15="AL")*1)</f>
        <v>1</v>
      </c>
      <c r="AN15" s="89" cm="1">
        <f t="array" ref="AN15">SUMPRODUCT(($E$15:$AH$15="SH")*1)</f>
        <v>0</v>
      </c>
      <c r="AO15" s="89" cm="1">
        <f t="array" ref="AO15">SUMPRODUCT(($E$15:$AH$15="SL")*1)</f>
        <v>0</v>
      </c>
      <c r="AP15" s="140" t="e">
        <f>#REF!-AJ15-AK15-AL15-AM15-AN15-AO15</f>
        <v>#REF!</v>
      </c>
    </row>
    <row r="16" spans="1:42" ht="18" customHeight="1" thickTop="1" thickBot="1">
      <c r="A16" s="1335" t="s">
        <v>99</v>
      </c>
      <c r="B16" s="1330" t="s">
        <v>93</v>
      </c>
      <c r="C16" s="1330"/>
      <c r="D16" s="1330"/>
      <c r="E16" s="476" t="s">
        <v>95</v>
      </c>
      <c r="F16" s="478" t="s">
        <v>95</v>
      </c>
      <c r="G16" s="479" t="s">
        <v>84</v>
      </c>
      <c r="H16" s="480" t="s">
        <v>84</v>
      </c>
      <c r="I16" s="481" t="s">
        <v>95</v>
      </c>
      <c r="J16" s="478" t="s">
        <v>95</v>
      </c>
      <c r="K16" s="478" t="s">
        <v>95</v>
      </c>
      <c r="L16" s="478" t="s">
        <v>95</v>
      </c>
      <c r="M16" s="478" t="s">
        <v>95</v>
      </c>
      <c r="N16" s="478" t="s">
        <v>95</v>
      </c>
      <c r="O16" s="499" t="s">
        <v>84</v>
      </c>
      <c r="P16" s="476" t="s">
        <v>95</v>
      </c>
      <c r="Q16" s="478" t="s">
        <v>95</v>
      </c>
      <c r="R16" s="478" t="s">
        <v>95</v>
      </c>
      <c r="S16" s="478" t="s">
        <v>95</v>
      </c>
      <c r="T16" s="478" t="s">
        <v>95</v>
      </c>
      <c r="U16" s="479" t="s">
        <v>84</v>
      </c>
      <c r="V16" s="480" t="s">
        <v>84</v>
      </c>
      <c r="W16" s="481" t="s">
        <v>95</v>
      </c>
      <c r="X16" s="478" t="s">
        <v>95</v>
      </c>
      <c r="Y16" s="478" t="s">
        <v>95</v>
      </c>
      <c r="Z16" s="478" t="s">
        <v>95</v>
      </c>
      <c r="AA16" s="478" t="s">
        <v>95</v>
      </c>
      <c r="AB16" s="478" t="s">
        <v>95</v>
      </c>
      <c r="AC16" s="499" t="s">
        <v>84</v>
      </c>
      <c r="AD16" s="476" t="s">
        <v>95</v>
      </c>
      <c r="AE16" s="478" t="s">
        <v>95</v>
      </c>
      <c r="AF16" s="478" t="s">
        <v>95</v>
      </c>
      <c r="AG16" s="478" t="s">
        <v>95</v>
      </c>
      <c r="AH16" s="478" t="s">
        <v>95</v>
      </c>
      <c r="AI16" s="480" t="s">
        <v>84</v>
      </c>
      <c r="AJ16" s="137" t="s">
        <v>95</v>
      </c>
      <c r="AK16" s="137" t="s">
        <v>38</v>
      </c>
      <c r="AL16" s="138" t="s">
        <v>84</v>
      </c>
      <c r="AM16" s="137" t="s">
        <v>81</v>
      </c>
      <c r="AN16" s="137" t="s">
        <v>88</v>
      </c>
      <c r="AO16" s="137" t="s">
        <v>96</v>
      </c>
      <c r="AP16" s="139" t="s">
        <v>97</v>
      </c>
    </row>
    <row r="17" spans="1:42" ht="18" customHeight="1" thickBot="1">
      <c r="A17" s="1336"/>
      <c r="B17" s="56" t="s">
        <v>100</v>
      </c>
      <c r="C17" s="53" t="s">
        <v>16</v>
      </c>
      <c r="D17" s="54">
        <v>469319</v>
      </c>
      <c r="E17" s="494"/>
      <c r="F17" s="496"/>
      <c r="G17" s="496"/>
      <c r="H17" s="495"/>
      <c r="I17" s="497"/>
      <c r="J17" s="496"/>
      <c r="K17" s="496"/>
      <c r="L17" s="496"/>
      <c r="M17" s="496"/>
      <c r="N17" s="496"/>
      <c r="O17" s="498"/>
      <c r="P17" s="494"/>
      <c r="Q17" s="496"/>
      <c r="R17" s="496"/>
      <c r="S17" s="496"/>
      <c r="T17" s="496"/>
      <c r="U17" s="496"/>
      <c r="V17" s="495"/>
      <c r="W17" s="497"/>
      <c r="X17" s="496"/>
      <c r="Y17" s="496"/>
      <c r="Z17" s="496"/>
      <c r="AA17" s="496"/>
      <c r="AB17" s="496"/>
      <c r="AC17" s="498"/>
      <c r="AD17" s="494"/>
      <c r="AE17" s="496"/>
      <c r="AF17" s="496"/>
      <c r="AG17" s="496"/>
      <c r="AH17" s="496"/>
      <c r="AI17" s="495"/>
      <c r="AJ17" s="89" cm="1">
        <f t="array" ref="AJ17">SUMPRODUCT(($E$16:$AH$16="HR")*($E$17:$AH$17=""))+SUMPRODUCT(($E$17:$AH$17="HR")*1)</f>
        <v>24</v>
      </c>
      <c r="AK17" s="89" cm="1">
        <f t="array" ref="AK17">SUMPRODUCT(($E$16:$AH$16="N0")*($E$17:$AH$17=""))+SUMPRODUCT(($E$17:$AH$17="N")*1)</f>
        <v>0</v>
      </c>
      <c r="AL17" s="89" cm="1">
        <f t="array" ref="AL17">SUMPRODUCT(($E$16:$AH$16="RD")*($E$17:$AH$17=""))+SUMPRODUCT(($E$17:$AH$17="RD")*1)</f>
        <v>6</v>
      </c>
      <c r="AM17" s="89" cm="1">
        <f t="array" ref="AM17">SUMPRODUCT(($E$17:$AH$17="AL")*1)</f>
        <v>0</v>
      </c>
      <c r="AN17" s="89" cm="1">
        <f t="array" ref="AN17">SUMPRODUCT(($E$17:$AH$17="SH")*1)</f>
        <v>0</v>
      </c>
      <c r="AO17" s="89" cm="1">
        <f t="array" ref="AO17">SUMPRODUCT(($E$17:$AH$17="SL")*1)</f>
        <v>0</v>
      </c>
      <c r="AP17" s="140" t="e">
        <f>#REF!-AJ17-AK17-AL17-AM17-AN17-AO17</f>
        <v>#REF!</v>
      </c>
    </row>
    <row r="18" spans="1:42" ht="18" customHeight="1" thickTop="1" thickBot="1">
      <c r="A18" s="1340" t="s">
        <v>101</v>
      </c>
      <c r="B18" s="1343" t="s">
        <v>93</v>
      </c>
      <c r="C18" s="1344"/>
      <c r="D18" s="1345"/>
      <c r="E18" s="476" t="s">
        <v>94</v>
      </c>
      <c r="F18" s="478" t="s">
        <v>94</v>
      </c>
      <c r="G18" s="479" t="s">
        <v>84</v>
      </c>
      <c r="H18" s="507" t="s">
        <v>94</v>
      </c>
      <c r="I18" s="508" t="s">
        <v>94</v>
      </c>
      <c r="J18" s="509" t="s">
        <v>94</v>
      </c>
      <c r="K18" s="509" t="s">
        <v>94</v>
      </c>
      <c r="L18" s="509" t="s">
        <v>94</v>
      </c>
      <c r="M18" s="509" t="s">
        <v>94</v>
      </c>
      <c r="N18" s="479" t="s">
        <v>84</v>
      </c>
      <c r="O18" s="482" t="s">
        <v>94</v>
      </c>
      <c r="P18" s="476" t="s">
        <v>94</v>
      </c>
      <c r="Q18" s="478" t="s">
        <v>94</v>
      </c>
      <c r="R18" s="478" t="s">
        <v>94</v>
      </c>
      <c r="S18" s="478" t="s">
        <v>94</v>
      </c>
      <c r="T18" s="478" t="s">
        <v>94</v>
      </c>
      <c r="U18" s="479" t="s">
        <v>84</v>
      </c>
      <c r="V18" s="480" t="s">
        <v>84</v>
      </c>
      <c r="W18" s="510" t="s">
        <v>95</v>
      </c>
      <c r="X18" s="511" t="s">
        <v>95</v>
      </c>
      <c r="Y18" s="511" t="s">
        <v>95</v>
      </c>
      <c r="Z18" s="511" t="s">
        <v>95</v>
      </c>
      <c r="AA18" s="511" t="s">
        <v>95</v>
      </c>
      <c r="AB18" s="512" t="s">
        <v>84</v>
      </c>
      <c r="AC18" s="493" t="s">
        <v>84</v>
      </c>
      <c r="AD18" s="476" t="s">
        <v>94</v>
      </c>
      <c r="AE18" s="478" t="s">
        <v>94</v>
      </c>
      <c r="AF18" s="478" t="s">
        <v>94</v>
      </c>
      <c r="AG18" s="478" t="s">
        <v>94</v>
      </c>
      <c r="AH18" s="478" t="s">
        <v>94</v>
      </c>
      <c r="AI18" s="480" t="s">
        <v>84</v>
      </c>
      <c r="AJ18" s="137" t="s">
        <v>95</v>
      </c>
      <c r="AK18" s="137" t="s">
        <v>38</v>
      </c>
      <c r="AL18" s="138" t="s">
        <v>84</v>
      </c>
      <c r="AM18" s="137" t="s">
        <v>81</v>
      </c>
      <c r="AN18" s="137" t="s">
        <v>88</v>
      </c>
      <c r="AO18" s="137" t="s">
        <v>96</v>
      </c>
      <c r="AP18" s="139" t="s">
        <v>97</v>
      </c>
    </row>
    <row r="19" spans="1:42" ht="18" customHeight="1">
      <c r="A19" s="1341"/>
      <c r="B19" s="121" t="s">
        <v>14</v>
      </c>
      <c r="C19" s="111" t="s">
        <v>16</v>
      </c>
      <c r="D19" s="112">
        <v>321508</v>
      </c>
      <c r="E19" s="441"/>
      <c r="F19" s="431"/>
      <c r="G19" s="431"/>
      <c r="H19" s="436"/>
      <c r="I19" s="435"/>
      <c r="J19" s="431"/>
      <c r="K19" s="431"/>
      <c r="L19" s="431"/>
      <c r="M19" s="431"/>
      <c r="N19" s="431"/>
      <c r="O19" s="443"/>
      <c r="P19" s="441"/>
      <c r="Q19" s="431"/>
      <c r="R19" s="431"/>
      <c r="S19" s="431"/>
      <c r="T19" s="431"/>
      <c r="U19" s="431"/>
      <c r="V19" s="436"/>
      <c r="W19" s="435"/>
      <c r="X19" s="431"/>
      <c r="Y19" s="431"/>
      <c r="Z19" s="431"/>
      <c r="AA19" s="431"/>
      <c r="AB19" s="431"/>
      <c r="AC19" s="443"/>
      <c r="AD19" s="441"/>
      <c r="AE19" s="431"/>
      <c r="AF19" s="431"/>
      <c r="AG19" s="431"/>
      <c r="AH19" s="431"/>
      <c r="AI19" s="436"/>
      <c r="AJ19" s="89" cm="1">
        <f t="array" ref="AJ19">SUMPRODUCT(($E$18:$AH$18="HR")*(E19:AH19=""))+SUMPRODUCT((E19:AH19="HR")*1)</f>
        <v>5</v>
      </c>
      <c r="AK19" s="89" cm="1">
        <f t="array" ref="AK19">SUMPRODUCT(($E$18:$AH$18="N0")*(E19:AH19=""))+SUMPRODUCT((E19:AH19="N")*1)</f>
        <v>19</v>
      </c>
      <c r="AL19" s="88" cm="1">
        <f t="array" ref="AL19">SUMPRODUCT(($E$18:$AH$18="RD")*(E19:AH19=""))+SUMPRODUCT((E19:AH19="RD")*1)</f>
        <v>6</v>
      </c>
      <c r="AM19" s="89" cm="1">
        <f t="array" ref="AM19">SUMPRODUCT((F19:AH19="AL")*1)</f>
        <v>0</v>
      </c>
      <c r="AN19" s="89" cm="1">
        <f t="array" ref="AN19">SUMPRODUCT((F19:AH19="SH")*1)</f>
        <v>0</v>
      </c>
      <c r="AO19" s="89" cm="1">
        <f t="array" ref="AO19">SUMPRODUCT((E19:AH19="SL")*1)</f>
        <v>0</v>
      </c>
      <c r="AP19" s="140" t="e">
        <f>#REF!-AJ19-AK19-AL19-AM19-AN19-AO19</f>
        <v>#REF!</v>
      </c>
    </row>
    <row r="20" spans="1:42" ht="18" customHeight="1">
      <c r="A20" s="1341"/>
      <c r="B20" s="118" t="s">
        <v>102</v>
      </c>
      <c r="C20" s="99" t="s">
        <v>16</v>
      </c>
      <c r="D20" s="103">
        <v>461865</v>
      </c>
      <c r="E20" s="416"/>
      <c r="F20" s="413"/>
      <c r="G20" s="413"/>
      <c r="H20" s="417"/>
      <c r="I20" s="421"/>
      <c r="J20" s="413"/>
      <c r="K20" s="413"/>
      <c r="L20" s="413"/>
      <c r="M20" s="413"/>
      <c r="N20" s="413"/>
      <c r="O20" s="444"/>
      <c r="P20" s="416"/>
      <c r="Q20" s="413"/>
      <c r="R20" s="413"/>
      <c r="S20" s="413"/>
      <c r="T20" s="413"/>
      <c r="U20" s="413"/>
      <c r="V20" s="417"/>
      <c r="W20" s="421"/>
      <c r="X20" s="413"/>
      <c r="Y20" s="413"/>
      <c r="Z20" s="413"/>
      <c r="AA20" s="413"/>
      <c r="AB20" s="413"/>
      <c r="AC20" s="444"/>
      <c r="AD20" s="416"/>
      <c r="AE20" s="413"/>
      <c r="AF20" s="413"/>
      <c r="AG20" s="413"/>
      <c r="AH20" s="413"/>
      <c r="AI20" s="417"/>
      <c r="AJ20" s="89" cm="1">
        <f t="array" ref="AJ20">SUMPRODUCT(($E$18:$AH$18="HR")*(E20:AH20=""))+SUMPRODUCT((E20:AH20="HR")*1)</f>
        <v>5</v>
      </c>
      <c r="AK20" s="89" cm="1">
        <f t="array" ref="AK20">SUMPRODUCT(($E$18:$AH$18="N0")*(E20:AH20=""))+SUMPRODUCT((E20:AH20="N")*1)</f>
        <v>19</v>
      </c>
      <c r="AL20" s="88" cm="1">
        <f t="array" ref="AL20">SUMPRODUCT(($E$18:$AH$18="RD")*(E20:AH20=""))+SUMPRODUCT((E20:AH20="RD")*1)</f>
        <v>6</v>
      </c>
      <c r="AM20" s="89" cm="1">
        <f t="array" ref="AM20">SUMPRODUCT((F20:AH20="AL")*1)</f>
        <v>0</v>
      </c>
      <c r="AN20" s="89" cm="1">
        <f t="array" ref="AN20">SUMPRODUCT((F20:AH20="SH")*1)</f>
        <v>0</v>
      </c>
      <c r="AO20" s="89" cm="1">
        <f t="array" ref="AO20">SUMPRODUCT((E20:AH20="SL")*1)</f>
        <v>0</v>
      </c>
      <c r="AP20" s="140" t="e">
        <f>#REF!-AJ20-AK20-AL20-AM20-AN20-AO20</f>
        <v>#REF!</v>
      </c>
    </row>
    <row r="21" spans="1:42" ht="18" customHeight="1">
      <c r="A21" s="1341"/>
      <c r="B21" s="101" t="s">
        <v>41</v>
      </c>
      <c r="C21" s="99" t="s">
        <v>27</v>
      </c>
      <c r="D21" s="103">
        <v>676095</v>
      </c>
      <c r="E21" s="416"/>
      <c r="F21" s="413"/>
      <c r="G21" s="413"/>
      <c r="H21" s="417"/>
      <c r="I21" s="421"/>
      <c r="J21" s="413"/>
      <c r="K21" s="413"/>
      <c r="L21" s="413"/>
      <c r="M21" s="413"/>
      <c r="N21" s="413"/>
      <c r="O21" s="444"/>
      <c r="P21" s="416"/>
      <c r="Q21" s="413"/>
      <c r="R21" s="413"/>
      <c r="S21" s="413"/>
      <c r="T21" s="413"/>
      <c r="U21" s="413"/>
      <c r="V21" s="417"/>
      <c r="W21" s="421"/>
      <c r="X21" s="413"/>
      <c r="Y21" s="413"/>
      <c r="Z21" s="413"/>
      <c r="AA21" s="413"/>
      <c r="AB21" s="413"/>
      <c r="AC21" s="444"/>
      <c r="AD21" s="416"/>
      <c r="AE21" s="413"/>
      <c r="AF21" s="413"/>
      <c r="AG21" s="413"/>
      <c r="AH21" s="413"/>
      <c r="AI21" s="417"/>
      <c r="AJ21" s="89" cm="1">
        <f t="array" ref="AJ21">SUMPRODUCT(($E$18:$AH$18="HR")*(E21:AH21=""))+SUMPRODUCT((E21:AH21="HR")*1)</f>
        <v>5</v>
      </c>
      <c r="AK21" s="89" cm="1">
        <f t="array" ref="AK21">SUMPRODUCT(($E$18:$AH$18="N0")*(E21:AH21=""))+SUMPRODUCT((E21:AH21="N")*1)</f>
        <v>19</v>
      </c>
      <c r="AL21" s="88" cm="1">
        <f t="array" ref="AL21">SUMPRODUCT(($E$18:$AH$18="RD")*(E21:AH21=""))+SUMPRODUCT((E21:AH21="RD")*1)</f>
        <v>6</v>
      </c>
      <c r="AM21" s="89" cm="1">
        <f t="array" ref="AM21">SUMPRODUCT((F21:AH21="AL")*1)</f>
        <v>0</v>
      </c>
      <c r="AN21" s="89" cm="1">
        <f t="array" ref="AN21">SUMPRODUCT((F21:AH21="SH")*1)</f>
        <v>0</v>
      </c>
      <c r="AO21" s="89" cm="1">
        <f t="array" ref="AO21">SUMPRODUCT((E21:AH21="SL")*1)</f>
        <v>0</v>
      </c>
      <c r="AP21" s="140" t="e">
        <f>#REF!-AJ21-AK21-AL21-AM21-AN21-AO21</f>
        <v>#REF!</v>
      </c>
    </row>
    <row r="22" spans="1:42" ht="18" customHeight="1">
      <c r="A22" s="1341"/>
      <c r="B22" s="118" t="s">
        <v>104</v>
      </c>
      <c r="C22" s="99" t="s">
        <v>27</v>
      </c>
      <c r="D22" s="103">
        <v>681383</v>
      </c>
      <c r="E22" s="416"/>
      <c r="F22" s="413"/>
      <c r="G22" s="413"/>
      <c r="H22" s="417"/>
      <c r="I22" s="421"/>
      <c r="J22" s="413"/>
      <c r="K22" s="413"/>
      <c r="L22" s="413"/>
      <c r="M22" s="413"/>
      <c r="N22" s="413"/>
      <c r="O22" s="444"/>
      <c r="P22" s="416"/>
      <c r="Q22" s="413"/>
      <c r="R22" s="413"/>
      <c r="S22" s="413"/>
      <c r="T22" s="413"/>
      <c r="U22" s="413"/>
      <c r="V22" s="417"/>
      <c r="W22" s="421"/>
      <c r="X22" s="413"/>
      <c r="Y22" s="413"/>
      <c r="Z22" s="413"/>
      <c r="AA22" s="413"/>
      <c r="AB22" s="413"/>
      <c r="AC22" s="444"/>
      <c r="AD22" s="416"/>
      <c r="AE22" s="413"/>
      <c r="AF22" s="413"/>
      <c r="AG22" s="413"/>
      <c r="AH22" s="413"/>
      <c r="AI22" s="417"/>
      <c r="AJ22" s="89" cm="1">
        <f t="array" ref="AJ22">SUMPRODUCT(($E$18:$AH$18="HR")*(E22:AH22=""))+SUMPRODUCT((E22:AH22="HR")*1)</f>
        <v>5</v>
      </c>
      <c r="AK22" s="89" cm="1">
        <f t="array" ref="AK22">SUMPRODUCT(($E$18:$AH$18="N0")*(E22:AH22=""))+SUMPRODUCT((E22:AH22="N")*1)</f>
        <v>19</v>
      </c>
      <c r="AL22" s="88" cm="1">
        <f t="array" ref="AL22">SUMPRODUCT(($E$18:$AH$18="RD")*(E22:AH22=""))+SUMPRODUCT((E22:AH22="RD")*1)</f>
        <v>6</v>
      </c>
      <c r="AM22" s="89" cm="1">
        <f t="array" ref="AM22">SUMPRODUCT((F22:AH22="AL")*1)</f>
        <v>0</v>
      </c>
      <c r="AN22" s="89" cm="1">
        <f t="array" ref="AN22">SUMPRODUCT((F22:AH22="SH")*1)</f>
        <v>0</v>
      </c>
      <c r="AO22" s="89" cm="1">
        <f t="array" ref="AO22">SUMPRODUCT((E22:AH22="SL")*1)</f>
        <v>0</v>
      </c>
      <c r="AP22" s="140" t="e">
        <f>#REF!-AJ22-AK22-AL22-AM22-AN22-AO22</f>
        <v>#REF!</v>
      </c>
    </row>
    <row r="23" spans="1:42" ht="18" customHeight="1">
      <c r="A23" s="1341"/>
      <c r="B23" s="100" t="s">
        <v>30</v>
      </c>
      <c r="C23" s="99" t="s">
        <v>27</v>
      </c>
      <c r="D23" s="103">
        <v>679417</v>
      </c>
      <c r="E23" s="416"/>
      <c r="F23" s="413"/>
      <c r="G23" s="413"/>
      <c r="H23" s="417"/>
      <c r="I23" s="421"/>
      <c r="J23" s="413"/>
      <c r="K23" s="413"/>
      <c r="L23" s="413"/>
      <c r="M23" s="413"/>
      <c r="N23" s="413"/>
      <c r="O23" s="444"/>
      <c r="P23" s="416"/>
      <c r="Q23" s="413"/>
      <c r="R23" s="413"/>
      <c r="S23" s="413"/>
      <c r="T23" s="413"/>
      <c r="U23" s="413"/>
      <c r="V23" s="417"/>
      <c r="W23" s="421"/>
      <c r="X23" s="413"/>
      <c r="Y23" s="413"/>
      <c r="Z23" s="413"/>
      <c r="AA23" s="413"/>
      <c r="AB23" s="413"/>
      <c r="AC23" s="444"/>
      <c r="AD23" s="416"/>
      <c r="AE23" s="413"/>
      <c r="AF23" s="413"/>
      <c r="AG23" s="413"/>
      <c r="AH23" s="413"/>
      <c r="AI23" s="417"/>
      <c r="AJ23" s="89" cm="1">
        <f t="array" ref="AJ23">SUMPRODUCT(($E$18:$AH$18="HR")*(E23:AH23=""))+SUMPRODUCT((E23:AH23="HR")*1)</f>
        <v>5</v>
      </c>
      <c r="AK23" s="89" cm="1">
        <f t="array" ref="AK23">SUMPRODUCT(($E$18:$AH$18="N0")*(E23:AH23=""))+SUMPRODUCT((E23:AH23="N")*1)</f>
        <v>19</v>
      </c>
      <c r="AL23" s="88" cm="1">
        <f t="array" ref="AL23">SUMPRODUCT(($E$18:$AH$18="RD")*(E23:AH23=""))+SUMPRODUCT((E23:AH23="RD")*1)</f>
        <v>6</v>
      </c>
      <c r="AM23" s="89" cm="1">
        <f t="array" ref="AM23">SUMPRODUCT((F23:AH23="AL")*1)</f>
        <v>0</v>
      </c>
      <c r="AN23" s="89" cm="1">
        <f t="array" ref="AN23">SUMPRODUCT((F23:AH23="SH")*1)</f>
        <v>0</v>
      </c>
      <c r="AO23" s="89" cm="1">
        <f t="array" ref="AO23">SUMPRODUCT((E23:AH23="SL")*1)</f>
        <v>0</v>
      </c>
      <c r="AP23" s="140" t="e">
        <f>#REF!-AJ23-AK23-AL23-AM23-AN23-AO23</f>
        <v>#REF!</v>
      </c>
    </row>
    <row r="24" spans="1:42" ht="18" customHeight="1" thickBot="1">
      <c r="A24" s="1342"/>
      <c r="B24" s="119" t="s">
        <v>48</v>
      </c>
      <c r="C24" s="106" t="s">
        <v>27</v>
      </c>
      <c r="D24" s="157">
        <v>684061</v>
      </c>
      <c r="E24" s="516"/>
      <c r="F24" s="518"/>
      <c r="G24" s="518"/>
      <c r="H24" s="517"/>
      <c r="I24" s="519"/>
      <c r="J24" s="518"/>
      <c r="K24" s="518"/>
      <c r="L24" s="518"/>
      <c r="M24" s="518"/>
      <c r="N24" s="518"/>
      <c r="O24" s="520"/>
      <c r="P24" s="516"/>
      <c r="Q24" s="518"/>
      <c r="R24" s="518"/>
      <c r="S24" s="518"/>
      <c r="T24" s="518"/>
      <c r="U24" s="518"/>
      <c r="V24" s="517"/>
      <c r="W24" s="519"/>
      <c r="X24" s="518"/>
      <c r="Y24" s="518"/>
      <c r="Z24" s="518"/>
      <c r="AA24" s="518"/>
      <c r="AB24" s="518"/>
      <c r="AC24" s="520"/>
      <c r="AD24" s="516"/>
      <c r="AE24" s="518"/>
      <c r="AF24" s="518"/>
      <c r="AG24" s="518"/>
      <c r="AH24" s="518"/>
      <c r="AI24" s="517"/>
      <c r="AJ24" s="89" cm="1">
        <f t="array" ref="AJ24">SUMPRODUCT(($E$18:$AH$18="HR")*(E24:AH24=""))+SUMPRODUCT((E24:AH24="HR")*1)</f>
        <v>5</v>
      </c>
      <c r="AK24" s="89" cm="1">
        <f t="array" ref="AK24">SUMPRODUCT(($E$18:$AH$18="N0")*(E24:AH24=""))+SUMPRODUCT((E24:AH24="N")*1)</f>
        <v>19</v>
      </c>
      <c r="AL24" s="88" cm="1">
        <f t="array" ref="AL24">SUMPRODUCT(($E$18:$AH$18="RD")*(E24:AH24=""))+SUMPRODUCT((E24:AH24="RD")*1)</f>
        <v>6</v>
      </c>
      <c r="AM24" s="89" cm="1">
        <f t="array" ref="AM24">SUMPRODUCT((F24:AH24="AL")*1)</f>
        <v>0</v>
      </c>
      <c r="AN24" s="89" cm="1">
        <f t="array" ref="AN24">SUMPRODUCT((F24:AH24="SH")*1)</f>
        <v>0</v>
      </c>
      <c r="AO24" s="89" cm="1">
        <f t="array" ref="AO24">SUMPRODUCT((E24:AH24="SL")*1)</f>
        <v>0</v>
      </c>
      <c r="AP24" s="140" t="e">
        <f>#REF!-AJ24-AK24-AL24-AM24-AN24-AO24</f>
        <v>#REF!</v>
      </c>
    </row>
    <row r="25" spans="1:42" ht="18" customHeight="1" thickTop="1" thickBot="1">
      <c r="A25" s="1331" t="s">
        <v>109</v>
      </c>
      <c r="B25" s="1330" t="s">
        <v>110</v>
      </c>
      <c r="C25" s="1330"/>
      <c r="D25" s="1330"/>
      <c r="E25" s="513" t="s">
        <v>95</v>
      </c>
      <c r="F25" s="511" t="s">
        <v>95</v>
      </c>
      <c r="G25" s="512" t="s">
        <v>84</v>
      </c>
      <c r="H25" s="477" t="s">
        <v>84</v>
      </c>
      <c r="I25" s="508" t="s">
        <v>94</v>
      </c>
      <c r="J25" s="509" t="s">
        <v>94</v>
      </c>
      <c r="K25" s="509" t="s">
        <v>94</v>
      </c>
      <c r="L25" s="509" t="s">
        <v>94</v>
      </c>
      <c r="M25" s="509" t="s">
        <v>94</v>
      </c>
      <c r="N25" s="512" t="s">
        <v>84</v>
      </c>
      <c r="O25" s="514" t="s">
        <v>94</v>
      </c>
      <c r="P25" s="515" t="s">
        <v>94</v>
      </c>
      <c r="Q25" s="509" t="s">
        <v>94</v>
      </c>
      <c r="R25" s="509" t="s">
        <v>94</v>
      </c>
      <c r="S25" s="509" t="s">
        <v>94</v>
      </c>
      <c r="T25" s="509" t="s">
        <v>94</v>
      </c>
      <c r="U25" s="512" t="s">
        <v>84</v>
      </c>
      <c r="V25" s="507" t="s">
        <v>94</v>
      </c>
      <c r="W25" s="508" t="s">
        <v>94</v>
      </c>
      <c r="X25" s="509" t="s">
        <v>94</v>
      </c>
      <c r="Y25" s="509" t="s">
        <v>94</v>
      </c>
      <c r="Z25" s="509" t="s">
        <v>94</v>
      </c>
      <c r="AA25" s="509" t="s">
        <v>94</v>
      </c>
      <c r="AB25" s="512" t="s">
        <v>84</v>
      </c>
      <c r="AC25" s="493" t="s">
        <v>84</v>
      </c>
      <c r="AD25" s="513" t="s">
        <v>95</v>
      </c>
      <c r="AE25" s="511" t="s">
        <v>95</v>
      </c>
      <c r="AF25" s="511" t="s">
        <v>95</v>
      </c>
      <c r="AG25" s="511" t="s">
        <v>95</v>
      </c>
      <c r="AH25" s="511" t="s">
        <v>95</v>
      </c>
      <c r="AI25" s="480" t="s">
        <v>84</v>
      </c>
      <c r="AJ25" s="137" t="s">
        <v>95</v>
      </c>
      <c r="AK25" s="137" t="s">
        <v>38</v>
      </c>
      <c r="AL25" s="138" t="s">
        <v>84</v>
      </c>
      <c r="AM25" s="137" t="s">
        <v>81</v>
      </c>
      <c r="AN25" s="137" t="s">
        <v>88</v>
      </c>
      <c r="AO25" s="137" t="s">
        <v>96</v>
      </c>
      <c r="AP25" s="139" t="s">
        <v>97</v>
      </c>
    </row>
    <row r="26" spans="1:42" ht="18" customHeight="1">
      <c r="A26" s="1331"/>
      <c r="B26" s="46" t="s">
        <v>111</v>
      </c>
      <c r="C26" s="27" t="s">
        <v>16</v>
      </c>
      <c r="D26" s="21">
        <v>265691</v>
      </c>
      <c r="E26" s="441"/>
      <c r="F26" s="431"/>
      <c r="G26" s="431"/>
      <c r="H26" s="436"/>
      <c r="I26" s="435"/>
      <c r="J26" s="431"/>
      <c r="K26" s="431"/>
      <c r="L26" s="431"/>
      <c r="M26" s="431"/>
      <c r="N26" s="431"/>
      <c r="O26" s="443"/>
      <c r="P26" s="441"/>
      <c r="Q26" s="431"/>
      <c r="R26" s="431"/>
      <c r="S26" s="431"/>
      <c r="T26" s="431"/>
      <c r="U26" s="431"/>
      <c r="V26" s="436"/>
      <c r="W26" s="435"/>
      <c r="X26" s="431"/>
      <c r="Y26" s="431"/>
      <c r="Z26" s="431"/>
      <c r="AA26" s="431"/>
      <c r="AB26" s="431"/>
      <c r="AC26" s="443"/>
      <c r="AD26" s="441"/>
      <c r="AE26" s="431"/>
      <c r="AF26" s="431"/>
      <c r="AG26" s="431"/>
      <c r="AH26" s="431"/>
      <c r="AI26" s="436"/>
      <c r="AJ26" s="89" cm="1">
        <f t="array" ref="AJ26">SUMPRODUCT(($E$25:$AH$25="HR")*(E26:AH26=""))+SUMPRODUCT((E26:AH26="HR")*1)</f>
        <v>7</v>
      </c>
      <c r="AK26" s="89" cm="1">
        <f t="array" ref="AK26">SUMPRODUCT(($E$25:$AH$25="N0")*(E26:AH26=""))+SUMPRODUCT((E26:AH26="N")*1)</f>
        <v>17</v>
      </c>
      <c r="AL26" s="88" cm="1">
        <f t="array" ref="AL26">SUMPRODUCT(($E$25:$AH$25="RD")*(E26:AH26=""))+SUMPRODUCT((E26:AH26="RD")*1)</f>
        <v>6</v>
      </c>
      <c r="AM26" s="89" cm="1">
        <f t="array" ref="AM26">SUMPRODUCT((F26:AH26="AL")*1)</f>
        <v>0</v>
      </c>
      <c r="AN26" s="89" cm="1">
        <f t="array" ref="AN26">SUMPRODUCT((F26:AH26="SH")*1)</f>
        <v>0</v>
      </c>
      <c r="AO26" s="89" cm="1">
        <f t="array" ref="AO26">SUMPRODUCT((E26:AH26="SL")*1)</f>
        <v>0</v>
      </c>
      <c r="AP26" s="140" t="e">
        <f>#REF!-AJ26-AK26-AL26-AM26-AN26-AO26</f>
        <v>#REF!</v>
      </c>
    </row>
    <row r="27" spans="1:42" ht="18" customHeight="1">
      <c r="A27" s="1331"/>
      <c r="B27" s="125" t="s">
        <v>113</v>
      </c>
      <c r="C27" s="16" t="s">
        <v>16</v>
      </c>
      <c r="D27" s="22">
        <v>422401</v>
      </c>
      <c r="E27" s="416"/>
      <c r="F27" s="413"/>
      <c r="G27" s="413"/>
      <c r="H27" s="417"/>
      <c r="I27" s="421"/>
      <c r="J27" s="413"/>
      <c r="K27" s="413"/>
      <c r="L27" s="413"/>
      <c r="M27" s="413"/>
      <c r="N27" s="413"/>
      <c r="O27" s="444"/>
      <c r="P27" s="416"/>
      <c r="Q27" s="413"/>
      <c r="R27" s="413"/>
      <c r="S27" s="413"/>
      <c r="T27" s="413"/>
      <c r="U27" s="413"/>
      <c r="V27" s="417"/>
      <c r="W27" s="421"/>
      <c r="X27" s="413"/>
      <c r="Y27" s="413"/>
      <c r="Z27" s="413"/>
      <c r="AA27" s="413"/>
      <c r="AB27" s="413"/>
      <c r="AC27" s="444"/>
      <c r="AD27" s="416"/>
      <c r="AE27" s="413"/>
      <c r="AF27" s="413"/>
      <c r="AG27" s="413"/>
      <c r="AH27" s="413"/>
      <c r="AI27" s="417"/>
      <c r="AJ27" s="89" cm="1">
        <f t="array" ref="AJ27">SUMPRODUCT(($E$25:$AH$25="HR")*(E27:AH27=""))+SUMPRODUCT((E27:AH27="HR")*1)</f>
        <v>7</v>
      </c>
      <c r="AK27" s="89" cm="1">
        <f t="array" ref="AK27">SUMPRODUCT(($E$25:$AH$25="N0")*(E27:AH27=""))+SUMPRODUCT((E27:AH27="N")*1)</f>
        <v>17</v>
      </c>
      <c r="AL27" s="88" cm="1">
        <f t="array" ref="AL27">SUMPRODUCT(($E$25:$AH$25="RD")*(E27:AH27=""))+SUMPRODUCT((E27:AH27="RD")*1)</f>
        <v>6</v>
      </c>
      <c r="AM27" s="89" cm="1">
        <f t="array" ref="AM27">SUMPRODUCT((F27:AH27="AL")*1)</f>
        <v>0</v>
      </c>
      <c r="AN27" s="89" cm="1">
        <f t="array" ref="AN27">SUMPRODUCT((F27:AH27="SH")*1)</f>
        <v>0</v>
      </c>
      <c r="AO27" s="89" cm="1">
        <f t="array" ref="AO27">SUMPRODUCT((E27:AH27="SL")*1)</f>
        <v>0</v>
      </c>
      <c r="AP27" s="140" t="e">
        <f>#REF!-AJ27-AK27-AL27-AM27-AN27-AO27</f>
        <v>#REF!</v>
      </c>
    </row>
    <row r="28" spans="1:42" ht="18" customHeight="1">
      <c r="A28" s="1331"/>
      <c r="B28" s="102" t="s">
        <v>29</v>
      </c>
      <c r="C28" s="16" t="s">
        <v>27</v>
      </c>
      <c r="D28" s="22">
        <v>679365</v>
      </c>
      <c r="E28" s="416"/>
      <c r="F28" s="413"/>
      <c r="G28" s="413"/>
      <c r="H28" s="417"/>
      <c r="I28" s="421"/>
      <c r="J28" s="413"/>
      <c r="K28" s="413"/>
      <c r="L28" s="413"/>
      <c r="M28" s="413"/>
      <c r="N28" s="413"/>
      <c r="O28" s="444"/>
      <c r="P28" s="416"/>
      <c r="Q28" s="413"/>
      <c r="R28" s="413"/>
      <c r="S28" s="413"/>
      <c r="T28" s="413"/>
      <c r="U28" s="413"/>
      <c r="V28" s="417"/>
      <c r="W28" s="421"/>
      <c r="X28" s="413"/>
      <c r="Y28" s="413"/>
      <c r="Z28" s="413"/>
      <c r="AA28" s="413"/>
      <c r="AB28" s="413"/>
      <c r="AC28" s="444"/>
      <c r="AD28" s="416"/>
      <c r="AE28" s="413"/>
      <c r="AF28" s="413"/>
      <c r="AG28" s="413"/>
      <c r="AH28" s="413"/>
      <c r="AI28" s="417"/>
      <c r="AJ28" s="89" cm="1">
        <f t="array" ref="AJ28">SUMPRODUCT(($E$25:$AH$25="HR")*(E28:AH28=""))+SUMPRODUCT((E28:AH28="HR")*1)</f>
        <v>7</v>
      </c>
      <c r="AK28" s="89" cm="1">
        <f t="array" ref="AK28">SUMPRODUCT(($E$25:$AH$25="N0")*(E28:AH28=""))+SUMPRODUCT((E28:AH28="N")*1)</f>
        <v>17</v>
      </c>
      <c r="AL28" s="88" cm="1">
        <f t="array" ref="AL28">SUMPRODUCT(($E$25:$AH$25="RD")*(E28:AH28=""))+SUMPRODUCT((E28:AH28="RD")*1)</f>
        <v>6</v>
      </c>
      <c r="AM28" s="89" cm="1">
        <f t="array" ref="AM28">SUMPRODUCT((F28:AH28="AL")*1)</f>
        <v>0</v>
      </c>
      <c r="AN28" s="89" cm="1">
        <f t="array" ref="AN28">SUMPRODUCT((F28:AH28="SH")*1)</f>
        <v>0</v>
      </c>
      <c r="AO28" s="89" cm="1">
        <f t="array" ref="AO28">SUMPRODUCT((E28:AH28="SL")*1)</f>
        <v>0</v>
      </c>
      <c r="AP28" s="140" t="e">
        <f>#REF!-AJ28-AK28-AL28-AM28-AN28-AO28</f>
        <v>#REF!</v>
      </c>
    </row>
    <row r="29" spans="1:42" ht="18" customHeight="1">
      <c r="A29" s="1331"/>
      <c r="B29" s="97" t="s">
        <v>271</v>
      </c>
      <c r="C29" s="16" t="s">
        <v>27</v>
      </c>
      <c r="D29" s="22">
        <v>680682</v>
      </c>
      <c r="E29" s="416" t="s">
        <v>94</v>
      </c>
      <c r="F29" s="1075" t="s">
        <v>94</v>
      </c>
      <c r="G29" s="413"/>
      <c r="H29" s="417"/>
      <c r="I29" s="421"/>
      <c r="J29" s="413"/>
      <c r="K29" s="413"/>
      <c r="L29" s="413"/>
      <c r="M29" s="413"/>
      <c r="N29" s="413"/>
      <c r="O29" s="444"/>
      <c r="P29" s="416"/>
      <c r="Q29" s="413"/>
      <c r="R29" s="413"/>
      <c r="S29" s="413"/>
      <c r="T29" s="413"/>
      <c r="U29" s="413"/>
      <c r="V29" s="417"/>
      <c r="W29" s="421"/>
      <c r="X29" s="413"/>
      <c r="Y29" s="413"/>
      <c r="Z29" s="413"/>
      <c r="AA29" s="413"/>
      <c r="AB29" s="413"/>
      <c r="AC29" s="444"/>
      <c r="AD29" s="416" t="s">
        <v>94</v>
      </c>
      <c r="AE29" s="413" t="s">
        <v>94</v>
      </c>
      <c r="AF29" s="413" t="s">
        <v>94</v>
      </c>
      <c r="AG29" s="413" t="s">
        <v>94</v>
      </c>
      <c r="AH29" s="413" t="s">
        <v>94</v>
      </c>
      <c r="AI29" s="417"/>
      <c r="AJ29" s="89" cm="1">
        <f t="array" ref="AJ29">SUMPRODUCT(($E$25:$AH$25="HR")*(E29:AH29=""))+SUMPRODUCT((E29:AH29="HR")*1)</f>
        <v>0</v>
      </c>
      <c r="AK29" s="89" cm="1">
        <f t="array" ref="AK29">SUMPRODUCT(($E$25:$AH$25="N0")*(E29:AH29=""))+SUMPRODUCT((E29:AH29="N")*1)</f>
        <v>17</v>
      </c>
      <c r="AL29" s="88" cm="1">
        <f t="array" ref="AL29">SUMPRODUCT(($E$25:$AH$25="RD")*(E29:AH29=""))+SUMPRODUCT((E29:AH29="RD")*1)</f>
        <v>6</v>
      </c>
      <c r="AM29" s="89" cm="1">
        <f t="array" ref="AM29">SUMPRODUCT((F29:AH29="AL")*1)</f>
        <v>0</v>
      </c>
      <c r="AN29" s="89" cm="1">
        <f t="array" ref="AN29">SUMPRODUCT((F29:AH29="SH")*1)</f>
        <v>0</v>
      </c>
      <c r="AO29" s="89" cm="1">
        <f t="array" ref="AO29">SUMPRODUCT((E29:AH29="SL")*1)</f>
        <v>0</v>
      </c>
      <c r="AP29" s="140" t="e">
        <f>#REF!-AJ29-AK29-AL29-AM29-AN29-AO29</f>
        <v>#REF!</v>
      </c>
    </row>
    <row r="30" spans="1:42" ht="18" customHeight="1">
      <c r="A30" s="1331"/>
      <c r="B30" s="97" t="s">
        <v>51</v>
      </c>
      <c r="C30" s="16" t="s">
        <v>32</v>
      </c>
      <c r="D30" s="22">
        <v>685750</v>
      </c>
      <c r="E30" s="1196"/>
      <c r="F30" s="810"/>
      <c r="G30" s="421"/>
      <c r="H30" s="417"/>
      <c r="I30" s="421"/>
      <c r="J30" s="413"/>
      <c r="K30" s="413"/>
      <c r="L30" s="413"/>
      <c r="M30" s="413"/>
      <c r="N30" s="413"/>
      <c r="O30" s="444"/>
      <c r="P30" s="416"/>
      <c r="Q30" s="413"/>
      <c r="R30" s="413"/>
      <c r="S30" s="413"/>
      <c r="T30" s="413"/>
      <c r="U30" s="413"/>
      <c r="V30" s="417"/>
      <c r="W30" s="421"/>
      <c r="X30" s="413"/>
      <c r="Y30" s="413"/>
      <c r="Z30" s="413"/>
      <c r="AA30" s="413"/>
      <c r="AB30" s="413"/>
      <c r="AC30" s="444"/>
      <c r="AD30" s="416"/>
      <c r="AE30" s="1075"/>
      <c r="AF30" s="1075"/>
      <c r="AG30" s="1075"/>
      <c r="AH30" s="413"/>
      <c r="AI30" s="417"/>
      <c r="AJ30" s="89" cm="1">
        <f t="array" ref="AJ30">SUMPRODUCT(($E$25:$AH$25="HR")*(E30:AH30=""))+SUMPRODUCT((E30:AH30="HR")*1)</f>
        <v>7</v>
      </c>
      <c r="AK30" s="89" cm="1">
        <f t="array" ref="AK30">SUMPRODUCT(($E$25:$AH$25="N0")*(E30:AH30=""))+SUMPRODUCT((E30:AH30="N")*1)</f>
        <v>17</v>
      </c>
      <c r="AL30" s="88" cm="1">
        <f t="array" ref="AL30">SUMPRODUCT(($E$25:$AH$25="RD")*(E30:AH30=""))+SUMPRODUCT((E30:AH30="RD")*1)</f>
        <v>6</v>
      </c>
      <c r="AM30" s="89" cm="1">
        <f t="array" ref="AM30">SUMPRODUCT((F30:AH30="AL")*1)</f>
        <v>0</v>
      </c>
      <c r="AN30" s="89" cm="1">
        <f t="array" ref="AN30">SUMPRODUCT((F30:AH30="SH")*1)</f>
        <v>0</v>
      </c>
      <c r="AO30" s="89" cm="1">
        <f t="array" ref="AO30">SUMPRODUCT((E30:AH30="SL")*1)</f>
        <v>0</v>
      </c>
      <c r="AP30" s="140" t="e">
        <f>#REF!-AJ30-AK30-AL30-AM30-AN30-AO30</f>
        <v>#REF!</v>
      </c>
    </row>
    <row r="31" spans="1:42" ht="18" customHeight="1">
      <c r="A31" s="1331"/>
      <c r="B31" s="97" t="s">
        <v>116</v>
      </c>
      <c r="C31" s="16" t="s">
        <v>27</v>
      </c>
      <c r="D31" s="22">
        <v>682089</v>
      </c>
      <c r="E31" s="1074"/>
      <c r="F31" s="1197"/>
      <c r="G31" s="1075"/>
      <c r="H31" s="1076"/>
      <c r="I31" s="1077"/>
      <c r="J31" s="1075"/>
      <c r="K31" s="1075"/>
      <c r="L31" s="1075"/>
      <c r="M31" s="1075"/>
      <c r="N31" s="1075"/>
      <c r="O31" s="1078"/>
      <c r="P31" s="1074"/>
      <c r="Q31" s="1075"/>
      <c r="R31" s="1075"/>
      <c r="S31" s="1075"/>
      <c r="T31" s="1075"/>
      <c r="U31" s="1075"/>
      <c r="V31" s="1076"/>
      <c r="W31" s="1077"/>
      <c r="X31" s="1075"/>
      <c r="Y31" s="1075"/>
      <c r="Z31" s="1075"/>
      <c r="AA31" s="1075"/>
      <c r="AB31" s="1075"/>
      <c r="AC31" s="1078"/>
      <c r="AD31" s="1074"/>
      <c r="AE31" s="1075"/>
      <c r="AF31" s="1075"/>
      <c r="AG31" s="1075"/>
      <c r="AH31" s="1075"/>
      <c r="AI31" s="1076"/>
      <c r="AJ31" s="89" cm="1">
        <f t="array" ref="AJ31">SUMPRODUCT(($E$25:$AH$25="HR")*(E31:AH31=""))+SUMPRODUCT((E31:AH31="HR")*1)</f>
        <v>7</v>
      </c>
      <c r="AK31" s="89" cm="1">
        <f t="array" ref="AK31">SUMPRODUCT(($E$25:$AH$25="N0")*(E31:AH31=""))+SUMPRODUCT((E31:AH31="N")*1)</f>
        <v>17</v>
      </c>
      <c r="AL31" s="88" cm="1">
        <f t="array" ref="AL31">SUMPRODUCT(($E$25:$AH$25="RD")*(E31:AH31=""))+SUMPRODUCT((E31:AH31="RD")*1)</f>
        <v>6</v>
      </c>
      <c r="AM31" s="89" cm="1">
        <f t="array" ref="AM31">SUMPRODUCT((F31:AH31="AL")*1)</f>
        <v>0</v>
      </c>
      <c r="AN31" s="89" cm="1">
        <f t="array" ref="AN31">SUMPRODUCT((F31:AH31="SH")*1)</f>
        <v>0</v>
      </c>
      <c r="AO31" s="89" cm="1">
        <f t="array" ref="AO31">SUMPRODUCT((E31:AH31="SL")*1)</f>
        <v>0</v>
      </c>
      <c r="AP31" s="140" t="e">
        <f>#REF!-AJ31-AK31-AL31-AM31-AN31-AO31</f>
        <v>#REF!</v>
      </c>
    </row>
    <row r="32" spans="1:42" ht="18" customHeight="1">
      <c r="A32" s="1333"/>
      <c r="B32" s="132" t="s">
        <v>52</v>
      </c>
      <c r="C32" s="20" t="s">
        <v>27</v>
      </c>
      <c r="D32" s="23">
        <v>678954</v>
      </c>
      <c r="E32" s="516"/>
      <c r="F32" s="518"/>
      <c r="G32" s="518"/>
      <c r="H32" s="517"/>
      <c r="I32" s="519"/>
      <c r="J32" s="518"/>
      <c r="K32" s="518"/>
      <c r="L32" s="518"/>
      <c r="M32" s="518"/>
      <c r="N32" s="518"/>
      <c r="O32" s="520"/>
      <c r="P32" s="516"/>
      <c r="Q32" s="518"/>
      <c r="R32" s="518"/>
      <c r="S32" s="518"/>
      <c r="T32" s="518"/>
      <c r="U32" s="518"/>
      <c r="V32" s="517"/>
      <c r="W32" s="519"/>
      <c r="X32" s="518"/>
      <c r="Y32" s="518"/>
      <c r="Z32" s="518"/>
      <c r="AA32" s="518"/>
      <c r="AB32" s="518"/>
      <c r="AC32" s="520"/>
      <c r="AD32" s="516"/>
      <c r="AE32" s="518"/>
      <c r="AF32" s="518" t="s">
        <v>107</v>
      </c>
      <c r="AG32" s="518"/>
      <c r="AH32" s="518"/>
      <c r="AI32" s="517"/>
      <c r="AJ32" s="89" cm="1">
        <f t="array" ref="AJ32">SUMPRODUCT(($E$25:$AH$25="HR")*(E32:AH32=""))+SUMPRODUCT((E32:AH32="HR")*1)</f>
        <v>6</v>
      </c>
      <c r="AK32" s="89" cm="1">
        <f t="array" ref="AK32">SUMPRODUCT(($E$25:$AH$25="N0")*(E32:AH32=""))+SUMPRODUCT((E32:AH32="N")*1)</f>
        <v>17</v>
      </c>
      <c r="AL32" s="88" cm="1">
        <f t="array" ref="AL32">SUMPRODUCT(($E$25:$AH$25="RD")*(E32:AH32=""))+SUMPRODUCT((E32:AH32="RD")*1)</f>
        <v>6</v>
      </c>
      <c r="AM32" s="89" cm="1">
        <f t="array" ref="AM32">SUMPRODUCT((F32:AH32="AL")*1)</f>
        <v>0</v>
      </c>
      <c r="AN32" s="89" cm="1">
        <f t="array" ref="AN32">SUMPRODUCT((F32:AH32="SH")*1)</f>
        <v>0</v>
      </c>
      <c r="AO32" s="89" cm="1">
        <f t="array" ref="AO32">SUMPRODUCT((E32:AH32="SL")*1)</f>
        <v>0</v>
      </c>
      <c r="AP32" s="140" t="e">
        <f>#REF!-AJ32-AK32-AL32-AM32-AN32-AO32</f>
        <v>#REF!</v>
      </c>
    </row>
    <row r="33" spans="1:42" ht="18" customHeight="1" thickTop="1" thickBot="1">
      <c r="A33" s="1316" t="s">
        <v>117</v>
      </c>
      <c r="B33" s="1332" t="s">
        <v>110</v>
      </c>
      <c r="C33" s="1332"/>
      <c r="D33" s="1332"/>
      <c r="E33" s="515" t="s">
        <v>94</v>
      </c>
      <c r="F33" s="509" t="s">
        <v>94</v>
      </c>
      <c r="G33" s="512" t="s">
        <v>84</v>
      </c>
      <c r="H33" s="477" t="s">
        <v>84</v>
      </c>
      <c r="I33" s="510" t="s">
        <v>95</v>
      </c>
      <c r="J33" s="511" t="s">
        <v>95</v>
      </c>
      <c r="K33" s="511" t="s">
        <v>95</v>
      </c>
      <c r="L33" s="511" t="s">
        <v>95</v>
      </c>
      <c r="M33" s="511" t="s">
        <v>95</v>
      </c>
      <c r="N33" s="512" t="s">
        <v>84</v>
      </c>
      <c r="O33" s="493" t="s">
        <v>84</v>
      </c>
      <c r="P33" s="515" t="s">
        <v>94</v>
      </c>
      <c r="Q33" s="509" t="s">
        <v>94</v>
      </c>
      <c r="R33" s="509" t="s">
        <v>94</v>
      </c>
      <c r="S33" s="509" t="s">
        <v>94</v>
      </c>
      <c r="T33" s="509" t="s">
        <v>94</v>
      </c>
      <c r="U33" s="512" t="s">
        <v>84</v>
      </c>
      <c r="V33" s="507" t="s">
        <v>94</v>
      </c>
      <c r="W33" s="508" t="s">
        <v>94</v>
      </c>
      <c r="X33" s="509" t="s">
        <v>94</v>
      </c>
      <c r="Y33" s="509" t="s">
        <v>94</v>
      </c>
      <c r="Z33" s="509" t="s">
        <v>94</v>
      </c>
      <c r="AA33" s="509" t="s">
        <v>94</v>
      </c>
      <c r="AB33" s="512" t="s">
        <v>84</v>
      </c>
      <c r="AC33" s="514" t="s">
        <v>94</v>
      </c>
      <c r="AD33" s="515" t="s">
        <v>94</v>
      </c>
      <c r="AE33" s="509" t="s">
        <v>94</v>
      </c>
      <c r="AF33" s="509" t="s">
        <v>94</v>
      </c>
      <c r="AG33" s="509" t="s">
        <v>94</v>
      </c>
      <c r="AH33" s="509" t="s">
        <v>94</v>
      </c>
      <c r="AI33" s="480" t="s">
        <v>84</v>
      </c>
      <c r="AJ33" s="137" t="s">
        <v>95</v>
      </c>
      <c r="AK33" s="137" t="s">
        <v>38</v>
      </c>
      <c r="AL33" s="138" t="s">
        <v>84</v>
      </c>
      <c r="AM33" s="137" t="s">
        <v>81</v>
      </c>
      <c r="AN33" s="137" t="s">
        <v>88</v>
      </c>
      <c r="AO33" s="137" t="s">
        <v>96</v>
      </c>
      <c r="AP33" s="139" t="s">
        <v>97</v>
      </c>
    </row>
    <row r="34" spans="1:42" ht="18" customHeight="1">
      <c r="A34" s="1331"/>
      <c r="B34" s="46" t="s">
        <v>17</v>
      </c>
      <c r="C34" s="27" t="s">
        <v>16</v>
      </c>
      <c r="D34" s="21">
        <v>321524</v>
      </c>
      <c r="E34" s="441"/>
      <c r="F34" s="431"/>
      <c r="G34" s="431"/>
      <c r="H34" s="436"/>
      <c r="I34" s="435"/>
      <c r="J34" s="431"/>
      <c r="K34" s="431"/>
      <c r="L34" s="431"/>
      <c r="M34" s="431"/>
      <c r="N34" s="431"/>
      <c r="O34" s="443"/>
      <c r="P34" s="441"/>
      <c r="Q34" s="431"/>
      <c r="R34" s="431"/>
      <c r="S34" s="431"/>
      <c r="T34" s="431"/>
      <c r="U34" s="431"/>
      <c r="V34" s="436"/>
      <c r="W34" s="435"/>
      <c r="X34" s="431"/>
      <c r="Y34" s="431"/>
      <c r="Z34" s="431"/>
      <c r="AA34" s="431"/>
      <c r="AB34" s="431"/>
      <c r="AC34" s="443"/>
      <c r="AD34" s="441"/>
      <c r="AE34" s="431"/>
      <c r="AF34" s="431"/>
      <c r="AG34" s="431"/>
      <c r="AH34" s="431"/>
      <c r="AI34" s="436"/>
      <c r="AJ34" s="89" cm="1">
        <f t="array" ref="AJ34">SUMPRODUCT(($E$33:$AH$33="HR")*(E34:AH34=""))+SUMPRODUCT((E34:AH34="HR")*1)</f>
        <v>5</v>
      </c>
      <c r="AK34" s="89" cm="1">
        <f t="array" ref="AK34">SUMPRODUCT(($E$33:$AH$33="N0")*(E34:AH34=""))+SUMPRODUCT((E34:AH34="N")*1)</f>
        <v>19</v>
      </c>
      <c r="AL34" s="88" cm="1">
        <f t="array" ref="AL34">SUMPRODUCT(($E$33:$AH$33="RD")*(E34:AH34=""))+SUMPRODUCT((E34:AH34="RD")*1)</f>
        <v>6</v>
      </c>
      <c r="AM34" s="89" cm="1">
        <f t="array" ref="AM34">SUMPRODUCT((F34:AH34="AL")*1)</f>
        <v>0</v>
      </c>
      <c r="AN34" s="89" cm="1">
        <f t="array" ref="AN34">SUMPRODUCT((F34:AH34="SH")*1)</f>
        <v>0</v>
      </c>
      <c r="AO34" s="89" cm="1">
        <f t="array" ref="AO34">SUMPRODUCT((E34:AH34="SL")*1)</f>
        <v>0</v>
      </c>
      <c r="AP34" s="140" t="e">
        <f>#REF!-AJ34-AK34-AL34-AM34-AN34-AO34</f>
        <v>#REF!</v>
      </c>
    </row>
    <row r="35" spans="1:42" ht="18" customHeight="1">
      <c r="A35" s="1331"/>
      <c r="B35" s="48" t="s">
        <v>28</v>
      </c>
      <c r="C35" s="16" t="s">
        <v>16</v>
      </c>
      <c r="D35" s="22">
        <v>427616</v>
      </c>
      <c r="E35" s="416"/>
      <c r="F35" s="413"/>
      <c r="G35" s="413"/>
      <c r="H35" s="417"/>
      <c r="I35" s="421"/>
      <c r="J35" s="413"/>
      <c r="K35" s="413"/>
      <c r="L35" s="413"/>
      <c r="M35" s="413"/>
      <c r="N35" s="413"/>
      <c r="O35" s="444"/>
      <c r="P35" s="416"/>
      <c r="Q35" s="413"/>
      <c r="R35" s="413"/>
      <c r="S35" s="413"/>
      <c r="T35" s="413"/>
      <c r="U35" s="413"/>
      <c r="V35" s="417"/>
      <c r="W35" s="421"/>
      <c r="X35" s="413"/>
      <c r="Y35" s="413"/>
      <c r="Z35" s="413"/>
      <c r="AA35" s="413"/>
      <c r="AB35" s="413"/>
      <c r="AC35" s="444"/>
      <c r="AD35" s="416"/>
      <c r="AE35" s="413"/>
      <c r="AF35" s="413"/>
      <c r="AG35" s="413"/>
      <c r="AH35" s="413"/>
      <c r="AI35" s="417"/>
      <c r="AJ35" s="89" cm="1">
        <f t="array" ref="AJ35">SUMPRODUCT(($E$33:$AH$33="HR")*(E35:AH35=""))+SUMPRODUCT((E35:AH35="HR")*1)</f>
        <v>5</v>
      </c>
      <c r="AK35" s="89" cm="1">
        <f t="array" ref="AK35">SUMPRODUCT(($E$33:$AH$33="N0")*(E35:AH35=""))+SUMPRODUCT((E35:AH35="N")*1)</f>
        <v>19</v>
      </c>
      <c r="AL35" s="88" cm="1">
        <f t="array" ref="AL35">SUMPRODUCT(($E$33:$AH$33="RD")*(E35:AH35=""))+SUMPRODUCT((E35:AH35="RD")*1)</f>
        <v>6</v>
      </c>
      <c r="AM35" s="89" cm="1">
        <f t="array" ref="AM35">SUMPRODUCT((F35:AH35="AL")*1)</f>
        <v>0</v>
      </c>
      <c r="AN35" s="89" cm="1">
        <f t="array" ref="AN35">SUMPRODUCT((F35:AH35="SH")*1)</f>
        <v>0</v>
      </c>
      <c r="AO35" s="89" cm="1">
        <f t="array" ref="AO35">SUMPRODUCT((E35:AH35="SL")*1)</f>
        <v>0</v>
      </c>
      <c r="AP35" s="140" t="e">
        <f>#REF!-AJ35-AK35-AL35-AM35-AN35-AO35</f>
        <v>#REF!</v>
      </c>
    </row>
    <row r="36" spans="1:42" ht="18" customHeight="1">
      <c r="A36" s="1331"/>
      <c r="B36" s="50" t="s">
        <v>273</v>
      </c>
      <c r="C36" s="18" t="s">
        <v>27</v>
      </c>
      <c r="D36" s="51">
        <v>672075</v>
      </c>
      <c r="E36" s="416"/>
      <c r="F36" s="413"/>
      <c r="G36" s="413"/>
      <c r="H36" s="417"/>
      <c r="I36" s="416" t="s">
        <v>94</v>
      </c>
      <c r="J36" s="413" t="s">
        <v>94</v>
      </c>
      <c r="K36" s="413" t="s">
        <v>94</v>
      </c>
      <c r="L36" s="413" t="s">
        <v>94</v>
      </c>
      <c r="M36" s="413" t="s">
        <v>94</v>
      </c>
      <c r="N36" s="413"/>
      <c r="O36" s="444"/>
      <c r="P36" s="416"/>
      <c r="Q36" s="413"/>
      <c r="R36" s="413"/>
      <c r="S36" s="413"/>
      <c r="T36" s="413"/>
      <c r="U36" s="413"/>
      <c r="V36" s="417"/>
      <c r="W36" s="421"/>
      <c r="X36" s="413"/>
      <c r="Y36" s="413"/>
      <c r="Z36" s="413"/>
      <c r="AA36" s="413"/>
      <c r="AB36" s="413"/>
      <c r="AC36" s="444"/>
      <c r="AD36" s="416"/>
      <c r="AE36" s="413"/>
      <c r="AF36" s="413"/>
      <c r="AG36" s="413"/>
      <c r="AH36" s="413"/>
      <c r="AI36" s="417"/>
      <c r="AJ36" s="89" cm="1">
        <f t="array" ref="AJ36">SUMPRODUCT(($E$33:$AH$33="HR")*(E36:AH36=""))+SUMPRODUCT((E36:AH36="HR")*1)</f>
        <v>0</v>
      </c>
      <c r="AK36" s="89" cm="1">
        <f t="array" ref="AK36">SUMPRODUCT(($E$33:$AH$33="N0")*(E36:AH36=""))+SUMPRODUCT((E36:AH36="N")*1)</f>
        <v>19</v>
      </c>
      <c r="AL36" s="88" cm="1">
        <f t="array" ref="AL36">SUMPRODUCT(($E$33:$AH$33="RD")*(E36:AH36=""))+SUMPRODUCT((E36:AH36="RD")*1)</f>
        <v>6</v>
      </c>
      <c r="AM36" s="89" cm="1">
        <f t="array" ref="AM36">SUMPRODUCT((F36:AH36="AL")*1)</f>
        <v>0</v>
      </c>
      <c r="AN36" s="89" cm="1">
        <f t="array" ref="AN36">SUMPRODUCT((F36:AH36="SH")*1)</f>
        <v>0</v>
      </c>
      <c r="AO36" s="89" cm="1">
        <f t="array" ref="AO36">SUMPRODUCT((E36:AH36="SL")*1)</f>
        <v>0</v>
      </c>
      <c r="AP36" s="140" t="e">
        <f>#REF!-AJ36-AK36-AL36-AM36-AN36-AO36</f>
        <v>#REF!</v>
      </c>
    </row>
    <row r="37" spans="1:42" ht="18" customHeight="1">
      <c r="A37" s="1331"/>
      <c r="B37" s="47" t="s">
        <v>35</v>
      </c>
      <c r="C37" s="16" t="s">
        <v>27</v>
      </c>
      <c r="D37" s="22">
        <v>655180</v>
      </c>
      <c r="E37" s="416"/>
      <c r="F37" s="413"/>
      <c r="G37" s="413"/>
      <c r="H37" s="417"/>
      <c r="I37" s="421"/>
      <c r="J37" s="413"/>
      <c r="K37" s="413"/>
      <c r="L37" s="413"/>
      <c r="M37" s="413"/>
      <c r="N37" s="413"/>
      <c r="O37" s="444"/>
      <c r="P37" s="416"/>
      <c r="Q37" s="413"/>
      <c r="R37" s="413"/>
      <c r="S37" s="413"/>
      <c r="T37" s="413"/>
      <c r="U37" s="413"/>
      <c r="V37" s="417"/>
      <c r="W37" s="421"/>
      <c r="X37" s="413"/>
      <c r="Y37" s="413"/>
      <c r="Z37" s="413"/>
      <c r="AA37" s="413"/>
      <c r="AB37" s="413"/>
      <c r="AC37" s="444"/>
      <c r="AD37" s="416"/>
      <c r="AE37" s="413"/>
      <c r="AF37" s="413"/>
      <c r="AG37" s="413"/>
      <c r="AH37" s="413"/>
      <c r="AI37" s="417"/>
      <c r="AJ37" s="89" cm="1">
        <f t="array" ref="AJ37">SUMPRODUCT(($E$33:$AH$33="HR")*(E37:AH37=""))+SUMPRODUCT((E37:AH37="HR")*1)</f>
        <v>5</v>
      </c>
      <c r="AK37" s="89" cm="1">
        <f t="array" ref="AK37">SUMPRODUCT(($E$33:$AH$33="N0")*(E37:AH37=""))+SUMPRODUCT((E37:AH37="N")*1)</f>
        <v>19</v>
      </c>
      <c r="AL37" s="88" cm="1">
        <f t="array" ref="AL37">SUMPRODUCT(($E$33:$AH$33="RD")*(E37:AH37=""))+SUMPRODUCT((E37:AH37="RD")*1)</f>
        <v>6</v>
      </c>
      <c r="AM37" s="89" cm="1">
        <f t="array" ref="AM37">SUMPRODUCT((F37:AH37="AL")*1)</f>
        <v>0</v>
      </c>
      <c r="AN37" s="89" cm="1">
        <f t="array" ref="AN37">SUMPRODUCT((F37:AH37="SH")*1)</f>
        <v>0</v>
      </c>
      <c r="AO37" s="89" cm="1">
        <f t="array" ref="AO37">SUMPRODUCT((E37:AH37="SL")*1)</f>
        <v>0</v>
      </c>
      <c r="AP37" s="140" t="e">
        <f>#REF!-AJ37-AK37-AL37-AM37-AN37-AO37</f>
        <v>#REF!</v>
      </c>
    </row>
    <row r="38" spans="1:42" ht="18" customHeight="1">
      <c r="A38" s="1331"/>
      <c r="B38" s="97" t="s">
        <v>34</v>
      </c>
      <c r="C38" s="16" t="s">
        <v>27</v>
      </c>
      <c r="D38" s="22">
        <v>673277</v>
      </c>
      <c r="E38" s="416"/>
      <c r="F38" s="413"/>
      <c r="G38" s="413"/>
      <c r="H38" s="417"/>
      <c r="I38" s="421"/>
      <c r="J38" s="413" t="s">
        <v>140</v>
      </c>
      <c r="K38" s="413" t="s">
        <v>140</v>
      </c>
      <c r="L38" s="413"/>
      <c r="M38" s="413"/>
      <c r="N38" s="413"/>
      <c r="O38" s="444"/>
      <c r="P38" s="416"/>
      <c r="Q38" s="413"/>
      <c r="R38" s="413"/>
      <c r="S38" s="413"/>
      <c r="T38" s="413"/>
      <c r="U38" s="413"/>
      <c r="V38" s="417"/>
      <c r="W38" s="421"/>
      <c r="X38" s="413"/>
      <c r="Y38" s="413"/>
      <c r="Z38" s="413"/>
      <c r="AA38" s="413"/>
      <c r="AB38" s="413"/>
      <c r="AC38" s="444"/>
      <c r="AD38" s="416"/>
      <c r="AE38" s="413"/>
      <c r="AF38" s="413"/>
      <c r="AG38" s="413"/>
      <c r="AH38" s="413"/>
      <c r="AI38" s="417"/>
      <c r="AJ38" s="89" cm="1">
        <f t="array" ref="AJ38">SUMPRODUCT(($E$33:$AH$33="HR")*(E38:AH38=""))+SUMPRODUCT((E38:AH38="HR")*1)</f>
        <v>3</v>
      </c>
      <c r="AK38" s="89" cm="1">
        <f t="array" ref="AK38">SUMPRODUCT(($E$33:$AH$33="N0")*(E38:AH38=""))+SUMPRODUCT((E38:AH38="N")*1)</f>
        <v>19</v>
      </c>
      <c r="AL38" s="88" cm="1">
        <f t="array" ref="AL38">SUMPRODUCT(($E$33:$AH$33="RD")*(E38:AH38=""))+SUMPRODUCT((E38:AH38="RD")*1)</f>
        <v>6</v>
      </c>
      <c r="AM38" s="89" cm="1">
        <f t="array" ref="AM38">SUMPRODUCT((F38:AH38="AL")*1)</f>
        <v>0</v>
      </c>
      <c r="AN38" s="89" cm="1">
        <f t="array" ref="AN38">SUMPRODUCT((F38:AH38="SH")*1)</f>
        <v>0</v>
      </c>
      <c r="AO38" s="89" cm="1">
        <f t="array" ref="AO38">SUMPRODUCT((E38:AH38="SL")*1)</f>
        <v>0</v>
      </c>
      <c r="AP38" s="140" t="e">
        <f>#REF!-AJ38-AK38-AL38-AM38-AN38-AO38</f>
        <v>#REF!</v>
      </c>
    </row>
    <row r="39" spans="1:42" ht="18" customHeight="1">
      <c r="A39" s="1331"/>
      <c r="B39" s="150" t="s">
        <v>118</v>
      </c>
      <c r="C39" s="133" t="s">
        <v>27</v>
      </c>
      <c r="D39" s="108">
        <v>674432</v>
      </c>
      <c r="E39" s="416"/>
      <c r="F39" s="413"/>
      <c r="G39" s="413"/>
      <c r="H39" s="417"/>
      <c r="I39" s="421"/>
      <c r="J39" s="413"/>
      <c r="K39" s="413" t="s">
        <v>137</v>
      </c>
      <c r="L39" s="413"/>
      <c r="M39" s="413" t="s">
        <v>124</v>
      </c>
      <c r="N39" s="413"/>
      <c r="O39" s="444"/>
      <c r="P39" s="416"/>
      <c r="Q39" s="413"/>
      <c r="R39" s="413"/>
      <c r="S39" s="413"/>
      <c r="T39" s="413"/>
      <c r="U39" s="413"/>
      <c r="V39" s="417"/>
      <c r="W39" s="421"/>
      <c r="X39" s="413"/>
      <c r="Y39" s="413"/>
      <c r="Z39" s="413"/>
      <c r="AA39" s="413"/>
      <c r="AB39" s="413"/>
      <c r="AC39" s="444"/>
      <c r="AD39" s="416"/>
      <c r="AE39" s="413"/>
      <c r="AF39" s="413"/>
      <c r="AG39" s="413"/>
      <c r="AH39" s="413"/>
      <c r="AI39" s="417"/>
      <c r="AJ39" s="89" cm="1">
        <f t="array" ref="AJ39">SUMPRODUCT(($E$33:$AH$33="HR")*(E39:AH39=""))+SUMPRODUCT((E39:AH39="HR")*1)</f>
        <v>3</v>
      </c>
      <c r="AK39" s="89" cm="1">
        <f t="array" ref="AK39">SUMPRODUCT(($E$33:$AH$33="N0")*(E39:AH39=""))+SUMPRODUCT((E39:AH39="N")*1)</f>
        <v>19</v>
      </c>
      <c r="AL39" s="88" cm="1">
        <f t="array" ref="AL39">SUMPRODUCT(($E$33:$AH$33="RD")*(E39:AH39=""))+SUMPRODUCT((E39:AH39="RD")*1)</f>
        <v>6</v>
      </c>
      <c r="AM39" s="89" cm="1">
        <f t="array" ref="AM39">SUMPRODUCT((F39:AH39="AL")*1)</f>
        <v>0</v>
      </c>
      <c r="AN39" s="89" cm="1">
        <f t="array" ref="AN39">SUMPRODUCT((F39:AH39="SH")*1)</f>
        <v>0</v>
      </c>
      <c r="AO39" s="89" cm="1">
        <f t="array" ref="AO39">SUMPRODUCT((E39:AH39="SL")*1)</f>
        <v>0</v>
      </c>
      <c r="AP39" s="140" t="e">
        <f>#REF!-AJ39-AK39-AL39-AM39-AN39-AO39</f>
        <v>#REF!</v>
      </c>
    </row>
    <row r="40" spans="1:42" ht="18" customHeight="1" thickTop="1" thickBot="1">
      <c r="A40" s="1316" t="s">
        <v>119</v>
      </c>
      <c r="B40" s="1334" t="s">
        <v>110</v>
      </c>
      <c r="C40" s="1332"/>
      <c r="D40" s="1332"/>
      <c r="E40" s="515" t="s">
        <v>94</v>
      </c>
      <c r="F40" s="509" t="s">
        <v>94</v>
      </c>
      <c r="G40" s="512" t="s">
        <v>84</v>
      </c>
      <c r="H40" s="507" t="s">
        <v>94</v>
      </c>
      <c r="I40" s="508" t="s">
        <v>94</v>
      </c>
      <c r="J40" s="509" t="s">
        <v>94</v>
      </c>
      <c r="K40" s="509" t="s">
        <v>94</v>
      </c>
      <c r="L40" s="509" t="s">
        <v>94</v>
      </c>
      <c r="M40" s="509" t="s">
        <v>94</v>
      </c>
      <c r="N40" s="512" t="s">
        <v>84</v>
      </c>
      <c r="O40" s="493" t="s">
        <v>84</v>
      </c>
      <c r="P40" s="513" t="s">
        <v>95</v>
      </c>
      <c r="Q40" s="511" t="s">
        <v>95</v>
      </c>
      <c r="R40" s="511" t="s">
        <v>95</v>
      </c>
      <c r="S40" s="511" t="s">
        <v>95</v>
      </c>
      <c r="T40" s="511" t="s">
        <v>95</v>
      </c>
      <c r="U40" s="512" t="s">
        <v>84</v>
      </c>
      <c r="V40" s="477" t="s">
        <v>84</v>
      </c>
      <c r="W40" s="508" t="s">
        <v>94</v>
      </c>
      <c r="X40" s="509" t="s">
        <v>94</v>
      </c>
      <c r="Y40" s="509" t="s">
        <v>94</v>
      </c>
      <c r="Z40" s="509" t="s">
        <v>94</v>
      </c>
      <c r="AA40" s="509" t="s">
        <v>94</v>
      </c>
      <c r="AB40" s="512" t="s">
        <v>84</v>
      </c>
      <c r="AC40" s="514" t="s">
        <v>94</v>
      </c>
      <c r="AD40" s="515" t="s">
        <v>94</v>
      </c>
      <c r="AE40" s="509" t="s">
        <v>94</v>
      </c>
      <c r="AF40" s="509" t="s">
        <v>94</v>
      </c>
      <c r="AG40" s="509" t="s">
        <v>94</v>
      </c>
      <c r="AH40" s="509" t="s">
        <v>94</v>
      </c>
      <c r="AI40" s="480" t="s">
        <v>84</v>
      </c>
      <c r="AJ40" s="137" t="s">
        <v>95</v>
      </c>
      <c r="AK40" s="137" t="s">
        <v>38</v>
      </c>
      <c r="AL40" s="138" t="s">
        <v>84</v>
      </c>
      <c r="AM40" s="137" t="s">
        <v>81</v>
      </c>
      <c r="AN40" s="137" t="s">
        <v>88</v>
      </c>
      <c r="AO40" s="137" t="s">
        <v>96</v>
      </c>
      <c r="AP40" s="139" t="s">
        <v>97</v>
      </c>
    </row>
    <row r="41" spans="1:42" ht="18" customHeight="1">
      <c r="A41" s="1331"/>
      <c r="B41" s="44" t="s">
        <v>274</v>
      </c>
      <c r="C41" s="17" t="s">
        <v>16</v>
      </c>
      <c r="D41" s="21">
        <v>422380</v>
      </c>
      <c r="E41" s="441"/>
      <c r="F41" s="431"/>
      <c r="G41" s="431"/>
      <c r="H41" s="436"/>
      <c r="I41" s="435"/>
      <c r="J41" s="431"/>
      <c r="K41" s="431"/>
      <c r="L41" s="431"/>
      <c r="M41" s="431"/>
      <c r="N41" s="431"/>
      <c r="O41" s="443"/>
      <c r="P41" s="441" t="s">
        <v>94</v>
      </c>
      <c r="Q41" s="431" t="s">
        <v>94</v>
      </c>
      <c r="R41" s="431" t="s">
        <v>94</v>
      </c>
      <c r="S41" s="431" t="s">
        <v>94</v>
      </c>
      <c r="T41" s="431" t="s">
        <v>94</v>
      </c>
      <c r="U41" s="431"/>
      <c r="V41" s="436"/>
      <c r="W41" s="435"/>
      <c r="X41" s="431"/>
      <c r="Y41" s="431"/>
      <c r="Z41" s="431"/>
      <c r="AA41" s="431"/>
      <c r="AB41" s="431"/>
      <c r="AC41" s="443"/>
      <c r="AD41" s="441"/>
      <c r="AE41" s="431"/>
      <c r="AF41" s="431"/>
      <c r="AG41" s="431"/>
      <c r="AH41" s="431"/>
      <c r="AI41" s="436"/>
      <c r="AJ41" s="89" cm="1">
        <f t="array" ref="AJ41">SUMPRODUCT(($E$40:$AH$40="HR")*(E41:AH41=""))+SUMPRODUCT((E41:AH41="HR")*1)</f>
        <v>0</v>
      </c>
      <c r="AK41" s="89" cm="1">
        <f t="array" ref="AK41">SUMPRODUCT(($E$40:$AH$40="N0")*(E41:AH41=""))+SUMPRODUCT((E41:AH41="N")*1)</f>
        <v>19</v>
      </c>
      <c r="AL41" s="88" cm="1">
        <f t="array" ref="AL41">SUMPRODUCT(($E$40:$AH$40="RD")*(E41:AH41=""))+SUMPRODUCT((E41:AH41="RD")*1)</f>
        <v>6</v>
      </c>
      <c r="AM41" s="89" cm="1">
        <f t="array" ref="AM41">SUMPRODUCT((F41:AH41="AL")*1)</f>
        <v>0</v>
      </c>
      <c r="AN41" s="89" cm="1">
        <f t="array" ref="AN41">SUMPRODUCT((F41:AH41="SH")*1)</f>
        <v>0</v>
      </c>
      <c r="AO41" s="89" cm="1">
        <f t="array" ref="AO41">SUMPRODUCT((E41:AH41="SL")*1)</f>
        <v>0</v>
      </c>
      <c r="AP41" s="140" t="e">
        <f>#REF!-AJ41-AK41-AL41-AM41-AN41-AO41</f>
        <v>#REF!</v>
      </c>
    </row>
    <row r="42" spans="1:42" ht="18" customHeight="1">
      <c r="A42" s="1331"/>
      <c r="B42" s="45" t="s">
        <v>36</v>
      </c>
      <c r="C42" s="16" t="s">
        <v>16</v>
      </c>
      <c r="D42" s="22">
        <v>669557</v>
      </c>
      <c r="E42" s="416"/>
      <c r="F42" s="1048" t="s">
        <v>81</v>
      </c>
      <c r="G42" s="1048"/>
      <c r="H42" s="1154" t="s">
        <v>81</v>
      </c>
      <c r="I42" s="1049" t="s">
        <v>81</v>
      </c>
      <c r="J42" s="1048" t="s">
        <v>81</v>
      </c>
      <c r="K42" s="1048" t="s">
        <v>81</v>
      </c>
      <c r="L42" s="413"/>
      <c r="M42" s="413"/>
      <c r="N42" s="413"/>
      <c r="O42" s="444"/>
      <c r="P42" s="416"/>
      <c r="Q42" s="413"/>
      <c r="R42" s="413"/>
      <c r="S42" s="413"/>
      <c r="T42" s="413"/>
      <c r="U42" s="413"/>
      <c r="V42" s="417"/>
      <c r="W42" s="421"/>
      <c r="X42" s="413"/>
      <c r="Y42" s="413"/>
      <c r="Z42" s="413"/>
      <c r="AA42" s="413"/>
      <c r="AB42" s="413"/>
      <c r="AC42" s="444"/>
      <c r="AD42" s="416"/>
      <c r="AE42" s="413"/>
      <c r="AF42" s="413"/>
      <c r="AG42" s="1048" t="s">
        <v>88</v>
      </c>
      <c r="AH42" s="1048" t="s">
        <v>88</v>
      </c>
      <c r="AI42" s="417"/>
      <c r="AJ42" s="89" cm="1">
        <f t="array" ref="AJ42">SUMPRODUCT(($E$40:$AH$40="HR")*(E42:AH42=""))+SUMPRODUCT((E42:AH42="HR")*1)</f>
        <v>5</v>
      </c>
      <c r="AK42" s="89" cm="1">
        <f t="array" ref="AK42">SUMPRODUCT(($E$40:$AH$40="N0")*(E42:AH42=""))+SUMPRODUCT((E42:AH42="N")*1)</f>
        <v>12</v>
      </c>
      <c r="AL42" s="88" cm="1">
        <f t="array" ref="AL42">SUMPRODUCT(($E$40:$AH$40="RD")*(E42:AH42=""))+SUMPRODUCT((E42:AH42="RD")*1)</f>
        <v>6</v>
      </c>
      <c r="AM42" s="89" cm="1">
        <f t="array" ref="AM42">SUMPRODUCT((F42:AH42="AL")*1)</f>
        <v>5</v>
      </c>
      <c r="AN42" s="89" cm="1">
        <f t="array" ref="AN42">SUMPRODUCT((F42:AH42="SH")*1)</f>
        <v>2</v>
      </c>
      <c r="AO42" s="89" cm="1">
        <f t="array" ref="AO42">SUMPRODUCT((E42:AH42="SL")*1)</f>
        <v>0</v>
      </c>
      <c r="AP42" s="140" t="e">
        <f>#REF!-AJ42-AK42-AL42-AM42-AN42-AO42</f>
        <v>#REF!</v>
      </c>
    </row>
    <row r="43" spans="1:42" ht="18" customHeight="1">
      <c r="A43" s="1331"/>
      <c r="B43" s="45" t="s">
        <v>275</v>
      </c>
      <c r="C43" s="16" t="s">
        <v>16</v>
      </c>
      <c r="D43" s="22">
        <v>505935</v>
      </c>
      <c r="E43" s="416"/>
      <c r="F43" s="413"/>
      <c r="G43" s="413"/>
      <c r="H43" s="417"/>
      <c r="I43" s="421"/>
      <c r="J43" s="413"/>
      <c r="K43" s="413"/>
      <c r="L43" s="413"/>
      <c r="M43" s="413"/>
      <c r="N43" s="413"/>
      <c r="O43" s="444"/>
      <c r="P43" s="416" t="s">
        <v>94</v>
      </c>
      <c r="Q43" s="413" t="s">
        <v>94</v>
      </c>
      <c r="R43" s="413" t="s">
        <v>94</v>
      </c>
      <c r="S43" s="413" t="s">
        <v>94</v>
      </c>
      <c r="T43" s="413" t="s">
        <v>94</v>
      </c>
      <c r="U43" s="413"/>
      <c r="V43" s="417"/>
      <c r="W43" s="421"/>
      <c r="X43" s="413"/>
      <c r="Y43" s="413"/>
      <c r="Z43" s="413"/>
      <c r="AA43" s="413"/>
      <c r="AB43" s="413"/>
      <c r="AC43" s="444"/>
      <c r="AD43" s="416"/>
      <c r="AE43" s="413"/>
      <c r="AF43" s="413"/>
      <c r="AG43" s="413"/>
      <c r="AH43" s="413"/>
      <c r="AI43" s="417"/>
      <c r="AJ43" s="89" cm="1">
        <f t="array" ref="AJ43">SUMPRODUCT(($E$40:$AH$40="HR")*(E43:AH43=""))+SUMPRODUCT((E43:AH43="HR")*1)</f>
        <v>0</v>
      </c>
      <c r="AK43" s="89" cm="1">
        <f t="array" ref="AK43">SUMPRODUCT(($E$40:$AH$40="N0")*(E43:AH43=""))+SUMPRODUCT((E43:AH43="N")*1)</f>
        <v>19</v>
      </c>
      <c r="AL43" s="88" cm="1">
        <f t="array" ref="AL43">SUMPRODUCT(($E$40:$AH$40="RD")*(E43:AH43=""))+SUMPRODUCT((E43:AH43="RD")*1)</f>
        <v>6</v>
      </c>
      <c r="AM43" s="89" cm="1">
        <f t="array" ref="AM43">SUMPRODUCT((F43:AH43="AL")*1)</f>
        <v>0</v>
      </c>
      <c r="AN43" s="89" cm="1">
        <f t="array" ref="AN43">SUMPRODUCT((F43:AH43="SH")*1)</f>
        <v>0</v>
      </c>
      <c r="AO43" s="89" cm="1">
        <f t="array" ref="AO43">SUMPRODUCT((E43:AH43="SL")*1)</f>
        <v>0</v>
      </c>
      <c r="AP43" s="140" t="e">
        <f>#REF!-AJ43-AK43-AL43-AM43-AN43-AO43</f>
        <v>#REF!</v>
      </c>
    </row>
    <row r="44" spans="1:42" ht="18" customHeight="1">
      <c r="A44" s="1331"/>
      <c r="B44" s="45" t="s">
        <v>25</v>
      </c>
      <c r="C44" s="16" t="s">
        <v>27</v>
      </c>
      <c r="D44" s="22">
        <v>580058</v>
      </c>
      <c r="E44" s="416"/>
      <c r="F44" s="413"/>
      <c r="G44" s="413"/>
      <c r="H44" s="417"/>
      <c r="I44" s="421"/>
      <c r="J44" s="413"/>
      <c r="K44" s="413"/>
      <c r="L44" s="413"/>
      <c r="M44" s="413"/>
      <c r="N44" s="413"/>
      <c r="O44" s="444"/>
      <c r="P44" s="416"/>
      <c r="Q44" s="413"/>
      <c r="R44" s="413"/>
      <c r="S44" s="413"/>
      <c r="T44" s="413"/>
      <c r="U44" s="413"/>
      <c r="V44" s="417"/>
      <c r="W44" s="421"/>
      <c r="X44" s="413"/>
      <c r="Y44" s="413"/>
      <c r="Z44" s="413"/>
      <c r="AA44" s="413"/>
      <c r="AB44" s="413"/>
      <c r="AC44" s="444"/>
      <c r="AD44" s="416"/>
      <c r="AE44" s="413"/>
      <c r="AF44" s="413"/>
      <c r="AG44" s="413"/>
      <c r="AH44" s="413"/>
      <c r="AI44" s="417"/>
      <c r="AJ44" s="89" cm="1">
        <f t="array" ref="AJ44">SUMPRODUCT(($E$40:$AH$40="HR")*(E44:AH44=""))+SUMPRODUCT((E44:AH44="HR")*1)</f>
        <v>5</v>
      </c>
      <c r="AK44" s="89" cm="1">
        <f t="array" ref="AK44">SUMPRODUCT(($E$40:$AH$40="N0")*(E44:AH44=""))+SUMPRODUCT((E44:AH44="N")*1)</f>
        <v>19</v>
      </c>
      <c r="AL44" s="88" cm="1">
        <f t="array" ref="AL44">SUMPRODUCT(($E$40:$AH$40="RD")*(E44:AH44=""))+SUMPRODUCT((E44:AH44="RD")*1)</f>
        <v>6</v>
      </c>
      <c r="AM44" s="89" cm="1">
        <f t="array" ref="AM44">SUMPRODUCT((F44:AH44="AL")*1)</f>
        <v>0</v>
      </c>
      <c r="AN44" s="89" cm="1">
        <f t="array" ref="AN44">SUMPRODUCT((F44:AH44="SH")*1)</f>
        <v>0</v>
      </c>
      <c r="AO44" s="89" cm="1">
        <f t="array" ref="AO44">SUMPRODUCT((E44:AH44="SL")*1)</f>
        <v>0</v>
      </c>
      <c r="AP44" s="140" t="e">
        <f>#REF!-AJ44-AK44-AL44-AM44-AN44-AO44</f>
        <v>#REF!</v>
      </c>
    </row>
    <row r="45" spans="1:42" ht="18" customHeight="1">
      <c r="A45" s="1331"/>
      <c r="B45" s="45" t="s">
        <v>37</v>
      </c>
      <c r="C45" s="16" t="s">
        <v>27</v>
      </c>
      <c r="D45" s="22">
        <v>680417</v>
      </c>
      <c r="E45" s="416"/>
      <c r="F45" s="413"/>
      <c r="G45" s="413"/>
      <c r="H45" s="417"/>
      <c r="I45" s="421"/>
      <c r="J45" s="413"/>
      <c r="K45" s="413"/>
      <c r="L45" s="413"/>
      <c r="M45" s="413"/>
      <c r="N45" s="413"/>
      <c r="O45" s="444"/>
      <c r="P45" s="416"/>
      <c r="Q45" s="413"/>
      <c r="R45" s="413"/>
      <c r="S45" s="413"/>
      <c r="T45" s="413"/>
      <c r="U45" s="413"/>
      <c r="V45" s="417"/>
      <c r="W45" s="1049" t="s">
        <v>81</v>
      </c>
      <c r="X45" s="1048" t="s">
        <v>81</v>
      </c>
      <c r="Y45" s="1048" t="s">
        <v>81</v>
      </c>
      <c r="Z45" s="1048" t="s">
        <v>88</v>
      </c>
      <c r="AA45" s="1048" t="s">
        <v>88</v>
      </c>
      <c r="AB45" s="1048"/>
      <c r="AC45" s="1046" t="s">
        <v>88</v>
      </c>
      <c r="AD45" s="416"/>
      <c r="AE45" s="413"/>
      <c r="AF45" s="413"/>
      <c r="AG45" s="413"/>
      <c r="AH45" s="413"/>
      <c r="AI45" s="417"/>
      <c r="AJ45" s="89" cm="1">
        <f t="array" ref="AJ45">SUMPRODUCT(($E$40:$AH$40="HR")*(E45:AH45=""))+SUMPRODUCT((E45:AH45="HR")*1)</f>
        <v>5</v>
      </c>
      <c r="AK45" s="89" cm="1">
        <f t="array" ref="AK45">SUMPRODUCT(($E$40:$AH$40="N0")*(E45:AH45=""))+SUMPRODUCT((E45:AH45="N")*1)</f>
        <v>13</v>
      </c>
      <c r="AL45" s="88" cm="1">
        <f t="array" ref="AL45">SUMPRODUCT(($E$40:$AH$40="RD")*(E45:AH45=""))+SUMPRODUCT((E45:AH45="RD")*1)</f>
        <v>6</v>
      </c>
      <c r="AM45" s="89" cm="1">
        <f t="array" ref="AM45">SUMPRODUCT((F45:AH45="AL")*1)</f>
        <v>3</v>
      </c>
      <c r="AN45" s="89" cm="1">
        <f t="array" ref="AN45">SUMPRODUCT((F45:AH45="SH")*1)</f>
        <v>3</v>
      </c>
      <c r="AO45" s="89" cm="1">
        <f t="array" ref="AO45">SUMPRODUCT((E45:AH45="SL")*1)</f>
        <v>0</v>
      </c>
      <c r="AP45" s="140" t="e">
        <f>#REF!-AJ45-AK45-AL45-AM45-AN45-AO45</f>
        <v>#REF!</v>
      </c>
    </row>
    <row r="46" spans="1:42" ht="18" customHeight="1">
      <c r="A46" s="1331"/>
      <c r="B46" s="120" t="s">
        <v>49</v>
      </c>
      <c r="C46" s="16" t="s">
        <v>27</v>
      </c>
      <c r="D46" s="22">
        <v>684119</v>
      </c>
      <c r="E46" s="416"/>
      <c r="F46" s="413"/>
      <c r="G46" s="413"/>
      <c r="H46" s="417"/>
      <c r="I46" s="421"/>
      <c r="J46" s="413"/>
      <c r="K46" s="413"/>
      <c r="L46" s="413"/>
      <c r="M46" s="413"/>
      <c r="N46" s="413"/>
      <c r="O46" s="444"/>
      <c r="P46" s="416"/>
      <c r="Q46" s="413"/>
      <c r="R46" s="413"/>
      <c r="S46" s="413"/>
      <c r="T46" s="413"/>
      <c r="U46" s="413"/>
      <c r="V46" s="417"/>
      <c r="W46" s="421"/>
      <c r="X46" s="413"/>
      <c r="Y46" s="413"/>
      <c r="Z46" s="413"/>
      <c r="AA46" s="413"/>
      <c r="AB46" s="413"/>
      <c r="AC46" s="444"/>
      <c r="AD46" s="416"/>
      <c r="AE46" s="413"/>
      <c r="AF46" s="413"/>
      <c r="AG46" s="413"/>
      <c r="AH46" s="413"/>
      <c r="AI46" s="417"/>
      <c r="AJ46" s="89" cm="1">
        <f t="array" ref="AJ46">SUMPRODUCT(($E$40:$AH$40="HR")*(E46:AH46=""))+SUMPRODUCT((E46:AH46="HR")*1)</f>
        <v>5</v>
      </c>
      <c r="AK46" s="89" cm="1">
        <f t="array" ref="AK46">SUMPRODUCT(($E$40:$AH$40="N0")*(E46:AH46=""))+SUMPRODUCT((E46:AH46="N")*1)</f>
        <v>19</v>
      </c>
      <c r="AL46" s="88" cm="1">
        <f t="array" ref="AL46">SUMPRODUCT(($E$40:$AH$40="RD")*(E46:AH46=""))+SUMPRODUCT((E46:AH46="RD")*1)</f>
        <v>6</v>
      </c>
      <c r="AM46" s="89" cm="1">
        <f t="array" ref="AM46">SUMPRODUCT((F46:AH46="AL")*1)</f>
        <v>0</v>
      </c>
      <c r="AN46" s="89" cm="1">
        <f t="array" ref="AN46">SUMPRODUCT((F46:AH46="SH")*1)</f>
        <v>0</v>
      </c>
      <c r="AO46" s="89" cm="1">
        <f t="array" ref="AO46">SUMPRODUCT((E46:AH46="SL")*1)</f>
        <v>0</v>
      </c>
      <c r="AP46" s="140" t="e">
        <f>#REF!-AJ46-AK46-AL46-AM46-AN46-AO46</f>
        <v>#REF!</v>
      </c>
    </row>
    <row r="47" spans="1:42" ht="18" customHeight="1" thickBot="1">
      <c r="A47" s="1333"/>
      <c r="B47" s="117" t="s">
        <v>57</v>
      </c>
      <c r="C47" s="104" t="s">
        <v>27</v>
      </c>
      <c r="D47" s="105">
        <v>676140</v>
      </c>
      <c r="E47" s="521"/>
      <c r="F47" s="523"/>
      <c r="G47" s="523"/>
      <c r="H47" s="522"/>
      <c r="I47" s="524"/>
      <c r="J47" s="523"/>
      <c r="K47" s="523"/>
      <c r="L47" s="523"/>
      <c r="M47" s="523"/>
      <c r="N47" s="523"/>
      <c r="O47" s="525"/>
      <c r="P47" s="521"/>
      <c r="Q47" s="523"/>
      <c r="R47" s="523"/>
      <c r="S47" s="523"/>
      <c r="T47" s="523"/>
      <c r="U47" s="523"/>
      <c r="V47" s="522"/>
      <c r="W47" s="524"/>
      <c r="X47" s="523"/>
      <c r="Y47" s="523"/>
      <c r="Z47" s="523"/>
      <c r="AA47" s="523"/>
      <c r="AB47" s="523"/>
      <c r="AC47" s="525"/>
      <c r="AD47" s="521"/>
      <c r="AE47" s="523"/>
      <c r="AF47" s="523"/>
      <c r="AG47" s="523"/>
      <c r="AH47" s="523"/>
      <c r="AI47" s="522"/>
      <c r="AJ47" s="89" cm="1">
        <f t="array" ref="AJ47">SUMPRODUCT(($E$40:$AH$40="HR")*(E47:AH47=""))+SUMPRODUCT((E47:AH47="HR")*1)</f>
        <v>5</v>
      </c>
      <c r="AK47" s="89" cm="1">
        <f t="array" ref="AK47">SUMPRODUCT(($E$40:$AH$40="N0")*(E47:AH47=""))+SUMPRODUCT((E47:AH47="N")*1)</f>
        <v>19</v>
      </c>
      <c r="AL47" s="88" cm="1">
        <f t="array" ref="AL47">SUMPRODUCT(($E$40:$AH$40="RD")*(E47:AH47=""))+SUMPRODUCT((E47:AH47="RD")*1)</f>
        <v>6</v>
      </c>
      <c r="AM47" s="89" cm="1">
        <f t="array" ref="AM47">SUMPRODUCT((F47:AH47="AL")*1)</f>
        <v>0</v>
      </c>
      <c r="AN47" s="89" cm="1">
        <f t="array" ref="AN47">SUMPRODUCT((F47:AH47="SH")*1)</f>
        <v>0</v>
      </c>
      <c r="AO47" s="89" cm="1">
        <f t="array" ref="AO47">SUMPRODUCT((E47:AH47="SL")*1)</f>
        <v>0</v>
      </c>
      <c r="AP47" s="140" t="e">
        <f>#REF!-AJ47-AK47-AL47-AM47-AN47-AO47</f>
        <v>#REF!</v>
      </c>
    </row>
    <row r="48" spans="1:42" ht="18" customHeight="1" thickTop="1" thickBot="1">
      <c r="A48" s="1320" t="s">
        <v>125</v>
      </c>
      <c r="B48" s="1334" t="s">
        <v>93</v>
      </c>
      <c r="C48" s="1332"/>
      <c r="D48" s="1332"/>
      <c r="E48" s="515" t="s">
        <v>87</v>
      </c>
      <c r="F48" s="509" t="s">
        <v>87</v>
      </c>
      <c r="G48" s="512" t="s">
        <v>84</v>
      </c>
      <c r="H48" s="477" t="s">
        <v>84</v>
      </c>
      <c r="I48" s="470" t="s">
        <v>87</v>
      </c>
      <c r="J48" s="469" t="s">
        <v>87</v>
      </c>
      <c r="K48" s="469" t="s">
        <v>87</v>
      </c>
      <c r="L48" s="469" t="s">
        <v>87</v>
      </c>
      <c r="M48" s="469" t="s">
        <v>87</v>
      </c>
      <c r="N48" s="512" t="s">
        <v>84</v>
      </c>
      <c r="O48" s="493" t="s">
        <v>84</v>
      </c>
      <c r="P48" s="515" t="s">
        <v>87</v>
      </c>
      <c r="Q48" s="509" t="s">
        <v>87</v>
      </c>
      <c r="R48" s="509" t="s">
        <v>87</v>
      </c>
      <c r="S48" s="509" t="s">
        <v>87</v>
      </c>
      <c r="T48" s="509" t="s">
        <v>87</v>
      </c>
      <c r="U48" s="512" t="s">
        <v>84</v>
      </c>
      <c r="V48" s="477" t="s">
        <v>84</v>
      </c>
      <c r="W48" s="508" t="s">
        <v>87</v>
      </c>
      <c r="X48" s="509" t="s">
        <v>87</v>
      </c>
      <c r="Y48" s="509" t="s">
        <v>87</v>
      </c>
      <c r="Z48" s="509" t="s">
        <v>87</v>
      </c>
      <c r="AA48" s="509" t="s">
        <v>87</v>
      </c>
      <c r="AB48" s="512" t="s">
        <v>84</v>
      </c>
      <c r="AC48" s="493" t="s">
        <v>84</v>
      </c>
      <c r="AD48" s="515" t="s">
        <v>87</v>
      </c>
      <c r="AE48" s="509" t="s">
        <v>87</v>
      </c>
      <c r="AF48" s="509" t="s">
        <v>87</v>
      </c>
      <c r="AG48" s="509" t="s">
        <v>87</v>
      </c>
      <c r="AH48" s="509" t="s">
        <v>87</v>
      </c>
      <c r="AI48" s="480" t="s">
        <v>84</v>
      </c>
    </row>
    <row r="49" spans="1:41" ht="18" customHeight="1" thickBot="1">
      <c r="A49" s="1416"/>
      <c r="B49" s="126" t="s">
        <v>43</v>
      </c>
      <c r="C49" s="122" t="s">
        <v>45</v>
      </c>
      <c r="D49" s="158">
        <v>555851</v>
      </c>
      <c r="E49" s="466"/>
      <c r="F49" s="469"/>
      <c r="G49" s="469"/>
      <c r="H49" s="467"/>
      <c r="I49" s="470"/>
      <c r="J49" s="469"/>
      <c r="K49" s="469"/>
      <c r="L49" s="469"/>
      <c r="M49" s="469"/>
      <c r="N49" s="469"/>
      <c r="O49" s="471"/>
      <c r="P49" s="468"/>
      <c r="Q49" s="469"/>
      <c r="R49" s="469"/>
      <c r="S49" s="469"/>
      <c r="T49" s="469"/>
      <c r="U49" s="469"/>
      <c r="V49" s="467"/>
      <c r="W49" s="470"/>
      <c r="X49" s="469"/>
      <c r="Y49" s="469"/>
      <c r="Z49" s="469"/>
      <c r="AA49" s="469"/>
      <c r="AB49" s="469"/>
      <c r="AC49" s="471"/>
      <c r="AD49" s="468"/>
      <c r="AE49" s="469"/>
      <c r="AF49" s="469"/>
      <c r="AG49" s="469"/>
      <c r="AH49" s="469"/>
      <c r="AI49" s="467"/>
    </row>
    <row r="50" spans="1:41" ht="17.5" thickBot="1"/>
    <row r="51" spans="1:41" ht="18" customHeight="1">
      <c r="D51" s="124" t="s">
        <v>123</v>
      </c>
      <c r="E51" s="123"/>
      <c r="F51" s="123" t="s">
        <v>390</v>
      </c>
      <c r="G51" s="123"/>
      <c r="H51" s="123"/>
      <c r="I51" s="123"/>
      <c r="J51" s="123"/>
      <c r="K51" s="123"/>
      <c r="L51" s="123"/>
      <c r="M51" s="123"/>
      <c r="N51" s="145"/>
      <c r="O51" s="145"/>
      <c r="U51" s="124" t="s">
        <v>135</v>
      </c>
      <c r="V51" s="209"/>
      <c r="W51" s="123" t="s">
        <v>391</v>
      </c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135"/>
    </row>
    <row r="52" spans="1:41" ht="18" customHeight="1">
      <c r="V52" s="1195"/>
      <c r="W52" s="1195"/>
      <c r="X52" s="1195"/>
      <c r="Y52" s="1195"/>
      <c r="Z52" s="1195"/>
      <c r="AA52" s="1195"/>
      <c r="AB52" s="1195"/>
      <c r="AC52" s="1195"/>
      <c r="AD52" s="1195"/>
      <c r="AE52" s="1195"/>
      <c r="AF52" s="1195"/>
      <c r="AG52" s="1195"/>
      <c r="AH52" s="1195"/>
    </row>
    <row r="53" spans="1:41" ht="18" customHeight="1">
      <c r="D53" s="124" t="s">
        <v>137</v>
      </c>
      <c r="E53" s="123"/>
      <c r="F53" s="123" t="s">
        <v>392</v>
      </c>
      <c r="G53" s="123"/>
      <c r="H53" s="123"/>
      <c r="I53" s="123"/>
      <c r="J53" s="123"/>
      <c r="K53" s="123"/>
      <c r="L53" s="123"/>
      <c r="M53" s="123"/>
      <c r="U53" s="124" t="s">
        <v>124</v>
      </c>
      <c r="V53" s="209"/>
      <c r="W53" s="123" t="s">
        <v>393</v>
      </c>
      <c r="X53" s="209"/>
      <c r="Y53" s="209"/>
      <c r="Z53" s="209"/>
      <c r="AA53" s="209"/>
      <c r="AB53" s="209"/>
      <c r="AC53" s="209"/>
      <c r="AD53" s="209"/>
      <c r="AE53" s="1195"/>
      <c r="AF53" s="1195"/>
      <c r="AG53" s="1195"/>
      <c r="AH53" s="1195"/>
    </row>
    <row r="54" spans="1:41" ht="18" customHeight="1">
      <c r="V54" s="1195"/>
      <c r="W54" s="1195"/>
      <c r="X54" s="1195"/>
      <c r="Y54" s="1195"/>
      <c r="Z54" s="1195"/>
      <c r="AA54" s="1195"/>
      <c r="AB54" s="1195"/>
      <c r="AC54" s="1195"/>
      <c r="AD54" s="1195"/>
      <c r="AE54" s="1195"/>
      <c r="AF54" s="1195"/>
      <c r="AG54" s="1195"/>
      <c r="AH54" s="1195"/>
    </row>
    <row r="55" spans="1:41" ht="18" customHeight="1">
      <c r="D55" s="124" t="s">
        <v>107</v>
      </c>
      <c r="F55" s="1106" t="s">
        <v>356</v>
      </c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U55" s="124" t="s">
        <v>140</v>
      </c>
      <c r="V55" s="1195"/>
      <c r="W55" s="123" t="s">
        <v>394</v>
      </c>
      <c r="X55" s="209"/>
      <c r="Y55" s="209"/>
      <c r="Z55" s="209"/>
      <c r="AA55" s="209"/>
      <c r="AB55" s="209"/>
      <c r="AC55" s="209"/>
      <c r="AD55" s="1195"/>
      <c r="AE55" s="1195"/>
      <c r="AF55" s="1195"/>
      <c r="AG55" s="1195"/>
      <c r="AH55" s="1195"/>
    </row>
    <row r="56" spans="1:41" ht="18" customHeight="1">
      <c r="V56" s="1195"/>
      <c r="W56" s="1195"/>
      <c r="X56" s="1195"/>
      <c r="Y56" s="1195"/>
      <c r="Z56" s="1195"/>
      <c r="AA56" s="1195"/>
      <c r="AB56" s="1195"/>
      <c r="AC56" s="1195"/>
      <c r="AD56" s="1195"/>
      <c r="AE56" s="1195"/>
      <c r="AF56" s="1195"/>
      <c r="AG56" s="1195"/>
      <c r="AH56" s="1195"/>
    </row>
    <row r="57" spans="1:41" ht="18" customHeight="1">
      <c r="D57" s="124" t="s">
        <v>108</v>
      </c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U57" s="124" t="s">
        <v>103</v>
      </c>
      <c r="V57" s="1195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145"/>
    </row>
    <row r="58" spans="1:41" ht="18" customHeight="1">
      <c r="V58" s="1195"/>
      <c r="W58" s="1195"/>
      <c r="X58" s="1195"/>
      <c r="Y58" s="1195"/>
      <c r="Z58" s="1195"/>
      <c r="AA58" s="1195"/>
      <c r="AB58" s="1195"/>
      <c r="AC58" s="1195"/>
      <c r="AD58" s="1195"/>
      <c r="AE58" s="1195"/>
      <c r="AF58" s="1195"/>
      <c r="AG58" s="1195"/>
      <c r="AH58" s="1195"/>
    </row>
    <row r="59" spans="1:41" ht="18" customHeight="1">
      <c r="D59" s="124" t="s">
        <v>105</v>
      </c>
      <c r="F59" s="123"/>
      <c r="U59" s="124" t="s">
        <v>145</v>
      </c>
      <c r="V59" s="1195"/>
      <c r="W59" s="209"/>
      <c r="X59" s="1195"/>
      <c r="Y59" s="1195"/>
      <c r="Z59" s="1195"/>
      <c r="AA59" s="1195"/>
      <c r="AB59" s="1195"/>
      <c r="AC59" s="1195"/>
      <c r="AD59" s="1195"/>
      <c r="AE59" s="1195"/>
      <c r="AF59" s="1195"/>
      <c r="AG59" s="1195"/>
      <c r="AH59" s="1195"/>
    </row>
    <row r="60" spans="1:41" ht="18" customHeight="1">
      <c r="V60" s="1195"/>
      <c r="W60" s="1195"/>
      <c r="X60" s="1195"/>
      <c r="Y60" s="1195"/>
      <c r="Z60" s="1195"/>
      <c r="AA60" s="1195"/>
      <c r="AB60" s="1195"/>
      <c r="AC60" s="1195"/>
      <c r="AD60" s="1195"/>
      <c r="AE60" s="1195"/>
      <c r="AF60" s="1195"/>
      <c r="AG60" s="1195"/>
      <c r="AH60" s="1195"/>
    </row>
    <row r="61" spans="1:41" ht="18" customHeight="1">
      <c r="A61" s="123"/>
      <c r="B61" s="123"/>
      <c r="C61" s="123"/>
      <c r="D61" s="124" t="s">
        <v>122</v>
      </c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4" t="s">
        <v>115</v>
      </c>
      <c r="V61" s="1195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123"/>
      <c r="AJ61" s="123"/>
      <c r="AK61" s="123"/>
      <c r="AL61" s="123"/>
      <c r="AM61" s="123"/>
      <c r="AN61" s="123"/>
      <c r="AO61" s="123"/>
    </row>
    <row r="62" spans="1:41" ht="18" customHeight="1">
      <c r="V62" s="1195"/>
      <c r="W62" s="1195"/>
      <c r="X62" s="1195"/>
      <c r="Y62" s="1195"/>
      <c r="Z62" s="1195"/>
      <c r="AA62" s="1195"/>
      <c r="AB62" s="1195"/>
      <c r="AC62" s="1195"/>
      <c r="AD62" s="1195"/>
      <c r="AE62" s="1195"/>
      <c r="AF62" s="1195"/>
      <c r="AG62" s="1195"/>
      <c r="AH62" s="1195"/>
    </row>
    <row r="63" spans="1:41" ht="18" customHeight="1" thickBot="1">
      <c r="D63" s="124" t="s">
        <v>149</v>
      </c>
      <c r="F63" s="123"/>
    </row>
    <row r="65" spans="4:35" ht="17.5" thickBot="1"/>
    <row r="66" spans="4:35" ht="18" thickTop="1" thickBot="1">
      <c r="D66" s="141" t="s">
        <v>150</v>
      </c>
      <c r="E66" s="62" t="s">
        <v>94</v>
      </c>
      <c r="F66" s="60" t="s">
        <v>94</v>
      </c>
      <c r="G66" s="60" t="s">
        <v>94</v>
      </c>
      <c r="H66" s="60" t="s">
        <v>94</v>
      </c>
      <c r="I66" s="60" t="s">
        <v>94</v>
      </c>
      <c r="J66" s="73" t="s">
        <v>84</v>
      </c>
      <c r="K66" s="61" t="s">
        <v>94</v>
      </c>
      <c r="L66" s="62" t="s">
        <v>94</v>
      </c>
      <c r="M66" s="60" t="s">
        <v>94</v>
      </c>
      <c r="N66" s="60" t="s">
        <v>94</v>
      </c>
      <c r="O66" s="60" t="s">
        <v>94</v>
      </c>
      <c r="P66" s="60" t="s">
        <v>94</v>
      </c>
      <c r="Q66" s="63" t="s">
        <v>84</v>
      </c>
      <c r="R66" s="64" t="s">
        <v>84</v>
      </c>
      <c r="S66" s="129" t="s">
        <v>95</v>
      </c>
      <c r="T66" s="129" t="s">
        <v>95</v>
      </c>
      <c r="U66" s="129" t="s">
        <v>95</v>
      </c>
      <c r="V66" s="129" t="s">
        <v>95</v>
      </c>
      <c r="W66" s="129" t="s">
        <v>95</v>
      </c>
      <c r="X66" s="68" t="s">
        <v>84</v>
      </c>
      <c r="Y66" s="59" t="s">
        <v>84</v>
      </c>
      <c r="Z66" s="62" t="s">
        <v>94</v>
      </c>
      <c r="AA66" s="60" t="s">
        <v>94</v>
      </c>
      <c r="AB66" s="60" t="s">
        <v>94</v>
      </c>
      <c r="AC66" s="60" t="s">
        <v>94</v>
      </c>
      <c r="AD66" s="60" t="s">
        <v>94</v>
      </c>
      <c r="AE66" s="63" t="s">
        <v>84</v>
      </c>
      <c r="AF66" s="60" t="s">
        <v>94</v>
      </c>
      <c r="AG66" s="60" t="s">
        <v>94</v>
      </c>
      <c r="AH66" s="74"/>
      <c r="AI66" s="456"/>
    </row>
    <row r="67" spans="4:35" ht="17.5" thickBot="1">
      <c r="D67" s="142" t="s">
        <v>151</v>
      </c>
      <c r="E67" s="311">
        <f>COUNTBLANK(E19:E24)</f>
        <v>6</v>
      </c>
      <c r="F67" s="311">
        <f t="shared" ref="F67:AG67" si="0">COUNTBLANK(F19:F24)</f>
        <v>6</v>
      </c>
      <c r="G67" s="311">
        <f t="shared" si="0"/>
        <v>6</v>
      </c>
      <c r="H67" s="311">
        <f t="shared" si="0"/>
        <v>6</v>
      </c>
      <c r="I67" s="311">
        <f t="shared" si="0"/>
        <v>6</v>
      </c>
      <c r="J67" s="311">
        <f t="shared" si="0"/>
        <v>6</v>
      </c>
      <c r="K67" s="311">
        <f t="shared" si="0"/>
        <v>6</v>
      </c>
      <c r="L67" s="311">
        <f t="shared" si="0"/>
        <v>6</v>
      </c>
      <c r="M67" s="311">
        <f t="shared" si="0"/>
        <v>6</v>
      </c>
      <c r="N67" s="311">
        <f t="shared" si="0"/>
        <v>6</v>
      </c>
      <c r="O67" s="311">
        <f t="shared" si="0"/>
        <v>6</v>
      </c>
      <c r="P67" s="311">
        <f t="shared" si="0"/>
        <v>6</v>
      </c>
      <c r="Q67" s="311">
        <f t="shared" si="0"/>
        <v>6</v>
      </c>
      <c r="R67" s="311">
        <f t="shared" si="0"/>
        <v>6</v>
      </c>
      <c r="S67" s="311">
        <f t="shared" si="0"/>
        <v>6</v>
      </c>
      <c r="T67" s="311">
        <f t="shared" si="0"/>
        <v>6</v>
      </c>
      <c r="U67" s="311">
        <f t="shared" si="0"/>
        <v>6</v>
      </c>
      <c r="V67" s="311">
        <f t="shared" si="0"/>
        <v>6</v>
      </c>
      <c r="W67" s="311">
        <f t="shared" si="0"/>
        <v>6</v>
      </c>
      <c r="X67" s="311">
        <f t="shared" si="0"/>
        <v>6</v>
      </c>
      <c r="Y67" s="311">
        <f t="shared" si="0"/>
        <v>6</v>
      </c>
      <c r="Z67" s="311">
        <f t="shared" si="0"/>
        <v>6</v>
      </c>
      <c r="AA67" s="311">
        <f t="shared" si="0"/>
        <v>6</v>
      </c>
      <c r="AB67" s="311">
        <f t="shared" si="0"/>
        <v>6</v>
      </c>
      <c r="AC67" s="311">
        <f t="shared" si="0"/>
        <v>6</v>
      </c>
      <c r="AD67" s="311">
        <f t="shared" si="0"/>
        <v>6</v>
      </c>
      <c r="AE67" s="311">
        <f t="shared" si="0"/>
        <v>6</v>
      </c>
      <c r="AF67" s="311">
        <f t="shared" si="0"/>
        <v>6</v>
      </c>
      <c r="AG67" s="311">
        <f t="shared" si="0"/>
        <v>6</v>
      </c>
      <c r="AH67" s="311"/>
      <c r="AI67" s="31"/>
    </row>
    <row r="68" spans="4:35" ht="18" thickTop="1" thickBot="1">
      <c r="D68" s="143" t="s">
        <v>150</v>
      </c>
      <c r="E68" s="128" t="s">
        <v>94</v>
      </c>
      <c r="F68" s="70" t="s">
        <v>94</v>
      </c>
      <c r="G68" s="70" t="s">
        <v>94</v>
      </c>
      <c r="H68" s="70" t="s">
        <v>94</v>
      </c>
      <c r="I68" s="70" t="s">
        <v>94</v>
      </c>
      <c r="J68" s="71" t="s">
        <v>84</v>
      </c>
      <c r="K68" s="69" t="s">
        <v>94</v>
      </c>
      <c r="L68" s="77" t="s">
        <v>94</v>
      </c>
      <c r="M68" s="70" t="s">
        <v>94</v>
      </c>
      <c r="N68" s="70" t="s">
        <v>94</v>
      </c>
      <c r="O68" s="70" t="s">
        <v>94</v>
      </c>
      <c r="P68" s="70" t="s">
        <v>94</v>
      </c>
      <c r="Q68" s="68" t="s">
        <v>84</v>
      </c>
      <c r="R68" s="69" t="s">
        <v>94</v>
      </c>
      <c r="S68" s="77" t="s">
        <v>94</v>
      </c>
      <c r="T68" s="70" t="s">
        <v>94</v>
      </c>
      <c r="U68" s="70" t="s">
        <v>94</v>
      </c>
      <c r="V68" s="70" t="s">
        <v>94</v>
      </c>
      <c r="W68" s="70" t="s">
        <v>94</v>
      </c>
      <c r="X68" s="76" t="s">
        <v>84</v>
      </c>
      <c r="Y68" s="59" t="s">
        <v>84</v>
      </c>
      <c r="Z68" s="129" t="s">
        <v>95</v>
      </c>
      <c r="AA68" s="129" t="s">
        <v>95</v>
      </c>
      <c r="AB68" s="129" t="s">
        <v>95</v>
      </c>
      <c r="AC68" s="129" t="s">
        <v>95</v>
      </c>
      <c r="AD68" s="129" t="s">
        <v>95</v>
      </c>
      <c r="AE68" s="68" t="s">
        <v>84</v>
      </c>
      <c r="AF68" s="129" t="s">
        <v>95</v>
      </c>
      <c r="AG68" s="129" t="s">
        <v>95</v>
      </c>
      <c r="AH68" s="129"/>
      <c r="AI68" s="457"/>
    </row>
    <row r="69" spans="4:35" ht="17.5" thickBot="1">
      <c r="D69" s="142" t="s">
        <v>152</v>
      </c>
      <c r="E69" s="311">
        <f>COUNTBLANK(E26:E32)</f>
        <v>6</v>
      </c>
      <c r="F69" s="311">
        <f t="shared" ref="F69:AG69" si="1">COUNTBLANK(F26:F32)</f>
        <v>6</v>
      </c>
      <c r="G69" s="311">
        <f t="shared" si="1"/>
        <v>7</v>
      </c>
      <c r="H69" s="311">
        <f t="shared" si="1"/>
        <v>7</v>
      </c>
      <c r="I69" s="311">
        <f t="shared" si="1"/>
        <v>7</v>
      </c>
      <c r="J69" s="311">
        <f t="shared" si="1"/>
        <v>7</v>
      </c>
      <c r="K69" s="311">
        <f t="shared" si="1"/>
        <v>7</v>
      </c>
      <c r="L69" s="311">
        <f t="shared" si="1"/>
        <v>7</v>
      </c>
      <c r="M69" s="311">
        <f t="shared" si="1"/>
        <v>7</v>
      </c>
      <c r="N69" s="311">
        <f t="shared" si="1"/>
        <v>7</v>
      </c>
      <c r="O69" s="311">
        <f t="shared" si="1"/>
        <v>7</v>
      </c>
      <c r="P69" s="311">
        <f t="shared" si="1"/>
        <v>7</v>
      </c>
      <c r="Q69" s="311">
        <f t="shared" si="1"/>
        <v>7</v>
      </c>
      <c r="R69" s="311">
        <f t="shared" si="1"/>
        <v>7</v>
      </c>
      <c r="S69" s="311">
        <f t="shared" si="1"/>
        <v>7</v>
      </c>
      <c r="T69" s="311">
        <f t="shared" si="1"/>
        <v>7</v>
      </c>
      <c r="U69" s="311">
        <f t="shared" si="1"/>
        <v>7</v>
      </c>
      <c r="V69" s="311">
        <f t="shared" si="1"/>
        <v>7</v>
      </c>
      <c r="W69" s="311">
        <f t="shared" si="1"/>
        <v>7</v>
      </c>
      <c r="X69" s="311">
        <f t="shared" si="1"/>
        <v>7</v>
      </c>
      <c r="Y69" s="311">
        <f t="shared" si="1"/>
        <v>7</v>
      </c>
      <c r="Z69" s="311">
        <f t="shared" si="1"/>
        <v>7</v>
      </c>
      <c r="AA69" s="311">
        <f t="shared" si="1"/>
        <v>7</v>
      </c>
      <c r="AB69" s="311">
        <f t="shared" si="1"/>
        <v>7</v>
      </c>
      <c r="AC69" s="311">
        <f t="shared" si="1"/>
        <v>7</v>
      </c>
      <c r="AD69" s="311">
        <f t="shared" si="1"/>
        <v>6</v>
      </c>
      <c r="AE69" s="311">
        <f t="shared" si="1"/>
        <v>6</v>
      </c>
      <c r="AF69" s="311">
        <f t="shared" si="1"/>
        <v>5</v>
      </c>
      <c r="AG69" s="311">
        <f t="shared" si="1"/>
        <v>6</v>
      </c>
      <c r="AH69" s="311"/>
      <c r="AI69" s="31"/>
    </row>
    <row r="70" spans="4:35" ht="18" thickTop="1" thickBot="1">
      <c r="D70" s="143" t="s">
        <v>150</v>
      </c>
      <c r="E70" s="129" t="s">
        <v>95</v>
      </c>
      <c r="F70" s="129" t="s">
        <v>95</v>
      </c>
      <c r="G70" s="129" t="s">
        <v>95</v>
      </c>
      <c r="H70" s="129" t="s">
        <v>95</v>
      </c>
      <c r="I70" s="129" t="s">
        <v>95</v>
      </c>
      <c r="J70" s="76" t="s">
        <v>84</v>
      </c>
      <c r="K70" s="59" t="s">
        <v>84</v>
      </c>
      <c r="L70" s="128" t="s">
        <v>94</v>
      </c>
      <c r="M70" s="70" t="s">
        <v>94</v>
      </c>
      <c r="N70" s="70" t="s">
        <v>94</v>
      </c>
      <c r="O70" s="70" t="s">
        <v>94</v>
      </c>
      <c r="P70" s="70" t="s">
        <v>94</v>
      </c>
      <c r="Q70" s="71" t="s">
        <v>84</v>
      </c>
      <c r="R70" s="69" t="s">
        <v>94</v>
      </c>
      <c r="S70" s="77" t="s">
        <v>94</v>
      </c>
      <c r="T70" s="70" t="s">
        <v>94</v>
      </c>
      <c r="U70" s="70" t="s">
        <v>94</v>
      </c>
      <c r="V70" s="70" t="s">
        <v>94</v>
      </c>
      <c r="W70" s="70" t="s">
        <v>94</v>
      </c>
      <c r="X70" s="76" t="s">
        <v>84</v>
      </c>
      <c r="Y70" s="69" t="s">
        <v>94</v>
      </c>
      <c r="Z70" s="77" t="s">
        <v>94</v>
      </c>
      <c r="AA70" s="70" t="s">
        <v>94</v>
      </c>
      <c r="AB70" s="70" t="s">
        <v>94</v>
      </c>
      <c r="AC70" s="70" t="s">
        <v>94</v>
      </c>
      <c r="AD70" s="70" t="s">
        <v>94</v>
      </c>
      <c r="AE70" s="76" t="s">
        <v>84</v>
      </c>
      <c r="AF70" s="70" t="s">
        <v>94</v>
      </c>
      <c r="AG70" s="70" t="s">
        <v>94</v>
      </c>
      <c r="AH70" s="77"/>
      <c r="AI70" s="455"/>
    </row>
    <row r="71" spans="4:35" ht="17.5" thickBot="1">
      <c r="D71" s="142" t="s">
        <v>117</v>
      </c>
      <c r="E71" s="311">
        <f t="shared" ref="E71:AG71" si="2">COUNTBLANK(E34:E39)</f>
        <v>6</v>
      </c>
      <c r="F71" s="311">
        <f t="shared" si="2"/>
        <v>6</v>
      </c>
      <c r="G71" s="311">
        <f t="shared" si="2"/>
        <v>6</v>
      </c>
      <c r="H71" s="311">
        <f t="shared" si="2"/>
        <v>6</v>
      </c>
      <c r="I71" s="311">
        <f t="shared" si="2"/>
        <v>5</v>
      </c>
      <c r="J71" s="311">
        <f t="shared" si="2"/>
        <v>4</v>
      </c>
      <c r="K71" s="311">
        <f t="shared" si="2"/>
        <v>3</v>
      </c>
      <c r="L71" s="311">
        <f t="shared" si="2"/>
        <v>5</v>
      </c>
      <c r="M71" s="311">
        <f t="shared" si="2"/>
        <v>4</v>
      </c>
      <c r="N71" s="311">
        <f t="shared" si="2"/>
        <v>6</v>
      </c>
      <c r="O71" s="311">
        <f t="shared" si="2"/>
        <v>6</v>
      </c>
      <c r="P71" s="311">
        <f t="shared" si="2"/>
        <v>6</v>
      </c>
      <c r="Q71" s="311">
        <f t="shared" si="2"/>
        <v>6</v>
      </c>
      <c r="R71" s="311">
        <f t="shared" si="2"/>
        <v>6</v>
      </c>
      <c r="S71" s="311">
        <f t="shared" si="2"/>
        <v>6</v>
      </c>
      <c r="T71" s="311">
        <f t="shared" si="2"/>
        <v>6</v>
      </c>
      <c r="U71" s="311">
        <f t="shared" si="2"/>
        <v>6</v>
      </c>
      <c r="V71" s="311">
        <f t="shared" si="2"/>
        <v>6</v>
      </c>
      <c r="W71" s="311">
        <f t="shared" si="2"/>
        <v>6</v>
      </c>
      <c r="X71" s="311">
        <f t="shared" si="2"/>
        <v>6</v>
      </c>
      <c r="Y71" s="311">
        <f t="shared" si="2"/>
        <v>6</v>
      </c>
      <c r="Z71" s="311">
        <f t="shared" si="2"/>
        <v>6</v>
      </c>
      <c r="AA71" s="311">
        <f t="shared" si="2"/>
        <v>6</v>
      </c>
      <c r="AB71" s="311">
        <f t="shared" si="2"/>
        <v>6</v>
      </c>
      <c r="AC71" s="311">
        <f t="shared" si="2"/>
        <v>6</v>
      </c>
      <c r="AD71" s="311">
        <f t="shared" si="2"/>
        <v>6</v>
      </c>
      <c r="AE71" s="311">
        <f t="shared" si="2"/>
        <v>6</v>
      </c>
      <c r="AF71" s="311">
        <f t="shared" si="2"/>
        <v>6</v>
      </c>
      <c r="AG71" s="311">
        <f t="shared" si="2"/>
        <v>6</v>
      </c>
      <c r="AH71" s="311"/>
      <c r="AI71" s="31"/>
    </row>
    <row r="72" spans="4:35" ht="18" thickTop="1" thickBot="1">
      <c r="D72" s="144" t="s">
        <v>150</v>
      </c>
      <c r="E72" s="109" t="s">
        <v>94</v>
      </c>
      <c r="F72" s="110" t="s">
        <v>84</v>
      </c>
      <c r="G72" s="59" t="s">
        <v>84</v>
      </c>
      <c r="H72" s="129" t="s">
        <v>95</v>
      </c>
      <c r="I72" s="129" t="s">
        <v>95</v>
      </c>
      <c r="J72" s="129" t="s">
        <v>95</v>
      </c>
      <c r="K72" s="129" t="s">
        <v>95</v>
      </c>
      <c r="L72" s="129" t="s">
        <v>95</v>
      </c>
      <c r="M72" s="76" t="s">
        <v>84</v>
      </c>
      <c r="N72" s="59" t="s">
        <v>84</v>
      </c>
      <c r="O72" s="128" t="s">
        <v>94</v>
      </c>
      <c r="P72" s="70" t="s">
        <v>94</v>
      </c>
      <c r="Q72" s="70" t="s">
        <v>94</v>
      </c>
      <c r="R72" s="70" t="s">
        <v>94</v>
      </c>
      <c r="S72" s="70" t="s">
        <v>94</v>
      </c>
      <c r="T72" s="71" t="s">
        <v>84</v>
      </c>
      <c r="U72" s="69" t="s">
        <v>94</v>
      </c>
      <c r="V72" s="77" t="s">
        <v>94</v>
      </c>
      <c r="W72" s="70" t="s">
        <v>94</v>
      </c>
      <c r="X72" s="70" t="s">
        <v>94</v>
      </c>
      <c r="Y72" s="70" t="s">
        <v>94</v>
      </c>
      <c r="Z72" s="70" t="s">
        <v>94</v>
      </c>
      <c r="AA72" s="76" t="s">
        <v>84</v>
      </c>
      <c r="AB72" s="69" t="s">
        <v>94</v>
      </c>
      <c r="AC72" s="77" t="s">
        <v>94</v>
      </c>
      <c r="AD72" s="70" t="s">
        <v>94</v>
      </c>
      <c r="AE72" s="69" t="s">
        <v>94</v>
      </c>
      <c r="AF72" s="77" t="s">
        <v>94</v>
      </c>
      <c r="AG72" s="70" t="s">
        <v>94</v>
      </c>
      <c r="AH72" s="66"/>
      <c r="AI72" s="455"/>
    </row>
    <row r="73" spans="4:35" ht="17.5" thickBot="1">
      <c r="D73" s="142" t="s">
        <v>119</v>
      </c>
      <c r="E73" s="311">
        <f>COUNTBLANK(E41:E47)</f>
        <v>7</v>
      </c>
      <c r="F73" s="311">
        <f t="shared" ref="F73:AG73" si="3">COUNTBLANK(F41:F47)</f>
        <v>6</v>
      </c>
      <c r="G73" s="311">
        <f t="shared" si="3"/>
        <v>7</v>
      </c>
      <c r="H73" s="311">
        <f t="shared" si="3"/>
        <v>6</v>
      </c>
      <c r="I73" s="311">
        <f t="shared" si="3"/>
        <v>6</v>
      </c>
      <c r="J73" s="311">
        <f t="shared" si="3"/>
        <v>6</v>
      </c>
      <c r="K73" s="311">
        <f t="shared" si="3"/>
        <v>6</v>
      </c>
      <c r="L73" s="311">
        <f t="shared" si="3"/>
        <v>7</v>
      </c>
      <c r="M73" s="311">
        <f t="shared" si="3"/>
        <v>7</v>
      </c>
      <c r="N73" s="311">
        <f t="shared" si="3"/>
        <v>7</v>
      </c>
      <c r="O73" s="311">
        <f t="shared" si="3"/>
        <v>7</v>
      </c>
      <c r="P73" s="311">
        <f t="shared" si="3"/>
        <v>5</v>
      </c>
      <c r="Q73" s="311">
        <f t="shared" si="3"/>
        <v>5</v>
      </c>
      <c r="R73" s="311">
        <f t="shared" si="3"/>
        <v>5</v>
      </c>
      <c r="S73" s="311">
        <f t="shared" si="3"/>
        <v>5</v>
      </c>
      <c r="T73" s="311">
        <f t="shared" si="3"/>
        <v>5</v>
      </c>
      <c r="U73" s="311">
        <f t="shared" si="3"/>
        <v>7</v>
      </c>
      <c r="V73" s="311">
        <f t="shared" si="3"/>
        <v>7</v>
      </c>
      <c r="W73" s="311">
        <f t="shared" si="3"/>
        <v>6</v>
      </c>
      <c r="X73" s="311">
        <f t="shared" si="3"/>
        <v>6</v>
      </c>
      <c r="Y73" s="311">
        <f t="shared" si="3"/>
        <v>6</v>
      </c>
      <c r="Z73" s="311">
        <f t="shared" si="3"/>
        <v>6</v>
      </c>
      <c r="AA73" s="311">
        <f t="shared" si="3"/>
        <v>6</v>
      </c>
      <c r="AB73" s="311">
        <f t="shared" si="3"/>
        <v>7</v>
      </c>
      <c r="AC73" s="311">
        <f t="shared" si="3"/>
        <v>6</v>
      </c>
      <c r="AD73" s="311">
        <f t="shared" si="3"/>
        <v>7</v>
      </c>
      <c r="AE73" s="311">
        <f t="shared" si="3"/>
        <v>7</v>
      </c>
      <c r="AF73" s="311">
        <f t="shared" si="3"/>
        <v>7</v>
      </c>
      <c r="AG73" s="311">
        <f t="shared" si="3"/>
        <v>6</v>
      </c>
      <c r="AH73" s="311"/>
      <c r="AI73" s="31"/>
    </row>
  </sheetData>
  <mergeCells count="25">
    <mergeCell ref="A48:A49"/>
    <mergeCell ref="B48:D48"/>
    <mergeCell ref="I4:O4"/>
    <mergeCell ref="P4:V4"/>
    <mergeCell ref="W4:AC4"/>
    <mergeCell ref="E4:H4"/>
    <mergeCell ref="A25:A32"/>
    <mergeCell ref="B25:D25"/>
    <mergeCell ref="A33:A39"/>
    <mergeCell ref="B33:D33"/>
    <mergeCell ref="A40:A47"/>
    <mergeCell ref="B40:D40"/>
    <mergeCell ref="A14:A15"/>
    <mergeCell ref="B14:D14"/>
    <mergeCell ref="A16:A17"/>
    <mergeCell ref="B16:D16"/>
    <mergeCell ref="A18:A24"/>
    <mergeCell ref="B18:D18"/>
    <mergeCell ref="E2:AH2"/>
    <mergeCell ref="E3:AI3"/>
    <mergeCell ref="A8:A9"/>
    <mergeCell ref="A10:A11"/>
    <mergeCell ref="A12:A13"/>
    <mergeCell ref="B12:D12"/>
    <mergeCell ref="AD4:AI4"/>
  </mergeCells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F5C268A0-A20E-485E-BBA4-D1EEF6BA0DC9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E163CC06-D9FD-43AE-8AF1-45E560BB27AF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03D9AC8D-E379-485A-98C4-E9B5B38B4788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78E8BD7F-0CFA-45B4-B485-530AF7F81004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6B6A5874-6CDD-4F44-A160-A6B076BB562C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999FEF92-5EE0-40F5-B6C0-610599AE6DCF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058A51EB-64EB-4688-9292-B23B3F8B1B32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CCEE27C3-EF60-4F08-B9A7-413572DC263F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B083F8B0-0776-44F8-9176-574454D3F483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1C48EC1C-F204-4636-A994-A258D0A75C53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FB315B82-600B-4910-831B-F18B2805F0B8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0167B513-ECF9-4380-952F-FCAB595B0D9B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E4480F8E-6C14-4690-BEFA-94F313CC5F4F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4C87E2C8-8D92-4DD8-BC84-25F44F93ACB5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D106320C-58B4-4F50-893C-202638B46C77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662C0F7C-E136-423E-A5FC-A134E0193604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B28EB05B-2994-425B-9C96-82C46D4B4A5A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54793D54-6239-4DA1-A93A-203078ECA50F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33A49C7A-B973-4553-8A10-54727EABE846}">
            <xm:f>'OHLR DUAT'!$F$18&gt;2</xm:f>
            <x14:dxf/>
          </x14:cfRule>
          <x14:cfRule type="expression" priority="21" stopIfTrue="1" id="{0A47B631-C581-4E11-AF26-D530A8785F9A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CB8E342C-C539-4902-8B66-693DD1184E1F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D6C85152-2F05-4525-B687-121418A71923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61E4E4D9-47D1-40C8-9D71-CD93780A7647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EE3EF5EF-74AD-452D-B13B-32540638029D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E9A51390-8D01-49FB-880E-1EB96234F226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735D1A2E-5615-433E-A8B4-1CDABF995137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750E2472-A59C-4EE1-BB11-FBF208CCBF17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1DA09947-D3EF-42F4-8061-41B435B833B4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600F154D-8172-47B7-8C1A-B7DC22748963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39DAD1D8-9012-440E-8924-6710CD71672B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D36B3F61-E092-4921-BBF1-7EDE4A62D000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95E326F2-8557-40A6-A8F8-811CF9B0298D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4C37242D-3CF8-4009-98FA-CFA6F5C726F5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1E3D2B5C-DADD-4640-A595-39E01C143D79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FBAF42C5-D010-4CF3-AA19-CD8B49432665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0" id="{F337AD8A-6396-4812-9211-B3F1C51766BD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8B45A4B2-E2BE-441D-8146-A12AAB2C8BA6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78E56718-95DC-44DA-BCE2-FAFE54E715A7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7" id="{EE8EB0EC-3768-4EA6-8595-43806FA2F088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909389FA-B14E-4618-A8D3-D029C6E3D57A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93A1F283-9E6F-40A9-B722-F197878BC5F7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B29:B31</xm:sqref>
        </x14:conditionalFormatting>
        <x14:conditionalFormatting xmlns:xm="http://schemas.microsoft.com/office/excel/2006/main">
          <x14:cfRule type="expression" priority="62" stopIfTrue="1" id="{8F22C7C5-7047-4AE7-AAB4-824C0FC5F80E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7F16C72D-8136-4C38-B309-AE7C8F31140D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53314A75-8DA8-4766-8090-E3B0E7441988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7552284A-CFCF-4A5C-A88C-D8767B076753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B5A7A574-656B-4382-810D-A2F5E45467AE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30458B5E-24CB-4BF8-8172-AB25830B76A8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55409648-473F-4972-B681-BF29F1B1EA88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71C64DF2-FF02-4A79-8043-BE6B0B9FCE1D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63A674E6-7896-404A-98C4-56858C7E8F65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E62AF4D5-E283-4959-AC2B-512991F94327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9C273B2D-363C-46CA-94A9-5371DBEE9E44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CEA39466-B519-4945-8B97-BB2EB03FDEE5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BC253BF5-E43B-4F62-8429-4EFEB63CC61C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D0C8B089-BE36-499A-BC5A-150EF697B59C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333463AB-5024-42A8-B6F9-4FDF96FF3150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E78380B9-D9FA-43A5-94E3-9851928F79F3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D58E5F61-4CE7-41BA-8F95-FACCA6E47FB8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A01A8210-4E65-4420-9611-42D9F82C2B2C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C5E6681C-6DEF-4656-B2C4-F353DAB39DBB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9F0D9868-95E1-4026-B6EB-4B29680DDD25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80C4F630-E905-4E4B-942F-B8D6B4533629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98A5321C-D108-497A-944A-71F97F6E3C43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C20A9E80-FE8B-41DE-9B4A-84CB9454FB47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A0D50FFE-6427-4DD1-9E12-98E007CB2E01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F9403900-E88D-40A6-808F-A78979A4E808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29706F8A-9C70-40A3-975A-8C1184EAAC03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D16997CC-C6FD-45EE-BB7B-9DBF7D6729B3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BBC5203D-A96C-4A88-8490-43442B2FA889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6D144E3E-27DA-4D68-9CF6-C82593682F15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EF16ABA0-DC36-44D1-B1CF-FC3D9F06B7D5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A8410273-5106-4DC4-9B44-5F5C945F7A85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3E28FEEF-6212-4DD6-93F3-6A2EF5BA078D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7DA1DEB6-B8C7-4B4E-9154-AB6B9243BCB5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250AC339-6891-4D1C-B67D-9653A517D09C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40" id="{00A24F89-D4ED-45F3-92F3-ACCB146E966D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3" id="{C6419F22-766A-42FE-B653-FD10FDDF2CA0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6" id="{4D8C546A-7408-4604-9E54-6E55CAC2C5E0}">
            <xm:f>VLOOKUP(#REF!,'OHLR DUAT'!$B$4:$E$15,4,FALSE)</xm:f>
            <x14:dxf/>
          </x14:cfRule>
          <xm:sqref>E8:AI9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9470-0046-424B-9C6C-4A49BF542594}">
  <dimension ref="A1:AO73"/>
  <sheetViews>
    <sheetView zoomScale="70" zoomScaleNormal="70" workbookViewId="0">
      <pane xSplit="4" ySplit="7" topLeftCell="K16" activePane="bottomRight" state="frozen"/>
      <selection pane="topRight"/>
      <selection pane="bottomLeft"/>
      <selection pane="bottomRight" activeCell="O30" sqref="O30"/>
    </sheetView>
  </sheetViews>
  <sheetFormatPr defaultRowHeight="17"/>
  <cols>
    <col min="1" max="1" width="10.6328125" customWidth="1"/>
    <col min="2" max="2" width="23.26953125" style="49" bestFit="1" customWidth="1"/>
    <col min="3" max="4" width="10.6328125" customWidth="1"/>
    <col min="5" max="34" width="6.6328125" customWidth="1"/>
  </cols>
  <sheetData>
    <row r="1" spans="1:41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41" ht="20.5" thickBot="1">
      <c r="A2" s="14"/>
      <c r="B2" s="42"/>
      <c r="C2" s="15"/>
      <c r="D2" s="15"/>
      <c r="E2" s="1407" t="s">
        <v>60</v>
      </c>
      <c r="F2" s="1407"/>
      <c r="G2" s="1407"/>
      <c r="H2" s="1407"/>
      <c r="I2" s="1407"/>
      <c r="J2" s="1407"/>
      <c r="K2" s="1407"/>
      <c r="L2" s="1407"/>
      <c r="M2" s="1407"/>
      <c r="N2" s="1407"/>
      <c r="O2" s="1407"/>
      <c r="P2" s="1407"/>
      <c r="Q2" s="1407"/>
      <c r="R2" s="1407"/>
      <c r="S2" s="1407"/>
      <c r="T2" s="1407"/>
      <c r="U2" s="1407"/>
      <c r="V2" s="1407"/>
      <c r="W2" s="1407"/>
      <c r="X2" s="1407"/>
      <c r="Y2" s="1407"/>
      <c r="Z2" s="1407"/>
      <c r="AA2" s="1407"/>
      <c r="AB2" s="1407"/>
      <c r="AC2" s="1407"/>
      <c r="AD2" s="1407"/>
      <c r="AE2" s="1407"/>
      <c r="AF2" s="1407"/>
      <c r="AG2" s="1407"/>
      <c r="AH2" s="1407"/>
    </row>
    <row r="3" spans="1:41" ht="18" customHeight="1" thickBot="1">
      <c r="A3" s="19"/>
      <c r="B3" s="43"/>
      <c r="C3" s="19"/>
      <c r="D3" s="19"/>
      <c r="E3" s="1422" t="s">
        <v>395</v>
      </c>
      <c r="F3" s="1423"/>
      <c r="G3" s="1423"/>
      <c r="H3" s="1423"/>
      <c r="I3" s="1423"/>
      <c r="J3" s="1423"/>
      <c r="K3" s="1423"/>
      <c r="L3" s="1423"/>
      <c r="M3" s="1423"/>
      <c r="N3" s="1423"/>
      <c r="O3" s="1423"/>
      <c r="P3" s="1423"/>
      <c r="Q3" s="1423"/>
      <c r="R3" s="1423"/>
      <c r="S3" s="1423"/>
      <c r="T3" s="1423"/>
      <c r="U3" s="1423"/>
      <c r="V3" s="1423"/>
      <c r="W3" s="1423"/>
      <c r="X3" s="1423"/>
      <c r="Y3" s="1423"/>
      <c r="Z3" s="1423"/>
      <c r="AA3" s="1423"/>
      <c r="AB3" s="1423"/>
      <c r="AC3" s="1423"/>
      <c r="AD3" s="1423"/>
      <c r="AE3" s="1423"/>
      <c r="AF3" s="1423"/>
      <c r="AG3" s="1423"/>
      <c r="AH3" s="1424"/>
    </row>
    <row r="4" spans="1:41" s="31" customFormat="1" ht="18" customHeight="1">
      <c r="A4" s="19"/>
      <c r="B4" s="43"/>
      <c r="C4" s="19"/>
      <c r="D4" s="19"/>
      <c r="E4" s="458"/>
      <c r="F4" s="1425" t="s">
        <v>396</v>
      </c>
      <c r="G4" s="1414"/>
      <c r="H4" s="1414"/>
      <c r="I4" s="1414"/>
      <c r="J4" s="1414"/>
      <c r="K4" s="1414"/>
      <c r="L4" s="1426"/>
      <c r="M4" s="1413" t="s">
        <v>397</v>
      </c>
      <c r="N4" s="1414"/>
      <c r="O4" s="1414"/>
      <c r="P4" s="1414"/>
      <c r="Q4" s="1414"/>
      <c r="R4" s="1414"/>
      <c r="S4" s="1415"/>
      <c r="T4" s="1425" t="s">
        <v>398</v>
      </c>
      <c r="U4" s="1414"/>
      <c r="V4" s="1414"/>
      <c r="W4" s="1414"/>
      <c r="X4" s="1414"/>
      <c r="Y4" s="1414"/>
      <c r="Z4" s="1426"/>
      <c r="AA4" s="1413" t="s">
        <v>399</v>
      </c>
      <c r="AB4" s="1414"/>
      <c r="AC4" s="1414"/>
      <c r="AD4" s="1414"/>
      <c r="AE4" s="1414"/>
      <c r="AF4" s="1414"/>
      <c r="AG4" s="1415"/>
      <c r="AH4" s="462"/>
    </row>
    <row r="5" spans="1:41" s="31" customFormat="1" ht="18" customHeight="1">
      <c r="A5" s="14"/>
      <c r="B5" s="42"/>
      <c r="C5" s="15"/>
      <c r="D5" s="15"/>
      <c r="E5" s="459">
        <v>46327</v>
      </c>
      <c r="F5" s="426">
        <v>46328</v>
      </c>
      <c r="G5" s="418">
        <v>46329</v>
      </c>
      <c r="H5" s="418">
        <v>46330</v>
      </c>
      <c r="I5" s="418">
        <v>46331</v>
      </c>
      <c r="J5" s="418">
        <v>46332</v>
      </c>
      <c r="K5" s="418">
        <v>46333</v>
      </c>
      <c r="L5" s="432">
        <v>46334</v>
      </c>
      <c r="M5" s="428">
        <v>46335</v>
      </c>
      <c r="N5" s="418">
        <v>46336</v>
      </c>
      <c r="O5" s="418">
        <v>46337</v>
      </c>
      <c r="P5" s="418">
        <v>46338</v>
      </c>
      <c r="Q5" s="418">
        <v>46339</v>
      </c>
      <c r="R5" s="418">
        <v>46340</v>
      </c>
      <c r="S5" s="429">
        <v>46341</v>
      </c>
      <c r="T5" s="426">
        <v>46342</v>
      </c>
      <c r="U5" s="418">
        <v>46343</v>
      </c>
      <c r="V5" s="418">
        <v>46344</v>
      </c>
      <c r="W5" s="418">
        <v>46345</v>
      </c>
      <c r="X5" s="418">
        <v>46346</v>
      </c>
      <c r="Y5" s="418">
        <v>46347</v>
      </c>
      <c r="Z5" s="432">
        <v>46348</v>
      </c>
      <c r="AA5" s="428">
        <v>46349</v>
      </c>
      <c r="AB5" s="418">
        <v>46350</v>
      </c>
      <c r="AC5" s="418">
        <v>46351</v>
      </c>
      <c r="AD5" s="418">
        <v>46352</v>
      </c>
      <c r="AE5" s="418">
        <v>46353</v>
      </c>
      <c r="AF5" s="418">
        <v>46354</v>
      </c>
      <c r="AG5" s="429">
        <v>46355</v>
      </c>
      <c r="AH5" s="452">
        <v>46356</v>
      </c>
    </row>
    <row r="6" spans="1:41" s="31" customFormat="1" ht="18" customHeight="1" thickBot="1">
      <c r="A6" s="19"/>
      <c r="B6" s="43"/>
      <c r="C6" s="19"/>
      <c r="D6" s="19"/>
      <c r="E6" s="460" t="s">
        <v>70</v>
      </c>
      <c r="F6" s="427" t="s">
        <v>71</v>
      </c>
      <c r="G6" s="419" t="s">
        <v>72</v>
      </c>
      <c r="H6" s="419" t="s">
        <v>73</v>
      </c>
      <c r="I6" s="419" t="s">
        <v>67</v>
      </c>
      <c r="J6" s="419" t="s">
        <v>68</v>
      </c>
      <c r="K6" s="419" t="s">
        <v>69</v>
      </c>
      <c r="L6" s="433" t="s">
        <v>70</v>
      </c>
      <c r="M6" s="424" t="s">
        <v>71</v>
      </c>
      <c r="N6" s="419" t="s">
        <v>72</v>
      </c>
      <c r="O6" s="419" t="s">
        <v>73</v>
      </c>
      <c r="P6" s="419" t="s">
        <v>67</v>
      </c>
      <c r="Q6" s="419" t="s">
        <v>68</v>
      </c>
      <c r="R6" s="419" t="s">
        <v>69</v>
      </c>
      <c r="S6" s="425" t="s">
        <v>70</v>
      </c>
      <c r="T6" s="427" t="s">
        <v>71</v>
      </c>
      <c r="U6" s="419" t="s">
        <v>72</v>
      </c>
      <c r="V6" s="419" t="s">
        <v>73</v>
      </c>
      <c r="W6" s="419" t="s">
        <v>67</v>
      </c>
      <c r="X6" s="419" t="s">
        <v>68</v>
      </c>
      <c r="Y6" s="419" t="s">
        <v>69</v>
      </c>
      <c r="Z6" s="433" t="s">
        <v>70</v>
      </c>
      <c r="AA6" s="451" t="s">
        <v>71</v>
      </c>
      <c r="AB6" s="419" t="s">
        <v>72</v>
      </c>
      <c r="AC6" s="419" t="s">
        <v>73</v>
      </c>
      <c r="AD6" s="419" t="s">
        <v>67</v>
      </c>
      <c r="AE6" s="419" t="s">
        <v>68</v>
      </c>
      <c r="AF6" s="419" t="s">
        <v>69</v>
      </c>
      <c r="AG6" s="425" t="s">
        <v>70</v>
      </c>
      <c r="AH6" s="463" t="s">
        <v>71</v>
      </c>
    </row>
    <row r="7" spans="1:41" ht="18" customHeight="1" thickBot="1">
      <c r="A7" s="24" t="s">
        <v>74</v>
      </c>
      <c r="B7" s="113" t="s">
        <v>75</v>
      </c>
      <c r="C7" s="25" t="s">
        <v>76</v>
      </c>
      <c r="D7" s="26" t="s">
        <v>77</v>
      </c>
      <c r="E7" s="461"/>
      <c r="F7" s="440"/>
      <c r="G7" s="438"/>
      <c r="H7" s="438"/>
      <c r="I7" s="438"/>
      <c r="J7" s="438"/>
      <c r="K7" s="438"/>
      <c r="L7" s="442"/>
      <c r="M7" s="437"/>
      <c r="N7" s="438"/>
      <c r="O7" s="438"/>
      <c r="P7" s="438"/>
      <c r="Q7" s="438"/>
      <c r="R7" s="438"/>
      <c r="S7" s="439"/>
      <c r="T7" s="440"/>
      <c r="U7" s="438"/>
      <c r="V7" s="438"/>
      <c r="W7" s="438"/>
      <c r="X7" s="438"/>
      <c r="Y7" s="438"/>
      <c r="Z7" s="442"/>
      <c r="AA7" s="437"/>
      <c r="AB7" s="438"/>
      <c r="AC7" s="438"/>
      <c r="AD7" s="438"/>
      <c r="AE7" s="438"/>
      <c r="AF7" s="438"/>
      <c r="AG7" s="439"/>
      <c r="AH7" s="453"/>
    </row>
    <row r="8" spans="1:41" ht="18" customHeight="1">
      <c r="A8" s="1346" t="s">
        <v>78</v>
      </c>
      <c r="B8" s="44" t="s">
        <v>79</v>
      </c>
      <c r="C8" s="17" t="s">
        <v>80</v>
      </c>
      <c r="D8" s="21">
        <v>300179</v>
      </c>
      <c r="E8" s="464"/>
      <c r="F8" s="435"/>
      <c r="G8" s="431"/>
      <c r="H8" s="431"/>
      <c r="I8" s="431"/>
      <c r="J8" s="431"/>
      <c r="K8" s="431"/>
      <c r="L8" s="443"/>
      <c r="M8" s="441"/>
      <c r="N8" s="431"/>
      <c r="O8" s="431"/>
      <c r="P8" s="431"/>
      <c r="Q8" s="431"/>
      <c r="R8" s="431"/>
      <c r="S8" s="436"/>
      <c r="T8" s="435"/>
      <c r="U8" s="431"/>
      <c r="V8" s="431"/>
      <c r="W8" s="431"/>
      <c r="X8" s="431"/>
      <c r="Y8" s="431"/>
      <c r="Z8" s="443"/>
      <c r="AA8" s="441"/>
      <c r="AB8" s="431"/>
      <c r="AC8" s="431"/>
      <c r="AD8" s="431"/>
      <c r="AE8" s="431"/>
      <c r="AF8" s="431"/>
      <c r="AG8" s="436"/>
      <c r="AH8" s="454"/>
    </row>
    <row r="9" spans="1:41" ht="18" customHeight="1" thickBot="1">
      <c r="A9" s="1347"/>
      <c r="B9" s="115" t="s">
        <v>82</v>
      </c>
      <c r="C9" s="20" t="s">
        <v>80</v>
      </c>
      <c r="D9" s="156">
        <v>668695</v>
      </c>
      <c r="E9" s="539"/>
      <c r="F9" s="519"/>
      <c r="G9" s="518"/>
      <c r="H9" s="518"/>
      <c r="I9" s="518"/>
      <c r="J9" s="518"/>
      <c r="K9" s="518"/>
      <c r="L9" s="520"/>
      <c r="M9" s="516"/>
      <c r="N9" s="518"/>
      <c r="O9" s="518"/>
      <c r="P9" s="518"/>
      <c r="Q9" s="518"/>
      <c r="R9" s="518"/>
      <c r="S9" s="517"/>
      <c r="T9" s="519"/>
      <c r="U9" s="518"/>
      <c r="V9" s="518"/>
      <c r="W9" s="518"/>
      <c r="X9" s="518"/>
      <c r="Y9" s="518"/>
      <c r="Z9" s="520"/>
      <c r="AA9" s="516"/>
      <c r="AB9" s="518"/>
      <c r="AC9" s="518"/>
      <c r="AD9" s="518"/>
      <c r="AE9" s="518"/>
      <c r="AF9" s="518"/>
      <c r="AG9" s="517"/>
      <c r="AH9" s="540"/>
    </row>
    <row r="10" spans="1:41" ht="18" customHeight="1" thickTop="1">
      <c r="A10" s="1331" t="s">
        <v>85</v>
      </c>
      <c r="B10" s="90" t="s">
        <v>86</v>
      </c>
      <c r="C10" s="17" t="s">
        <v>13</v>
      </c>
      <c r="D10" s="21">
        <v>231061</v>
      </c>
      <c r="E10" s="537" t="s">
        <v>38</v>
      </c>
      <c r="F10" s="532" t="s">
        <v>38</v>
      </c>
      <c r="G10" s="528" t="s">
        <v>38</v>
      </c>
      <c r="H10" s="528" t="s">
        <v>38</v>
      </c>
      <c r="I10" s="528" t="s">
        <v>38</v>
      </c>
      <c r="J10" s="528" t="s">
        <v>38</v>
      </c>
      <c r="K10" s="529" t="s">
        <v>84</v>
      </c>
      <c r="L10" s="533" t="s">
        <v>84</v>
      </c>
      <c r="M10" s="527" t="s">
        <v>87</v>
      </c>
      <c r="N10" s="528" t="s">
        <v>87</v>
      </c>
      <c r="O10" s="528" t="s">
        <v>87</v>
      </c>
      <c r="P10" s="528" t="s">
        <v>87</v>
      </c>
      <c r="Q10" s="528" t="s">
        <v>87</v>
      </c>
      <c r="R10" s="529" t="s">
        <v>84</v>
      </c>
      <c r="S10" s="531" t="s">
        <v>84</v>
      </c>
      <c r="T10" s="532" t="s">
        <v>87</v>
      </c>
      <c r="U10" s="528" t="s">
        <v>87</v>
      </c>
      <c r="V10" s="528" t="s">
        <v>87</v>
      </c>
      <c r="W10" s="528" t="s">
        <v>87</v>
      </c>
      <c r="X10" s="528" t="s">
        <v>87</v>
      </c>
      <c r="Y10" s="529" t="s">
        <v>84</v>
      </c>
      <c r="Z10" s="530" t="s">
        <v>38</v>
      </c>
      <c r="AA10" s="527" t="s">
        <v>38</v>
      </c>
      <c r="AB10" s="528" t="s">
        <v>38</v>
      </c>
      <c r="AC10" s="528" t="s">
        <v>38</v>
      </c>
      <c r="AD10" s="528" t="s">
        <v>38</v>
      </c>
      <c r="AE10" s="528" t="s">
        <v>38</v>
      </c>
      <c r="AF10" s="529" t="s">
        <v>84</v>
      </c>
      <c r="AG10" s="534" t="s">
        <v>38</v>
      </c>
      <c r="AH10" s="538" t="s">
        <v>38</v>
      </c>
    </row>
    <row r="11" spans="1:41" ht="18" customHeight="1" thickBot="1">
      <c r="A11" s="1331"/>
      <c r="B11" s="86" t="s">
        <v>24</v>
      </c>
      <c r="C11" s="18" t="s">
        <v>13</v>
      </c>
      <c r="D11" s="52" t="s">
        <v>89</v>
      </c>
      <c r="E11" s="543" t="s">
        <v>84</v>
      </c>
      <c r="F11" s="488" t="s">
        <v>87</v>
      </c>
      <c r="G11" s="486" t="s">
        <v>87</v>
      </c>
      <c r="H11" s="486" t="s">
        <v>87</v>
      </c>
      <c r="I11" s="486" t="s">
        <v>87</v>
      </c>
      <c r="J11" s="486" t="s">
        <v>87</v>
      </c>
      <c r="K11" s="489" t="s">
        <v>84</v>
      </c>
      <c r="L11" s="490" t="s">
        <v>84</v>
      </c>
      <c r="M11" s="485" t="s">
        <v>87</v>
      </c>
      <c r="N11" s="486" t="s">
        <v>87</v>
      </c>
      <c r="O11" s="486" t="s">
        <v>87</v>
      </c>
      <c r="P11" s="486" t="s">
        <v>87</v>
      </c>
      <c r="Q11" s="487" t="s">
        <v>87</v>
      </c>
      <c r="R11" s="486" t="s">
        <v>90</v>
      </c>
      <c r="S11" s="484" t="s">
        <v>84</v>
      </c>
      <c r="T11" s="488" t="s">
        <v>87</v>
      </c>
      <c r="U11" s="486" t="s">
        <v>87</v>
      </c>
      <c r="V11" s="486" t="s">
        <v>87</v>
      </c>
      <c r="W11" s="486" t="s">
        <v>87</v>
      </c>
      <c r="X11" s="487" t="s">
        <v>87</v>
      </c>
      <c r="Y11" s="489" t="s">
        <v>84</v>
      </c>
      <c r="Z11" s="490" t="s">
        <v>84</v>
      </c>
      <c r="AA11" s="485" t="s">
        <v>87</v>
      </c>
      <c r="AB11" s="486" t="s">
        <v>87</v>
      </c>
      <c r="AC11" s="486" t="s">
        <v>87</v>
      </c>
      <c r="AD11" s="486" t="s">
        <v>87</v>
      </c>
      <c r="AE11" s="487" t="s">
        <v>87</v>
      </c>
      <c r="AF11" s="486" t="s">
        <v>90</v>
      </c>
      <c r="AG11" s="484" t="s">
        <v>84</v>
      </c>
      <c r="AH11" s="544" t="s">
        <v>87</v>
      </c>
    </row>
    <row r="12" spans="1:41" ht="18" customHeight="1" thickTop="1" thickBot="1">
      <c r="A12" s="1316" t="s">
        <v>92</v>
      </c>
      <c r="B12" s="1334" t="s">
        <v>93</v>
      </c>
      <c r="C12" s="1332"/>
      <c r="D12" s="1332"/>
      <c r="E12" s="541" t="s">
        <v>84</v>
      </c>
      <c r="F12" s="481" t="s">
        <v>94</v>
      </c>
      <c r="G12" s="478" t="s">
        <v>94</v>
      </c>
      <c r="H12" s="478" t="s">
        <v>94</v>
      </c>
      <c r="I12" s="478" t="s">
        <v>94</v>
      </c>
      <c r="J12" s="478" t="s">
        <v>94</v>
      </c>
      <c r="K12" s="479" t="s">
        <v>84</v>
      </c>
      <c r="L12" s="482" t="s">
        <v>94</v>
      </c>
      <c r="M12" s="476" t="s">
        <v>94</v>
      </c>
      <c r="N12" s="478" t="s">
        <v>94</v>
      </c>
      <c r="O12" s="478" t="s">
        <v>94</v>
      </c>
      <c r="P12" s="478" t="s">
        <v>94</v>
      </c>
      <c r="Q12" s="478" t="s">
        <v>94</v>
      </c>
      <c r="R12" s="479" t="s">
        <v>84</v>
      </c>
      <c r="S12" s="480" t="s">
        <v>84</v>
      </c>
      <c r="T12" s="481" t="s">
        <v>95</v>
      </c>
      <c r="U12" s="478" t="s">
        <v>95</v>
      </c>
      <c r="V12" s="478" t="s">
        <v>95</v>
      </c>
      <c r="W12" s="478" t="s">
        <v>95</v>
      </c>
      <c r="X12" s="478" t="s">
        <v>95</v>
      </c>
      <c r="Y12" s="478" t="s">
        <v>95</v>
      </c>
      <c r="Z12" s="493" t="s">
        <v>84</v>
      </c>
      <c r="AA12" s="476" t="s">
        <v>95</v>
      </c>
      <c r="AB12" s="478" t="s">
        <v>95</v>
      </c>
      <c r="AC12" s="478" t="s">
        <v>95</v>
      </c>
      <c r="AD12" s="478" t="s">
        <v>95</v>
      </c>
      <c r="AE12" s="478" t="s">
        <v>95</v>
      </c>
      <c r="AF12" s="479" t="s">
        <v>84</v>
      </c>
      <c r="AG12" s="480" t="s">
        <v>84</v>
      </c>
      <c r="AH12" s="542" t="s">
        <v>94</v>
      </c>
      <c r="AI12" s="137" t="s">
        <v>95</v>
      </c>
      <c r="AJ12" s="137" t="s">
        <v>38</v>
      </c>
      <c r="AK12" s="138" t="s">
        <v>84</v>
      </c>
      <c r="AL12" s="137" t="s">
        <v>81</v>
      </c>
      <c r="AM12" s="137" t="s">
        <v>88</v>
      </c>
      <c r="AN12" s="137" t="s">
        <v>96</v>
      </c>
      <c r="AO12" s="139" t="s">
        <v>97</v>
      </c>
    </row>
    <row r="13" spans="1:41" ht="18" customHeight="1" thickBot="1">
      <c r="A13" s="1333"/>
      <c r="B13" s="116" t="s">
        <v>22</v>
      </c>
      <c r="C13" s="53" t="s">
        <v>16</v>
      </c>
      <c r="D13" s="23">
        <v>517968</v>
      </c>
      <c r="E13" s="545"/>
      <c r="F13" s="497"/>
      <c r="G13" s="496"/>
      <c r="H13" s="496"/>
      <c r="I13" s="496"/>
      <c r="J13" s="496"/>
      <c r="K13" s="496"/>
      <c r="L13" s="498"/>
      <c r="M13" s="494"/>
      <c r="N13" s="496"/>
      <c r="O13" s="496"/>
      <c r="P13" s="496"/>
      <c r="Q13" s="496"/>
      <c r="R13" s="496"/>
      <c r="S13" s="495"/>
      <c r="T13" s="497"/>
      <c r="U13" s="496"/>
      <c r="V13" s="496"/>
      <c r="W13" s="496"/>
      <c r="X13" s="496"/>
      <c r="Y13" s="496"/>
      <c r="Z13" s="498"/>
      <c r="AA13" s="494"/>
      <c r="AB13" s="496"/>
      <c r="AC13" s="496"/>
      <c r="AD13" s="496"/>
      <c r="AE13" s="496"/>
      <c r="AF13" s="496"/>
      <c r="AG13" s="495"/>
      <c r="AH13" s="546"/>
      <c r="AI13" s="89" cm="1">
        <f t="array" ref="AI13">SUMPRODUCT(($E$12:$AH$12="HR")*($E$13:$AH$13=""))+SUMPRODUCT(($E$13:$AH$13="HR")*1)</f>
        <v>11</v>
      </c>
      <c r="AJ13" s="89" cm="1">
        <f t="array" ref="AJ13">SUMPRODUCT(($E$12:$AH$12="N0")*($E$13:$AH$13=""))+SUMPRODUCT(($E$13:$AH$13="N")*1)</f>
        <v>12</v>
      </c>
      <c r="AK13" s="89" cm="1">
        <f t="array" ref="AK13">SUMPRODUCT(($E$12:$AH$12="RD")*($E$13:$AH$13=""))+SUMPRODUCT(($E$13:$AH$13="RD")*1)</f>
        <v>7</v>
      </c>
      <c r="AL13" s="89" cm="1">
        <f t="array" ref="AL13">SUMPRODUCT(($E$13:$AH$13="AL")*1)</f>
        <v>0</v>
      </c>
      <c r="AM13" s="89" cm="1">
        <f t="array" ref="AM13">SUMPRODUCT(($E$13:$AH$13="SH")*1)</f>
        <v>0</v>
      </c>
      <c r="AN13" s="89" cm="1">
        <f t="array" ref="AN13">SUMPRODUCT(($E$13:$AH$13="SL")*1)</f>
        <v>0</v>
      </c>
      <c r="AO13" s="140" t="e">
        <f>#REF!-AI13-AJ13-AK13-AL13-AM13-AN13</f>
        <v>#REF!</v>
      </c>
    </row>
    <row r="14" spans="1:41" ht="18" customHeight="1" thickTop="1" thickBot="1">
      <c r="A14" s="1316" t="s">
        <v>98</v>
      </c>
      <c r="B14" s="1330" t="s">
        <v>93</v>
      </c>
      <c r="C14" s="1330"/>
      <c r="D14" s="1330"/>
      <c r="E14" s="541" t="s">
        <v>84</v>
      </c>
      <c r="F14" s="481" t="s">
        <v>95</v>
      </c>
      <c r="G14" s="478" t="s">
        <v>95</v>
      </c>
      <c r="H14" s="478" t="s">
        <v>95</v>
      </c>
      <c r="I14" s="478" t="s">
        <v>95</v>
      </c>
      <c r="J14" s="478" t="s">
        <v>95</v>
      </c>
      <c r="K14" s="478" t="s">
        <v>95</v>
      </c>
      <c r="L14" s="493" t="s">
        <v>84</v>
      </c>
      <c r="M14" s="476" t="s">
        <v>95</v>
      </c>
      <c r="N14" s="478" t="s">
        <v>95</v>
      </c>
      <c r="O14" s="478" t="s">
        <v>95</v>
      </c>
      <c r="P14" s="478" t="s">
        <v>95</v>
      </c>
      <c r="Q14" s="478" t="s">
        <v>95</v>
      </c>
      <c r="R14" s="479" t="s">
        <v>84</v>
      </c>
      <c r="S14" s="480" t="s">
        <v>84</v>
      </c>
      <c r="T14" s="481" t="s">
        <v>94</v>
      </c>
      <c r="U14" s="478" t="s">
        <v>94</v>
      </c>
      <c r="V14" s="478" t="s">
        <v>94</v>
      </c>
      <c r="W14" s="478" t="s">
        <v>94</v>
      </c>
      <c r="X14" s="478" t="s">
        <v>94</v>
      </c>
      <c r="Y14" s="479" t="s">
        <v>84</v>
      </c>
      <c r="Z14" s="482" t="s">
        <v>94</v>
      </c>
      <c r="AA14" s="476" t="s">
        <v>94</v>
      </c>
      <c r="AB14" s="478" t="s">
        <v>94</v>
      </c>
      <c r="AC14" s="478" t="s">
        <v>94</v>
      </c>
      <c r="AD14" s="478" t="s">
        <v>94</v>
      </c>
      <c r="AE14" s="478" t="s">
        <v>94</v>
      </c>
      <c r="AF14" s="479" t="s">
        <v>84</v>
      </c>
      <c r="AG14" s="480" t="s">
        <v>84</v>
      </c>
      <c r="AH14" s="542" t="s">
        <v>95</v>
      </c>
      <c r="AI14" s="137" t="s">
        <v>95</v>
      </c>
      <c r="AJ14" s="137" t="s">
        <v>38</v>
      </c>
      <c r="AK14" s="138" t="s">
        <v>84</v>
      </c>
      <c r="AL14" s="137" t="s">
        <v>81</v>
      </c>
      <c r="AM14" s="137" t="s">
        <v>88</v>
      </c>
      <c r="AN14" s="137" t="s">
        <v>96</v>
      </c>
      <c r="AO14" s="139" t="s">
        <v>97</v>
      </c>
    </row>
    <row r="15" spans="1:41" ht="18" customHeight="1" thickBot="1">
      <c r="A15" s="1333"/>
      <c r="B15" s="55" t="s">
        <v>46</v>
      </c>
      <c r="C15" s="53" t="s">
        <v>16</v>
      </c>
      <c r="D15" s="54">
        <v>673706</v>
      </c>
      <c r="E15" s="547"/>
      <c r="F15" s="503"/>
      <c r="G15" s="502"/>
      <c r="H15" s="502"/>
      <c r="I15" s="502"/>
      <c r="J15" s="502"/>
      <c r="K15" s="502"/>
      <c r="L15" s="504"/>
      <c r="M15" s="500"/>
      <c r="N15" s="502"/>
      <c r="O15" s="502"/>
      <c r="P15" s="502" t="s">
        <v>123</v>
      </c>
      <c r="Q15" s="502"/>
      <c r="R15" s="502"/>
      <c r="S15" s="501"/>
      <c r="T15" s="503"/>
      <c r="U15" s="502"/>
      <c r="V15" s="502"/>
      <c r="W15" s="502"/>
      <c r="X15" s="502"/>
      <c r="Y15" s="502"/>
      <c r="Z15" s="504"/>
      <c r="AA15" s="500"/>
      <c r="AB15" s="502"/>
      <c r="AC15" s="502"/>
      <c r="AD15" s="535"/>
      <c r="AE15" s="502"/>
      <c r="AF15" s="502"/>
      <c r="AG15" s="501"/>
      <c r="AH15" s="1230" t="s">
        <v>88</v>
      </c>
      <c r="AI15" s="89" cm="1">
        <f t="array" ref="AI15">SUMPRODUCT(($E$14:$AH$14="HR")*($E$15:$AH$15=""))+SUMPRODUCT(($E$15:$AH$15="HR")*1)</f>
        <v>10</v>
      </c>
      <c r="AJ15" s="89" cm="1">
        <f t="array" ref="AJ15">SUMPRODUCT(($E$14:$AH$14="N0")*($E$15:$AH$15=""))+SUMPRODUCT(($E$15:$AH$15="N")*1)</f>
        <v>11</v>
      </c>
      <c r="AK15" s="89" cm="1">
        <f t="array" ref="AK15">SUMPRODUCT(($E$14:$AH$14="RD")*($E$15:$AH$15=""))+SUMPRODUCT(($E$15:$AH$15="RD")*1)</f>
        <v>7</v>
      </c>
      <c r="AL15" s="89" cm="1">
        <f t="array" ref="AL15">SUMPRODUCT(($E$15:$AH$15="AL")*1)</f>
        <v>0</v>
      </c>
      <c r="AM15" s="89" cm="1">
        <f t="array" ref="AM15">SUMPRODUCT(($E$15:$AH$15="SH")*1)</f>
        <v>1</v>
      </c>
      <c r="AN15" s="89" cm="1">
        <f t="array" ref="AN15">SUMPRODUCT(($E$15:$AH$15="SL")*1)</f>
        <v>0</v>
      </c>
      <c r="AO15" s="140" t="e">
        <f>#REF!-AI15-AJ15-AK15-AL15-AM15-AN15</f>
        <v>#REF!</v>
      </c>
    </row>
    <row r="16" spans="1:41" ht="18" customHeight="1" thickTop="1" thickBot="1">
      <c r="A16" s="1335" t="s">
        <v>99</v>
      </c>
      <c r="B16" s="1330" t="s">
        <v>93</v>
      </c>
      <c r="C16" s="1330"/>
      <c r="D16" s="1330"/>
      <c r="E16" s="541" t="s">
        <v>84</v>
      </c>
      <c r="F16" s="481" t="s">
        <v>95</v>
      </c>
      <c r="G16" s="478" t="s">
        <v>95</v>
      </c>
      <c r="H16" s="478" t="s">
        <v>95</v>
      </c>
      <c r="I16" s="478" t="s">
        <v>95</v>
      </c>
      <c r="J16" s="478" t="s">
        <v>95</v>
      </c>
      <c r="K16" s="478" t="s">
        <v>95</v>
      </c>
      <c r="L16" s="499" t="s">
        <v>84</v>
      </c>
      <c r="M16" s="476" t="s">
        <v>95</v>
      </c>
      <c r="N16" s="478" t="s">
        <v>95</v>
      </c>
      <c r="O16" s="478" t="s">
        <v>95</v>
      </c>
      <c r="P16" s="478" t="s">
        <v>95</v>
      </c>
      <c r="Q16" s="478" t="s">
        <v>95</v>
      </c>
      <c r="R16" s="479" t="s">
        <v>84</v>
      </c>
      <c r="S16" s="480" t="s">
        <v>84</v>
      </c>
      <c r="T16" s="481" t="s">
        <v>95</v>
      </c>
      <c r="U16" s="478" t="s">
        <v>95</v>
      </c>
      <c r="V16" s="478" t="s">
        <v>95</v>
      </c>
      <c r="W16" s="478" t="s">
        <v>95</v>
      </c>
      <c r="X16" s="478" t="s">
        <v>95</v>
      </c>
      <c r="Y16" s="478" t="s">
        <v>95</v>
      </c>
      <c r="Z16" s="499" t="s">
        <v>84</v>
      </c>
      <c r="AA16" s="476" t="s">
        <v>95</v>
      </c>
      <c r="AB16" s="478" t="s">
        <v>95</v>
      </c>
      <c r="AC16" s="478" t="s">
        <v>95</v>
      </c>
      <c r="AD16" s="478" t="s">
        <v>95</v>
      </c>
      <c r="AE16" s="478" t="s">
        <v>95</v>
      </c>
      <c r="AF16" s="479" t="s">
        <v>84</v>
      </c>
      <c r="AG16" s="480" t="s">
        <v>84</v>
      </c>
      <c r="AH16" s="542" t="s">
        <v>95</v>
      </c>
      <c r="AI16" s="137" t="s">
        <v>95</v>
      </c>
      <c r="AJ16" s="137" t="s">
        <v>38</v>
      </c>
      <c r="AK16" s="138" t="s">
        <v>84</v>
      </c>
      <c r="AL16" s="137" t="s">
        <v>81</v>
      </c>
      <c r="AM16" s="137" t="s">
        <v>88</v>
      </c>
      <c r="AN16" s="137" t="s">
        <v>96</v>
      </c>
      <c r="AO16" s="139" t="s">
        <v>97</v>
      </c>
    </row>
    <row r="17" spans="1:41" ht="18" customHeight="1" thickBot="1">
      <c r="A17" s="1336"/>
      <c r="B17" s="56" t="s">
        <v>100</v>
      </c>
      <c r="C17" s="53" t="s">
        <v>16</v>
      </c>
      <c r="D17" s="54">
        <v>469319</v>
      </c>
      <c r="E17" s="545"/>
      <c r="F17" s="497"/>
      <c r="G17" s="496"/>
      <c r="H17" s="496"/>
      <c r="I17" s="496"/>
      <c r="J17" s="496"/>
      <c r="K17" s="496"/>
      <c r="L17" s="498"/>
      <c r="M17" s="494"/>
      <c r="N17" s="496"/>
      <c r="O17" s="496"/>
      <c r="P17" s="496"/>
      <c r="Q17" s="496"/>
      <c r="R17" s="496"/>
      <c r="S17" s="495"/>
      <c r="T17" s="497"/>
      <c r="U17" s="496"/>
      <c r="V17" s="496"/>
      <c r="W17" s="496"/>
      <c r="X17" s="496"/>
      <c r="Y17" s="496"/>
      <c r="Z17" s="498"/>
      <c r="AA17" s="494"/>
      <c r="AB17" s="496"/>
      <c r="AC17" s="496"/>
      <c r="AD17" s="496"/>
      <c r="AE17" s="496"/>
      <c r="AF17" s="496"/>
      <c r="AG17" s="495"/>
      <c r="AH17" s="546"/>
      <c r="AI17" s="89" cm="1">
        <f t="array" ref="AI17">SUMPRODUCT(($E$16:$AH$16="HR")*($E$17:$AH$17=""))+SUMPRODUCT(($E$17:$AH$17="HR")*1)</f>
        <v>23</v>
      </c>
      <c r="AJ17" s="89" cm="1">
        <f t="array" ref="AJ17">SUMPRODUCT(($E$16:$AH$16="N0")*($E$17:$AH$17=""))+SUMPRODUCT(($E$17:$AH$17="N")*1)</f>
        <v>0</v>
      </c>
      <c r="AK17" s="89" cm="1">
        <f t="array" ref="AK17">SUMPRODUCT(($E$16:$AH$16="RD")*($E$17:$AH$17=""))+SUMPRODUCT(($E$17:$AH$17="RD")*1)</f>
        <v>7</v>
      </c>
      <c r="AL17" s="89" cm="1">
        <f t="array" ref="AL17">SUMPRODUCT(($E$17:$AH$17="AL")*1)</f>
        <v>0</v>
      </c>
      <c r="AM17" s="89" cm="1">
        <f t="array" ref="AM17">SUMPRODUCT(($E$17:$AH$17="SH")*1)</f>
        <v>0</v>
      </c>
      <c r="AN17" s="89" cm="1">
        <f t="array" ref="AN17">SUMPRODUCT(($E$17:$AH$17="SL")*1)</f>
        <v>0</v>
      </c>
      <c r="AO17" s="140" t="e">
        <f>#REF!-AI17-AJ17-AK17-AL17-AM17-AN17</f>
        <v>#REF!</v>
      </c>
    </row>
    <row r="18" spans="1:41" ht="18" customHeight="1" thickTop="1" thickBot="1">
      <c r="A18" s="1340" t="s">
        <v>101</v>
      </c>
      <c r="B18" s="1343" t="s">
        <v>93</v>
      </c>
      <c r="C18" s="1344"/>
      <c r="D18" s="1345"/>
      <c r="E18" s="548" t="s">
        <v>94</v>
      </c>
      <c r="F18" s="508" t="s">
        <v>94</v>
      </c>
      <c r="G18" s="509" t="s">
        <v>94</v>
      </c>
      <c r="H18" s="509" t="s">
        <v>94</v>
      </c>
      <c r="I18" s="509" t="s">
        <v>94</v>
      </c>
      <c r="J18" s="509" t="s">
        <v>94</v>
      </c>
      <c r="K18" s="479" t="s">
        <v>84</v>
      </c>
      <c r="L18" s="482" t="s">
        <v>94</v>
      </c>
      <c r="M18" s="476" t="s">
        <v>94</v>
      </c>
      <c r="N18" s="478" t="s">
        <v>94</v>
      </c>
      <c r="O18" s="478" t="s">
        <v>94</v>
      </c>
      <c r="P18" s="478" t="s">
        <v>94</v>
      </c>
      <c r="Q18" s="478" t="s">
        <v>94</v>
      </c>
      <c r="R18" s="479" t="s">
        <v>84</v>
      </c>
      <c r="S18" s="480" t="s">
        <v>84</v>
      </c>
      <c r="T18" s="510" t="s">
        <v>95</v>
      </c>
      <c r="U18" s="511" t="s">
        <v>95</v>
      </c>
      <c r="V18" s="511" t="s">
        <v>95</v>
      </c>
      <c r="W18" s="511" t="s">
        <v>95</v>
      </c>
      <c r="X18" s="511" t="s">
        <v>95</v>
      </c>
      <c r="Y18" s="512" t="s">
        <v>84</v>
      </c>
      <c r="Z18" s="493" t="s">
        <v>84</v>
      </c>
      <c r="AA18" s="476" t="s">
        <v>94</v>
      </c>
      <c r="AB18" s="478" t="s">
        <v>94</v>
      </c>
      <c r="AC18" s="478" t="s">
        <v>94</v>
      </c>
      <c r="AD18" s="478" t="s">
        <v>94</v>
      </c>
      <c r="AE18" s="478" t="s">
        <v>94</v>
      </c>
      <c r="AF18" s="479" t="s">
        <v>84</v>
      </c>
      <c r="AG18" s="507" t="s">
        <v>94</v>
      </c>
      <c r="AH18" s="549" t="s">
        <v>94</v>
      </c>
      <c r="AI18" s="137" t="s">
        <v>95</v>
      </c>
      <c r="AJ18" s="137" t="s">
        <v>38</v>
      </c>
      <c r="AK18" s="138" t="s">
        <v>84</v>
      </c>
      <c r="AL18" s="137" t="s">
        <v>81</v>
      </c>
      <c r="AM18" s="137" t="s">
        <v>88</v>
      </c>
      <c r="AN18" s="137" t="s">
        <v>96</v>
      </c>
      <c r="AO18" s="139" t="s">
        <v>97</v>
      </c>
    </row>
    <row r="19" spans="1:41" ht="18" customHeight="1">
      <c r="A19" s="1341"/>
      <c r="B19" s="121" t="s">
        <v>14</v>
      </c>
      <c r="C19" s="111" t="s">
        <v>16</v>
      </c>
      <c r="D19" s="112">
        <v>321508</v>
      </c>
      <c r="E19" s="464"/>
      <c r="F19" s="435"/>
      <c r="G19" s="431"/>
      <c r="H19" s="431"/>
      <c r="I19" s="431"/>
      <c r="J19" s="431"/>
      <c r="K19" s="431"/>
      <c r="L19" s="443"/>
      <c r="M19" s="441"/>
      <c r="N19" s="431"/>
      <c r="O19" s="431"/>
      <c r="P19" s="431"/>
      <c r="Q19" s="431"/>
      <c r="R19" s="431"/>
      <c r="S19" s="436"/>
      <c r="T19" s="435"/>
      <c r="U19" s="431"/>
      <c r="V19" s="431"/>
      <c r="W19" s="431"/>
      <c r="X19" s="431"/>
      <c r="Y19" s="431"/>
      <c r="Z19" s="443"/>
      <c r="AA19" s="441"/>
      <c r="AB19" s="431"/>
      <c r="AC19" s="431"/>
      <c r="AD19" s="431"/>
      <c r="AE19" s="431"/>
      <c r="AF19" s="431"/>
      <c r="AG19" s="436"/>
      <c r="AH19" s="472"/>
      <c r="AI19" s="89" cm="1">
        <f t="array" ref="AI19">SUMPRODUCT(($E$18:$AH$18="HR")*(E19:AH19=""))+SUMPRODUCT((E19:AH19="HR")*1)</f>
        <v>5</v>
      </c>
      <c r="AJ19" s="89" cm="1">
        <f t="array" ref="AJ19">SUMPRODUCT(($E$18:$AH$18="N0")*(E19:AH19=""))+SUMPRODUCT((E19:AH19="N")*1)</f>
        <v>19</v>
      </c>
      <c r="AK19" s="88" cm="1">
        <f t="array" ref="AK19">SUMPRODUCT(($E$18:$AH$18="RD")*(E19:AH19=""))+SUMPRODUCT((E19:AH19="RD")*1)</f>
        <v>6</v>
      </c>
      <c r="AL19" s="89" cm="1">
        <f t="array" ref="AL19">SUMPRODUCT((F19:AH19="AL")*1)</f>
        <v>0</v>
      </c>
      <c r="AM19" s="89" cm="1">
        <f t="array" ref="AM19">SUMPRODUCT((F19:AH19="SH")*1)</f>
        <v>0</v>
      </c>
      <c r="AN19" s="89" cm="1">
        <f t="array" ref="AN19">SUMPRODUCT((E19:AH19="SL")*1)</f>
        <v>0</v>
      </c>
      <c r="AO19" s="140" t="e">
        <f>#REF!-AI19-AJ19-AK19-AL19-AM19-AN19</f>
        <v>#REF!</v>
      </c>
    </row>
    <row r="20" spans="1:41" ht="18" customHeight="1">
      <c r="A20" s="1341"/>
      <c r="B20" s="118" t="s">
        <v>102</v>
      </c>
      <c r="C20" s="99" t="s">
        <v>16</v>
      </c>
      <c r="D20" s="103">
        <v>461865</v>
      </c>
      <c r="E20" s="465"/>
      <c r="F20" s="421"/>
      <c r="G20" s="413"/>
      <c r="H20" s="413"/>
      <c r="I20" s="413"/>
      <c r="J20" s="413"/>
      <c r="K20" s="413"/>
      <c r="L20" s="444"/>
      <c r="M20" s="416"/>
      <c r="N20" s="413"/>
      <c r="O20" s="413"/>
      <c r="P20" s="413"/>
      <c r="Q20" s="413"/>
      <c r="R20" s="413"/>
      <c r="S20" s="417"/>
      <c r="T20" s="421"/>
      <c r="U20" s="413"/>
      <c r="V20" s="413"/>
      <c r="W20" s="413"/>
      <c r="X20" s="413"/>
      <c r="Y20" s="413"/>
      <c r="Z20" s="444"/>
      <c r="AA20" s="416"/>
      <c r="AB20" s="413"/>
      <c r="AC20" s="413"/>
      <c r="AD20" s="413"/>
      <c r="AE20" s="413"/>
      <c r="AF20" s="413"/>
      <c r="AG20" s="417"/>
      <c r="AH20" s="454"/>
      <c r="AI20" s="89" cm="1">
        <f t="array" ref="AI20">SUMPRODUCT(($E$18:$AH$18="HR")*(E20:AH20=""))+SUMPRODUCT((E20:AH20="HR")*1)</f>
        <v>5</v>
      </c>
      <c r="AJ20" s="89" cm="1">
        <f t="array" ref="AJ20">SUMPRODUCT(($E$18:$AH$18="N0")*(E20:AH20=""))+SUMPRODUCT((E20:AH20="N")*1)</f>
        <v>19</v>
      </c>
      <c r="AK20" s="88" cm="1">
        <f t="array" ref="AK20">SUMPRODUCT(($E$18:$AH$18="RD")*(E20:AH20=""))+SUMPRODUCT((E20:AH20="RD")*1)</f>
        <v>6</v>
      </c>
      <c r="AL20" s="89" cm="1">
        <f t="array" ref="AL20">SUMPRODUCT((F20:AH20="AL")*1)</f>
        <v>0</v>
      </c>
      <c r="AM20" s="89" cm="1">
        <f t="array" ref="AM20">SUMPRODUCT((F20:AH20="SH")*1)</f>
        <v>0</v>
      </c>
      <c r="AN20" s="89" cm="1">
        <f t="array" ref="AN20">SUMPRODUCT((E20:AH20="SL")*1)</f>
        <v>0</v>
      </c>
      <c r="AO20" s="140" t="e">
        <f>#REF!-AI20-AJ20-AK20-AL20-AM20-AN20</f>
        <v>#REF!</v>
      </c>
    </row>
    <row r="21" spans="1:41" ht="18" customHeight="1">
      <c r="A21" s="1341"/>
      <c r="B21" s="101" t="s">
        <v>41</v>
      </c>
      <c r="C21" s="99" t="s">
        <v>27</v>
      </c>
      <c r="D21" s="103">
        <v>676095</v>
      </c>
      <c r="E21" s="465"/>
      <c r="F21" s="421"/>
      <c r="G21" s="413"/>
      <c r="H21" s="413"/>
      <c r="I21" s="413"/>
      <c r="J21" s="413"/>
      <c r="K21" s="413"/>
      <c r="L21" s="444"/>
      <c r="M21" s="416"/>
      <c r="N21" s="413"/>
      <c r="O21" s="413"/>
      <c r="P21" s="413"/>
      <c r="Q21" s="413"/>
      <c r="R21" s="413"/>
      <c r="S21" s="417"/>
      <c r="T21" s="421"/>
      <c r="U21" s="413"/>
      <c r="V21" s="413"/>
      <c r="W21" s="413"/>
      <c r="X21" s="413"/>
      <c r="Y21" s="413"/>
      <c r="Z21" s="444"/>
      <c r="AA21" s="416"/>
      <c r="AB21" s="413"/>
      <c r="AC21" s="413"/>
      <c r="AD21" s="413"/>
      <c r="AE21" s="413"/>
      <c r="AF21" s="413"/>
      <c r="AG21" s="417"/>
      <c r="AH21" s="454"/>
      <c r="AI21" s="89" cm="1">
        <f t="array" ref="AI21">SUMPRODUCT(($E$18:$AH$18="HR")*(E21:AH21=""))+SUMPRODUCT((E21:AH21="HR")*1)</f>
        <v>5</v>
      </c>
      <c r="AJ21" s="89" cm="1">
        <f t="array" ref="AJ21">SUMPRODUCT(($E$18:$AH$18="N0")*(E21:AH21=""))+SUMPRODUCT((E21:AH21="N")*1)</f>
        <v>19</v>
      </c>
      <c r="AK21" s="88" cm="1">
        <f t="array" ref="AK21">SUMPRODUCT(($E$18:$AH$18="RD")*(E21:AH21=""))+SUMPRODUCT((E21:AH21="RD")*1)</f>
        <v>6</v>
      </c>
      <c r="AL21" s="89" cm="1">
        <f t="array" ref="AL21">SUMPRODUCT((F21:AH21="AL")*1)</f>
        <v>0</v>
      </c>
      <c r="AM21" s="89" cm="1">
        <f t="array" ref="AM21">SUMPRODUCT((F21:AH21="SH")*1)</f>
        <v>0</v>
      </c>
      <c r="AN21" s="89" cm="1">
        <f t="array" ref="AN21">SUMPRODUCT((E21:AH21="SL")*1)</f>
        <v>0</v>
      </c>
      <c r="AO21" s="140" t="e">
        <f>#REF!-AI21-AJ21-AK21-AL21-AM21-AN21</f>
        <v>#REF!</v>
      </c>
    </row>
    <row r="22" spans="1:41" ht="18" customHeight="1">
      <c r="A22" s="1341"/>
      <c r="B22" s="118" t="s">
        <v>104</v>
      </c>
      <c r="C22" s="99" t="s">
        <v>27</v>
      </c>
      <c r="D22" s="103">
        <v>681383</v>
      </c>
      <c r="E22" s="465"/>
      <c r="F22" s="421"/>
      <c r="G22" s="413"/>
      <c r="H22" s="413"/>
      <c r="I22" s="413"/>
      <c r="J22" s="1048" t="s">
        <v>88</v>
      </c>
      <c r="K22" s="413" t="s">
        <v>84</v>
      </c>
      <c r="L22" s="1046" t="s">
        <v>81</v>
      </c>
      <c r="M22" s="1047" t="s">
        <v>81</v>
      </c>
      <c r="N22" s="1048" t="s">
        <v>81</v>
      </c>
      <c r="O22" s="1048" t="s">
        <v>81</v>
      </c>
      <c r="P22" s="1048" t="s">
        <v>81</v>
      </c>
      <c r="Q22" s="1048" t="s">
        <v>81</v>
      </c>
      <c r="R22" s="413" t="s">
        <v>84</v>
      </c>
      <c r="S22" s="417" t="s">
        <v>84</v>
      </c>
      <c r="T22" s="1049" t="s">
        <v>88</v>
      </c>
      <c r="U22" s="1048" t="s">
        <v>88</v>
      </c>
      <c r="V22" s="1048" t="s">
        <v>81</v>
      </c>
      <c r="W22" s="1048" t="s">
        <v>81</v>
      </c>
      <c r="X22" s="1048" t="s">
        <v>81</v>
      </c>
      <c r="Y22" s="413" t="s">
        <v>84</v>
      </c>
      <c r="Z22" s="444" t="s">
        <v>84</v>
      </c>
      <c r="AA22" s="1047" t="s">
        <v>81</v>
      </c>
      <c r="AB22" s="1048" t="s">
        <v>81</v>
      </c>
      <c r="AC22" s="1048" t="s">
        <v>81</v>
      </c>
      <c r="AD22" s="413"/>
      <c r="AE22" s="413"/>
      <c r="AF22" s="413"/>
      <c r="AG22" s="417"/>
      <c r="AH22" s="454"/>
      <c r="AI22" s="89" cm="1">
        <f t="array" ref="AI22">SUMPRODUCT(($E$18:$AH$18="HR")*(E22:AH22=""))+SUMPRODUCT((E22:AH22="HR")*1)</f>
        <v>0</v>
      </c>
      <c r="AJ22" s="89" cm="1">
        <f t="array" ref="AJ22">SUMPRODUCT(($E$18:$AH$18="N0")*(E22:AH22=""))+SUMPRODUCT((E22:AH22="N")*1)</f>
        <v>9</v>
      </c>
      <c r="AK22" s="88" cm="1">
        <f t="array" ref="AK22">SUMPRODUCT(($E$18:$AH$18="RD")*(E22:AH22=""))+SUMPRODUCT((E22:AH22="RD")*1)</f>
        <v>6</v>
      </c>
      <c r="AL22" s="89" cm="1">
        <f t="array" ref="AL22">SUMPRODUCT((F22:AH22="AL")*1)</f>
        <v>12</v>
      </c>
      <c r="AM22" s="89" cm="1">
        <f t="array" ref="AM22">SUMPRODUCT((F22:AH22="SH")*1)</f>
        <v>3</v>
      </c>
      <c r="AN22" s="89" cm="1">
        <f t="array" ref="AN22">SUMPRODUCT((E22:AH22="SL")*1)</f>
        <v>0</v>
      </c>
      <c r="AO22" s="140" t="e">
        <f>#REF!-AI22-AJ22-AK22-AL22-AM22-AN22</f>
        <v>#REF!</v>
      </c>
    </row>
    <row r="23" spans="1:41" ht="18" customHeight="1">
      <c r="A23" s="1341"/>
      <c r="B23" s="100" t="s">
        <v>30</v>
      </c>
      <c r="C23" s="99" t="s">
        <v>27</v>
      </c>
      <c r="D23" s="103">
        <v>679417</v>
      </c>
      <c r="E23" s="465"/>
      <c r="F23" s="421"/>
      <c r="G23" s="413"/>
      <c r="H23" s="413"/>
      <c r="I23" s="413"/>
      <c r="J23" s="413"/>
      <c r="K23" s="413"/>
      <c r="L23" s="444"/>
      <c r="M23" s="416"/>
      <c r="N23" s="413"/>
      <c r="O23" s="413"/>
      <c r="P23" s="413"/>
      <c r="Q23" s="413"/>
      <c r="R23" s="413"/>
      <c r="S23" s="417"/>
      <c r="T23" s="421"/>
      <c r="U23" s="413"/>
      <c r="V23" s="413"/>
      <c r="W23" s="413"/>
      <c r="X23" s="413"/>
      <c r="Y23" s="413"/>
      <c r="Z23" s="444"/>
      <c r="AA23" s="416"/>
      <c r="AB23" s="413"/>
      <c r="AC23" s="413"/>
      <c r="AD23" s="413"/>
      <c r="AE23" s="413"/>
      <c r="AF23" s="413"/>
      <c r="AG23" s="417"/>
      <c r="AH23" s="454"/>
      <c r="AI23" s="89" cm="1">
        <f t="array" ref="AI23">SUMPRODUCT(($E$18:$AH$18="HR")*(E23:AH23=""))+SUMPRODUCT((E23:AH23="HR")*1)</f>
        <v>5</v>
      </c>
      <c r="AJ23" s="89" cm="1">
        <f t="array" ref="AJ23">SUMPRODUCT(($E$18:$AH$18="N0")*(E23:AH23=""))+SUMPRODUCT((E23:AH23="N")*1)</f>
        <v>19</v>
      </c>
      <c r="AK23" s="88" cm="1">
        <f t="array" ref="AK23">SUMPRODUCT(($E$18:$AH$18="RD")*(E23:AH23=""))+SUMPRODUCT((E23:AH23="RD")*1)</f>
        <v>6</v>
      </c>
      <c r="AL23" s="89" cm="1">
        <f t="array" ref="AL23">SUMPRODUCT((F23:AH23="AL")*1)</f>
        <v>0</v>
      </c>
      <c r="AM23" s="89" cm="1">
        <f t="array" ref="AM23">SUMPRODUCT((F23:AH23="SH")*1)</f>
        <v>0</v>
      </c>
      <c r="AN23" s="89" cm="1">
        <f t="array" ref="AN23">SUMPRODUCT((E23:AH23="SL")*1)</f>
        <v>0</v>
      </c>
      <c r="AO23" s="140" t="e">
        <f>#REF!-AI23-AJ23-AK23-AL23-AM23-AN23</f>
        <v>#REF!</v>
      </c>
    </row>
    <row r="24" spans="1:41" ht="18" customHeight="1" thickBot="1">
      <c r="A24" s="1342"/>
      <c r="B24" s="119" t="s">
        <v>48</v>
      </c>
      <c r="C24" s="106" t="s">
        <v>27</v>
      </c>
      <c r="D24" s="157">
        <v>684061</v>
      </c>
      <c r="E24" s="539"/>
      <c r="F24" s="519"/>
      <c r="G24" s="518"/>
      <c r="H24" s="518"/>
      <c r="I24" s="518"/>
      <c r="J24" s="518"/>
      <c r="K24" s="518"/>
      <c r="L24" s="520"/>
      <c r="M24" s="516"/>
      <c r="N24" s="518"/>
      <c r="O24" s="518"/>
      <c r="P24" s="518"/>
      <c r="Q24" s="518"/>
      <c r="R24" s="518"/>
      <c r="S24" s="517"/>
      <c r="T24" s="519"/>
      <c r="U24" s="518"/>
      <c r="V24" s="518"/>
      <c r="W24" s="518"/>
      <c r="X24" s="518"/>
      <c r="Y24" s="518"/>
      <c r="Z24" s="520"/>
      <c r="AA24" s="516"/>
      <c r="AB24" s="518"/>
      <c r="AC24" s="518"/>
      <c r="AD24" s="518"/>
      <c r="AE24" s="518"/>
      <c r="AF24" s="518"/>
      <c r="AG24" s="517"/>
      <c r="AH24" s="540"/>
      <c r="AI24" s="89" cm="1">
        <f t="array" ref="AI24">SUMPRODUCT(($E$18:$AH$18="HR")*(E24:AH24=""))+SUMPRODUCT((E24:AH24="HR")*1)</f>
        <v>5</v>
      </c>
      <c r="AJ24" s="89" cm="1">
        <f t="array" ref="AJ24">SUMPRODUCT(($E$18:$AH$18="N0")*(E24:AH24=""))+SUMPRODUCT((E24:AH24="N")*1)</f>
        <v>19</v>
      </c>
      <c r="AK24" s="88" cm="1">
        <f t="array" ref="AK24">SUMPRODUCT(($E$18:$AH$18="RD")*(E24:AH24=""))+SUMPRODUCT((E24:AH24="RD")*1)</f>
        <v>6</v>
      </c>
      <c r="AL24" s="89" cm="1">
        <f t="array" ref="AL24">SUMPRODUCT((F24:AH24="AL")*1)</f>
        <v>0</v>
      </c>
      <c r="AM24" s="89" cm="1">
        <f t="array" ref="AM24">SUMPRODUCT((F24:AH24="SH")*1)</f>
        <v>0</v>
      </c>
      <c r="AN24" s="89" cm="1">
        <f t="array" ref="AN24">SUMPRODUCT((E24:AH24="SL")*1)</f>
        <v>0</v>
      </c>
      <c r="AO24" s="140" t="e">
        <f>#REF!-AI24-AJ24-AK24-AL24-AM24-AN24</f>
        <v>#REF!</v>
      </c>
    </row>
    <row r="25" spans="1:41" ht="18" customHeight="1" thickTop="1" thickBot="1">
      <c r="A25" s="1331" t="s">
        <v>109</v>
      </c>
      <c r="B25" s="1330" t="s">
        <v>110</v>
      </c>
      <c r="C25" s="1330"/>
      <c r="D25" s="1330"/>
      <c r="E25" s="550" t="s">
        <v>84</v>
      </c>
      <c r="F25" s="508" t="s">
        <v>94</v>
      </c>
      <c r="G25" s="509" t="s">
        <v>94</v>
      </c>
      <c r="H25" s="509" t="s">
        <v>94</v>
      </c>
      <c r="I25" s="509" t="s">
        <v>94</v>
      </c>
      <c r="J25" s="509" t="s">
        <v>94</v>
      </c>
      <c r="K25" s="512" t="s">
        <v>84</v>
      </c>
      <c r="L25" s="514" t="s">
        <v>94</v>
      </c>
      <c r="M25" s="515" t="s">
        <v>94</v>
      </c>
      <c r="N25" s="509" t="s">
        <v>94</v>
      </c>
      <c r="O25" s="509" t="s">
        <v>94</v>
      </c>
      <c r="P25" s="509" t="s">
        <v>94</v>
      </c>
      <c r="Q25" s="509" t="s">
        <v>94</v>
      </c>
      <c r="R25" s="512" t="s">
        <v>84</v>
      </c>
      <c r="S25" s="507" t="s">
        <v>94</v>
      </c>
      <c r="T25" s="508" t="s">
        <v>94</v>
      </c>
      <c r="U25" s="509" t="s">
        <v>94</v>
      </c>
      <c r="V25" s="509" t="s">
        <v>94</v>
      </c>
      <c r="W25" s="509" t="s">
        <v>94</v>
      </c>
      <c r="X25" s="509" t="s">
        <v>94</v>
      </c>
      <c r="Y25" s="512" t="s">
        <v>84</v>
      </c>
      <c r="Z25" s="493" t="s">
        <v>84</v>
      </c>
      <c r="AA25" s="513" t="s">
        <v>95</v>
      </c>
      <c r="AB25" s="511" t="s">
        <v>95</v>
      </c>
      <c r="AC25" s="511" t="s">
        <v>95</v>
      </c>
      <c r="AD25" s="511" t="s">
        <v>95</v>
      </c>
      <c r="AE25" s="511" t="s">
        <v>95</v>
      </c>
      <c r="AF25" s="512" t="s">
        <v>84</v>
      </c>
      <c r="AG25" s="477" t="s">
        <v>84</v>
      </c>
      <c r="AH25" s="549" t="s">
        <v>94</v>
      </c>
      <c r="AI25" s="137" t="s">
        <v>95</v>
      </c>
      <c r="AJ25" s="137" t="s">
        <v>38</v>
      </c>
      <c r="AK25" s="138" t="s">
        <v>84</v>
      </c>
      <c r="AL25" s="137" t="s">
        <v>81</v>
      </c>
      <c r="AM25" s="137" t="s">
        <v>88</v>
      </c>
      <c r="AN25" s="137" t="s">
        <v>96</v>
      </c>
      <c r="AO25" s="139" t="s">
        <v>97</v>
      </c>
    </row>
    <row r="26" spans="1:41" ht="18" customHeight="1">
      <c r="A26" s="1331"/>
      <c r="B26" s="46" t="s">
        <v>111</v>
      </c>
      <c r="C26" s="27" t="s">
        <v>16</v>
      </c>
      <c r="D26" s="21">
        <v>265691</v>
      </c>
      <c r="E26" s="464"/>
      <c r="F26" s="435"/>
      <c r="G26" s="431"/>
      <c r="H26" s="431"/>
      <c r="I26" s="431"/>
      <c r="J26" s="431"/>
      <c r="K26" s="431"/>
      <c r="L26" s="443"/>
      <c r="M26" s="441"/>
      <c r="N26" s="431"/>
      <c r="O26" s="431"/>
      <c r="P26" s="431"/>
      <c r="Q26" s="431"/>
      <c r="R26" s="431"/>
      <c r="S26" s="436"/>
      <c r="T26" s="435"/>
      <c r="U26" s="431"/>
      <c r="V26" s="431"/>
      <c r="W26" s="431"/>
      <c r="X26" s="431"/>
      <c r="Y26" s="431"/>
      <c r="Z26" s="443"/>
      <c r="AA26" s="441"/>
      <c r="AB26" s="431"/>
      <c r="AC26" s="431"/>
      <c r="AD26" s="431"/>
      <c r="AE26" s="431"/>
      <c r="AF26" s="431"/>
      <c r="AG26" s="436"/>
      <c r="AH26" s="472"/>
      <c r="AI26" s="89" cm="1">
        <f t="array" ref="AI26">SUMPRODUCT(($E$25:$AH$25="HR")*(E26:AH26=""))+SUMPRODUCT((E26:AH26="HR")*1)</f>
        <v>5</v>
      </c>
      <c r="AJ26" s="89" cm="1">
        <f t="array" ref="AJ26">SUMPRODUCT(($E$25:$AH$25="N0")*(E26:AH26=""))+SUMPRODUCT((E26:AH26="N")*1)</f>
        <v>18</v>
      </c>
      <c r="AK26" s="88" cm="1">
        <f t="array" ref="AK26">SUMPRODUCT(($E$25:$AH$25="RD")*(E26:AH26=""))+SUMPRODUCT((E26:AH26="RD")*1)</f>
        <v>7</v>
      </c>
      <c r="AL26" s="89" cm="1">
        <f t="array" ref="AL26">SUMPRODUCT((F26:AH26="AL")*1)</f>
        <v>0</v>
      </c>
      <c r="AM26" s="89" cm="1">
        <f t="array" ref="AM26">SUMPRODUCT((F26:AH26="SH")*1)</f>
        <v>0</v>
      </c>
      <c r="AN26" s="89" cm="1">
        <f t="array" ref="AN26">SUMPRODUCT((E26:AH26="SL")*1)</f>
        <v>0</v>
      </c>
      <c r="AO26" s="140" t="e">
        <f>#REF!-AI26-AJ26-AK26-AL26-AM26-AN26</f>
        <v>#REF!</v>
      </c>
    </row>
    <row r="27" spans="1:41" ht="18" customHeight="1">
      <c r="A27" s="1331"/>
      <c r="B27" s="125" t="s">
        <v>113</v>
      </c>
      <c r="C27" s="16" t="s">
        <v>16</v>
      </c>
      <c r="D27" s="22">
        <v>422401</v>
      </c>
      <c r="E27" s="465"/>
      <c r="F27" s="421"/>
      <c r="G27" s="413"/>
      <c r="H27" s="413"/>
      <c r="I27" s="413"/>
      <c r="J27" s="413"/>
      <c r="K27" s="413"/>
      <c r="L27" s="444"/>
      <c r="M27" s="416"/>
      <c r="N27" s="413"/>
      <c r="O27" s="413"/>
      <c r="P27" s="413"/>
      <c r="Q27" s="413"/>
      <c r="R27" s="413"/>
      <c r="S27" s="417"/>
      <c r="T27" s="421"/>
      <c r="U27" s="413"/>
      <c r="V27" s="413"/>
      <c r="W27" s="413"/>
      <c r="X27" s="413"/>
      <c r="Y27" s="413"/>
      <c r="Z27" s="444"/>
      <c r="AA27" s="416"/>
      <c r="AB27" s="413"/>
      <c r="AC27" s="413"/>
      <c r="AD27" s="413"/>
      <c r="AE27" s="413"/>
      <c r="AF27" s="413"/>
      <c r="AG27" s="417"/>
      <c r="AH27" s="454"/>
      <c r="AI27" s="89" cm="1">
        <f t="array" ref="AI27">SUMPRODUCT(($E$25:$AH$25="HR")*(E27:AH27=""))+SUMPRODUCT((E27:AH27="HR")*1)</f>
        <v>5</v>
      </c>
      <c r="AJ27" s="89" cm="1">
        <f t="array" ref="AJ27">SUMPRODUCT(($E$25:$AH$25="N0")*(E27:AH27=""))+SUMPRODUCT((E27:AH27="N")*1)</f>
        <v>18</v>
      </c>
      <c r="AK27" s="88" cm="1">
        <f t="array" ref="AK27">SUMPRODUCT(($E$25:$AH$25="RD")*(E27:AH27=""))+SUMPRODUCT((E27:AH27="RD")*1)</f>
        <v>7</v>
      </c>
      <c r="AL27" s="89" cm="1">
        <f t="array" ref="AL27">SUMPRODUCT((F27:AH27="AL")*1)</f>
        <v>0</v>
      </c>
      <c r="AM27" s="89" cm="1">
        <f t="array" ref="AM27">SUMPRODUCT((F27:AH27="SH")*1)</f>
        <v>0</v>
      </c>
      <c r="AN27" s="89" cm="1">
        <f t="array" ref="AN27">SUMPRODUCT((E27:AH27="SL")*1)</f>
        <v>0</v>
      </c>
      <c r="AO27" s="140" t="e">
        <f>#REF!-AI27-AJ27-AK27-AL27-AM27-AN27</f>
        <v>#REF!</v>
      </c>
    </row>
    <row r="28" spans="1:41" ht="18" customHeight="1">
      <c r="A28" s="1331"/>
      <c r="B28" s="102" t="s">
        <v>29</v>
      </c>
      <c r="C28" s="16" t="s">
        <v>27</v>
      </c>
      <c r="D28" s="22">
        <v>679365</v>
      </c>
      <c r="E28" s="465"/>
      <c r="F28" s="421"/>
      <c r="G28" s="413"/>
      <c r="H28" s="413"/>
      <c r="I28" s="413"/>
      <c r="J28" s="413"/>
      <c r="K28" s="413"/>
      <c r="L28" s="444"/>
      <c r="M28" s="416"/>
      <c r="N28" s="413"/>
      <c r="O28" s="413"/>
      <c r="P28" s="413"/>
      <c r="Q28" s="413"/>
      <c r="R28" s="413"/>
      <c r="S28" s="417"/>
      <c r="T28" s="421"/>
      <c r="U28" s="413"/>
      <c r="V28" s="413"/>
      <c r="W28" s="413"/>
      <c r="X28" s="413"/>
      <c r="Y28" s="413"/>
      <c r="Z28" s="444"/>
      <c r="AA28" s="416"/>
      <c r="AB28" s="413"/>
      <c r="AC28" s="413"/>
      <c r="AD28" s="413"/>
      <c r="AE28" s="413"/>
      <c r="AF28" s="413"/>
      <c r="AG28" s="417"/>
      <c r="AH28" s="454"/>
      <c r="AI28" s="89" cm="1">
        <f t="array" ref="AI28">SUMPRODUCT(($E$25:$AH$25="HR")*(E28:AH28=""))+SUMPRODUCT((E28:AH28="HR")*1)</f>
        <v>5</v>
      </c>
      <c r="AJ28" s="89" cm="1">
        <f t="array" ref="AJ28">SUMPRODUCT(($E$25:$AH$25="N0")*(E28:AH28=""))+SUMPRODUCT((E28:AH28="N")*1)</f>
        <v>18</v>
      </c>
      <c r="AK28" s="88" cm="1">
        <f t="array" ref="AK28">SUMPRODUCT(($E$25:$AH$25="RD")*(E28:AH28=""))+SUMPRODUCT((E28:AH28="RD")*1)</f>
        <v>7</v>
      </c>
      <c r="AL28" s="89" cm="1">
        <f t="array" ref="AL28">SUMPRODUCT((F28:AH28="AL")*1)</f>
        <v>0</v>
      </c>
      <c r="AM28" s="89" cm="1">
        <f t="array" ref="AM28">SUMPRODUCT((F28:AH28="SH")*1)</f>
        <v>0</v>
      </c>
      <c r="AN28" s="89" cm="1">
        <f t="array" ref="AN28">SUMPRODUCT((E28:AH28="SL")*1)</f>
        <v>0</v>
      </c>
      <c r="AO28" s="140" t="e">
        <f>#REF!-AI28-AJ28-AK28-AL28-AM28-AN28</f>
        <v>#REF!</v>
      </c>
    </row>
    <row r="29" spans="1:41" ht="18" customHeight="1">
      <c r="A29" s="1331"/>
      <c r="B29" s="102" t="s">
        <v>271</v>
      </c>
      <c r="C29" s="16" t="s">
        <v>27</v>
      </c>
      <c r="D29" s="22">
        <v>680682</v>
      </c>
      <c r="E29" s="465"/>
      <c r="F29" s="421"/>
      <c r="G29" s="413"/>
      <c r="H29" s="413"/>
      <c r="I29" s="413"/>
      <c r="J29" s="413"/>
      <c r="K29" s="413"/>
      <c r="L29" s="444"/>
      <c r="M29" s="416"/>
      <c r="N29" s="413"/>
      <c r="O29" s="413"/>
      <c r="P29" s="413"/>
      <c r="Q29" s="413"/>
      <c r="R29" s="413"/>
      <c r="S29" s="417"/>
      <c r="T29" s="421"/>
      <c r="U29" s="413"/>
      <c r="V29" s="413"/>
      <c r="W29" s="413"/>
      <c r="X29" s="413"/>
      <c r="Y29" s="413"/>
      <c r="Z29" s="444"/>
      <c r="AA29" s="441" t="s">
        <v>94</v>
      </c>
      <c r="AB29" s="431" t="s">
        <v>94</v>
      </c>
      <c r="AC29" s="431" t="s">
        <v>94</v>
      </c>
      <c r="AD29" s="431" t="s">
        <v>137</v>
      </c>
      <c r="AE29" s="431" t="s">
        <v>137</v>
      </c>
      <c r="AF29" s="413"/>
      <c r="AG29" s="417"/>
      <c r="AH29" s="454"/>
      <c r="AI29" s="89" cm="1">
        <f t="array" ref="AI29">SUMPRODUCT(($E$25:$AH$25="HR")*(E29:AH29=""))+SUMPRODUCT((E29:AH29="HR")*1)</f>
        <v>0</v>
      </c>
      <c r="AJ29" s="89" cm="1">
        <f t="array" ref="AJ29">SUMPRODUCT(($E$25:$AH$25="N0")*(E29:AH29=""))+SUMPRODUCT((E29:AH29="N")*1)</f>
        <v>18</v>
      </c>
      <c r="AK29" s="88" cm="1">
        <f t="array" ref="AK29">SUMPRODUCT(($E$25:$AH$25="RD")*(E29:AH29=""))+SUMPRODUCT((E29:AH29="RD")*1)</f>
        <v>7</v>
      </c>
      <c r="AL29" s="89" cm="1">
        <f t="array" ref="AL29">SUMPRODUCT((F29:AH29="AL")*1)</f>
        <v>0</v>
      </c>
      <c r="AM29" s="89" cm="1">
        <f t="array" ref="AM29">SUMPRODUCT((F29:AH29="SH")*1)</f>
        <v>0</v>
      </c>
      <c r="AN29" s="89" cm="1">
        <f t="array" ref="AN29">SUMPRODUCT((E29:AH29="SL")*1)</f>
        <v>0</v>
      </c>
      <c r="AO29" s="140" t="e">
        <f>#REF!-AI29-AJ29-AK29-AL29-AM29-AN29</f>
        <v>#REF!</v>
      </c>
    </row>
    <row r="30" spans="1:41" ht="18" customHeight="1">
      <c r="A30" s="1331"/>
      <c r="B30" s="102" t="s">
        <v>51</v>
      </c>
      <c r="C30" s="16" t="s">
        <v>32</v>
      </c>
      <c r="D30" s="22">
        <v>685750</v>
      </c>
      <c r="E30" s="1079"/>
      <c r="F30" s="1077"/>
      <c r="G30" s="1075"/>
      <c r="H30" s="1075"/>
      <c r="I30" s="1075"/>
      <c r="J30" s="1075"/>
      <c r="K30" s="1075"/>
      <c r="L30" s="1078"/>
      <c r="M30" s="1074"/>
      <c r="N30" s="1075"/>
      <c r="O30" s="1075"/>
      <c r="P30" s="1075"/>
      <c r="Q30" s="1075"/>
      <c r="R30" s="1075"/>
      <c r="S30" s="1076"/>
      <c r="T30" s="1077"/>
      <c r="U30" s="1075"/>
      <c r="V30" s="1075"/>
      <c r="W30" s="1075"/>
      <c r="X30" s="1075"/>
      <c r="Y30" s="1075"/>
      <c r="Z30" s="1078"/>
      <c r="AA30" s="1292"/>
      <c r="AB30" s="1197"/>
      <c r="AC30" s="1197"/>
      <c r="AD30" s="1197"/>
      <c r="AE30" s="1197"/>
      <c r="AF30" s="1075"/>
      <c r="AG30" s="1076"/>
      <c r="AH30" s="1080"/>
      <c r="AI30" s="89"/>
      <c r="AJ30" s="89"/>
      <c r="AK30" s="88"/>
      <c r="AL30" s="89"/>
      <c r="AM30" s="89"/>
      <c r="AN30" s="89"/>
      <c r="AO30" s="140"/>
    </row>
    <row r="31" spans="1:41" ht="18" customHeight="1">
      <c r="A31" s="1331"/>
      <c r="B31" s="102" t="s">
        <v>116</v>
      </c>
      <c r="C31" s="16" t="s">
        <v>27</v>
      </c>
      <c r="D31" s="22">
        <v>682089</v>
      </c>
      <c r="E31" s="1079"/>
      <c r="F31" s="1077"/>
      <c r="G31" s="1075"/>
      <c r="H31" s="1075"/>
      <c r="I31" s="1075"/>
      <c r="J31" s="1075"/>
      <c r="K31" s="1075"/>
      <c r="L31" s="1078"/>
      <c r="M31" s="1074"/>
      <c r="N31" s="1075"/>
      <c r="O31" s="1075"/>
      <c r="P31" s="1075"/>
      <c r="Q31" s="1075"/>
      <c r="R31" s="1075"/>
      <c r="S31" s="1076"/>
      <c r="T31" s="1077"/>
      <c r="U31" s="1075"/>
      <c r="V31" s="1075"/>
      <c r="W31" s="1075"/>
      <c r="X31" s="1075"/>
      <c r="Y31" s="1075"/>
      <c r="Z31" s="1078"/>
      <c r="AA31" s="1074"/>
      <c r="AB31" s="1075"/>
      <c r="AC31" s="1075"/>
      <c r="AD31" s="1075"/>
      <c r="AE31" s="1075"/>
      <c r="AF31" s="1075"/>
      <c r="AG31" s="1076"/>
      <c r="AH31" s="1080"/>
      <c r="AI31" s="89"/>
      <c r="AJ31" s="89"/>
      <c r="AK31" s="88"/>
      <c r="AL31" s="89"/>
      <c r="AM31" s="89"/>
      <c r="AN31" s="89"/>
      <c r="AO31" s="140"/>
    </row>
    <row r="32" spans="1:41" ht="18" customHeight="1">
      <c r="A32" s="1333"/>
      <c r="B32" s="132" t="s">
        <v>52</v>
      </c>
      <c r="C32" s="20" t="s">
        <v>27</v>
      </c>
      <c r="D32" s="23">
        <v>678954</v>
      </c>
      <c r="E32" s="539"/>
      <c r="F32" s="519"/>
      <c r="G32" s="518"/>
      <c r="H32" s="518"/>
      <c r="I32" s="518"/>
      <c r="J32" s="518"/>
      <c r="K32" s="518"/>
      <c r="L32" s="520"/>
      <c r="M32" s="516"/>
      <c r="N32" s="518"/>
      <c r="O32" s="518"/>
      <c r="P32" s="518"/>
      <c r="Q32" s="518"/>
      <c r="R32" s="518"/>
      <c r="S32" s="517"/>
      <c r="T32" s="519"/>
      <c r="U32" s="518"/>
      <c r="V32" s="518"/>
      <c r="W32" s="518"/>
      <c r="X32" s="518"/>
      <c r="Y32" s="518"/>
      <c r="Z32" s="520"/>
      <c r="AA32" s="516"/>
      <c r="AB32" s="518"/>
      <c r="AC32" s="518"/>
      <c r="AD32" s="518"/>
      <c r="AE32" s="518" t="s">
        <v>135</v>
      </c>
      <c r="AF32" s="518"/>
      <c r="AG32" s="517"/>
      <c r="AH32" s="540"/>
      <c r="AI32" s="89" cm="1">
        <f t="array" ref="AI32">SUMPRODUCT(($E$25:$AH$25="HR")*(E32:AH32=""))+SUMPRODUCT((E32:AH32="HR")*1)</f>
        <v>4</v>
      </c>
      <c r="AJ32" s="89" cm="1">
        <f t="array" ref="AJ32">SUMPRODUCT(($E$25:$AH$25="N0")*(E32:AH32=""))+SUMPRODUCT((E32:AH32="N")*1)</f>
        <v>18</v>
      </c>
      <c r="AK32" s="88" cm="1">
        <f t="array" ref="AK32">SUMPRODUCT(($E$25:$AH$25="RD")*(E32:AH32=""))+SUMPRODUCT((E32:AH32="RD")*1)</f>
        <v>7</v>
      </c>
      <c r="AL32" s="89" cm="1">
        <f t="array" ref="AL32">SUMPRODUCT((F32:AH32="AL")*1)</f>
        <v>0</v>
      </c>
      <c r="AM32" s="89" cm="1">
        <f t="array" ref="AM32">SUMPRODUCT((F32:AH32="SH")*1)</f>
        <v>0</v>
      </c>
      <c r="AN32" s="89" cm="1">
        <f t="array" ref="AN32">SUMPRODUCT((E32:AH32="SL")*1)</f>
        <v>0</v>
      </c>
      <c r="AO32" s="140" t="e">
        <f>#REF!-AI32-AJ32-AK32-AL32-AM32-AN32</f>
        <v>#REF!</v>
      </c>
    </row>
    <row r="33" spans="1:41" ht="18" customHeight="1" thickTop="1" thickBot="1">
      <c r="A33" s="1316" t="s">
        <v>117</v>
      </c>
      <c r="B33" s="1332" t="s">
        <v>110</v>
      </c>
      <c r="C33" s="1332"/>
      <c r="D33" s="1332"/>
      <c r="E33" s="550" t="s">
        <v>84</v>
      </c>
      <c r="F33" s="510" t="s">
        <v>95</v>
      </c>
      <c r="G33" s="511" t="s">
        <v>95</v>
      </c>
      <c r="H33" s="511" t="s">
        <v>95</v>
      </c>
      <c r="I33" s="511" t="s">
        <v>95</v>
      </c>
      <c r="J33" s="511" t="s">
        <v>95</v>
      </c>
      <c r="K33" s="512" t="s">
        <v>84</v>
      </c>
      <c r="L33" s="493" t="s">
        <v>84</v>
      </c>
      <c r="M33" s="515" t="s">
        <v>94</v>
      </c>
      <c r="N33" s="509" t="s">
        <v>94</v>
      </c>
      <c r="O33" s="509" t="s">
        <v>94</v>
      </c>
      <c r="P33" s="509" t="s">
        <v>94</v>
      </c>
      <c r="Q33" s="509" t="s">
        <v>94</v>
      </c>
      <c r="R33" s="512" t="s">
        <v>84</v>
      </c>
      <c r="S33" s="507" t="s">
        <v>94</v>
      </c>
      <c r="T33" s="508" t="s">
        <v>94</v>
      </c>
      <c r="U33" s="509" t="s">
        <v>94</v>
      </c>
      <c r="V33" s="509" t="s">
        <v>94</v>
      </c>
      <c r="W33" s="509" t="s">
        <v>94</v>
      </c>
      <c r="X33" s="509" t="s">
        <v>94</v>
      </c>
      <c r="Y33" s="512" t="s">
        <v>84</v>
      </c>
      <c r="Z33" s="514" t="s">
        <v>94</v>
      </c>
      <c r="AA33" s="515" t="s">
        <v>94</v>
      </c>
      <c r="AB33" s="509" t="s">
        <v>94</v>
      </c>
      <c r="AC33" s="509" t="s">
        <v>94</v>
      </c>
      <c r="AD33" s="509" t="s">
        <v>94</v>
      </c>
      <c r="AE33" s="509" t="s">
        <v>94</v>
      </c>
      <c r="AF33" s="512" t="s">
        <v>84</v>
      </c>
      <c r="AG33" s="477" t="s">
        <v>84</v>
      </c>
      <c r="AH33" s="551" t="s">
        <v>95</v>
      </c>
      <c r="AI33" s="137" t="s">
        <v>95</v>
      </c>
      <c r="AJ33" s="137" t="s">
        <v>38</v>
      </c>
      <c r="AK33" s="138" t="s">
        <v>84</v>
      </c>
      <c r="AL33" s="137" t="s">
        <v>81</v>
      </c>
      <c r="AM33" s="137" t="s">
        <v>88</v>
      </c>
      <c r="AN33" s="137" t="s">
        <v>96</v>
      </c>
      <c r="AO33" s="139" t="s">
        <v>97</v>
      </c>
    </row>
    <row r="34" spans="1:41" ht="18" customHeight="1">
      <c r="A34" s="1331"/>
      <c r="B34" s="46" t="s">
        <v>17</v>
      </c>
      <c r="C34" s="27" t="s">
        <v>16</v>
      </c>
      <c r="D34" s="21">
        <v>321524</v>
      </c>
      <c r="E34" s="464"/>
      <c r="F34" s="435"/>
      <c r="G34" s="431"/>
      <c r="H34" s="431"/>
      <c r="I34" s="431"/>
      <c r="J34" s="431"/>
      <c r="K34" s="431"/>
      <c r="L34" s="443"/>
      <c r="M34" s="441"/>
      <c r="N34" s="431"/>
      <c r="O34" s="431"/>
      <c r="P34" s="431"/>
      <c r="Q34" s="431"/>
      <c r="R34" s="431"/>
      <c r="S34" s="436"/>
      <c r="T34" s="435"/>
      <c r="U34" s="431"/>
      <c r="V34" s="431"/>
      <c r="W34" s="431"/>
      <c r="X34" s="431"/>
      <c r="Y34" s="431"/>
      <c r="Z34" s="443"/>
      <c r="AA34" s="441"/>
      <c r="AB34" s="431"/>
      <c r="AC34" s="431"/>
      <c r="AD34" s="431"/>
      <c r="AE34" s="431"/>
      <c r="AF34" s="431"/>
      <c r="AG34" s="436"/>
      <c r="AH34" s="472"/>
      <c r="AI34" s="89" cm="1">
        <f t="array" ref="AI34">SUMPRODUCT(($E$33:$AH$33="HR")*(E34:AH34=""))+SUMPRODUCT((E34:AH34="HR")*1)</f>
        <v>6</v>
      </c>
      <c r="AJ34" s="89" cm="1">
        <f t="array" ref="AJ34">SUMPRODUCT(($E$33:$AH$33="N0")*(E34:AH34=""))+SUMPRODUCT((E34:AH34="N")*1)</f>
        <v>17</v>
      </c>
      <c r="AK34" s="88" cm="1">
        <f t="array" ref="AK34">SUMPRODUCT(($E$33:$AH$33="RD")*(E34:AH34=""))+SUMPRODUCT((E34:AH34="RD")*1)</f>
        <v>7</v>
      </c>
      <c r="AL34" s="89" cm="1">
        <f t="array" ref="AL34">SUMPRODUCT((F34:AH34="AL")*1)</f>
        <v>0</v>
      </c>
      <c r="AM34" s="89" cm="1">
        <f t="array" ref="AM34">SUMPRODUCT((F34:AH34="SH")*1)</f>
        <v>0</v>
      </c>
      <c r="AN34" s="89" cm="1">
        <f t="array" ref="AN34">SUMPRODUCT((E34:AH34="SL")*1)</f>
        <v>0</v>
      </c>
      <c r="AO34" s="140" t="e">
        <f>#REF!-AI34-AJ34-AK34-AL34-AM34-AN34</f>
        <v>#REF!</v>
      </c>
    </row>
    <row r="35" spans="1:41" ht="18" customHeight="1">
      <c r="A35" s="1331"/>
      <c r="B35" s="48" t="s">
        <v>28</v>
      </c>
      <c r="C35" s="16" t="s">
        <v>16</v>
      </c>
      <c r="D35" s="22">
        <v>427616</v>
      </c>
      <c r="E35" s="465"/>
      <c r="F35" s="421"/>
      <c r="G35" s="413"/>
      <c r="H35" s="413"/>
      <c r="I35" s="413"/>
      <c r="J35" s="413"/>
      <c r="K35" s="413"/>
      <c r="L35" s="444"/>
      <c r="M35" s="416"/>
      <c r="N35" s="413"/>
      <c r="O35" s="413"/>
      <c r="P35" s="413"/>
      <c r="Q35" s="413"/>
      <c r="R35" s="413"/>
      <c r="S35" s="417"/>
      <c r="T35" s="421"/>
      <c r="U35" s="413"/>
      <c r="V35" s="413"/>
      <c r="W35" s="413"/>
      <c r="X35" s="413"/>
      <c r="Y35" s="413"/>
      <c r="Z35" s="444"/>
      <c r="AA35" s="416"/>
      <c r="AB35" s="413"/>
      <c r="AC35" s="413"/>
      <c r="AD35" s="413"/>
      <c r="AE35" s="413"/>
      <c r="AF35" s="413"/>
      <c r="AG35" s="417"/>
      <c r="AH35" s="454"/>
      <c r="AI35" s="89" cm="1">
        <f t="array" ref="AI35">SUMPRODUCT(($E$33:$AH$33="HR")*(E35:AH35=""))+SUMPRODUCT((E35:AH35="HR")*1)</f>
        <v>6</v>
      </c>
      <c r="AJ35" s="89" cm="1">
        <f t="array" ref="AJ35">SUMPRODUCT(($E$33:$AH$33="N0")*(E35:AH35=""))+SUMPRODUCT((E35:AH35="N")*1)</f>
        <v>17</v>
      </c>
      <c r="AK35" s="88" cm="1">
        <f t="array" ref="AK35">SUMPRODUCT(($E$33:$AH$33="RD")*(E35:AH35=""))+SUMPRODUCT((E35:AH35="RD")*1)</f>
        <v>7</v>
      </c>
      <c r="AL35" s="89" cm="1">
        <f t="array" ref="AL35">SUMPRODUCT((F35:AH35="AL")*1)</f>
        <v>0</v>
      </c>
      <c r="AM35" s="89" cm="1">
        <f t="array" ref="AM35">SUMPRODUCT((F35:AH35="SH")*1)</f>
        <v>0</v>
      </c>
      <c r="AN35" s="89" cm="1">
        <f t="array" ref="AN35">SUMPRODUCT((E35:AH35="SL")*1)</f>
        <v>0</v>
      </c>
      <c r="AO35" s="140" t="e">
        <f>#REF!-AI35-AJ35-AK35-AL35-AM35-AN35</f>
        <v>#REF!</v>
      </c>
    </row>
    <row r="36" spans="1:41" ht="18" customHeight="1">
      <c r="A36" s="1331"/>
      <c r="B36" s="50" t="s">
        <v>273</v>
      </c>
      <c r="C36" s="18" t="s">
        <v>27</v>
      </c>
      <c r="D36" s="51">
        <v>672075</v>
      </c>
      <c r="E36" s="465"/>
      <c r="F36" s="441" t="s">
        <v>94</v>
      </c>
      <c r="G36" s="431" t="s">
        <v>94</v>
      </c>
      <c r="H36" s="431" t="s">
        <v>94</v>
      </c>
      <c r="I36" s="431" t="s">
        <v>94</v>
      </c>
      <c r="J36" s="431" t="s">
        <v>94</v>
      </c>
      <c r="K36" s="413"/>
      <c r="L36" s="444"/>
      <c r="M36" s="416"/>
      <c r="N36" s="413"/>
      <c r="O36" s="413"/>
      <c r="P36" s="413"/>
      <c r="Q36" s="413"/>
      <c r="R36" s="413"/>
      <c r="S36" s="417"/>
      <c r="T36" s="421"/>
      <c r="U36" s="413"/>
      <c r="V36" s="413"/>
      <c r="W36" s="413"/>
      <c r="X36" s="413"/>
      <c r="Y36" s="413"/>
      <c r="Z36" s="444"/>
      <c r="AA36" s="416"/>
      <c r="AB36" s="413"/>
      <c r="AC36" s="413"/>
      <c r="AD36" s="413"/>
      <c r="AE36" s="413"/>
      <c r="AF36" s="413"/>
      <c r="AG36" s="417"/>
      <c r="AH36" s="454"/>
      <c r="AI36" s="89" cm="1">
        <f t="array" ref="AI36">SUMPRODUCT(($E$33:$AH$33="HR")*(E36:AH36=""))+SUMPRODUCT((E36:AH36="HR")*1)</f>
        <v>1</v>
      </c>
      <c r="AJ36" s="89" cm="1">
        <f t="array" ref="AJ36">SUMPRODUCT(($E$33:$AH$33="N0")*(E36:AH36=""))+SUMPRODUCT((E36:AH36="N")*1)</f>
        <v>17</v>
      </c>
      <c r="AK36" s="88" cm="1">
        <f t="array" ref="AK36">SUMPRODUCT(($E$33:$AH$33="RD")*(E36:AH36=""))+SUMPRODUCT((E36:AH36="RD")*1)</f>
        <v>7</v>
      </c>
      <c r="AL36" s="89" cm="1">
        <f t="array" ref="AL36">SUMPRODUCT((F36:AH36="AL")*1)</f>
        <v>0</v>
      </c>
      <c r="AM36" s="89" cm="1">
        <f t="array" ref="AM36">SUMPRODUCT((F36:AH36="SH")*1)</f>
        <v>0</v>
      </c>
      <c r="AN36" s="89" cm="1">
        <f t="array" ref="AN36">SUMPRODUCT((E36:AH36="SL")*1)</f>
        <v>0</v>
      </c>
      <c r="AO36" s="140" t="e">
        <f>#REF!-AI36-AJ36-AK36-AL36-AM36-AN36</f>
        <v>#REF!</v>
      </c>
    </row>
    <row r="37" spans="1:41" ht="18" customHeight="1">
      <c r="A37" s="1331"/>
      <c r="B37" s="47" t="s">
        <v>35</v>
      </c>
      <c r="C37" s="16" t="s">
        <v>27</v>
      </c>
      <c r="D37" s="22">
        <v>655180</v>
      </c>
      <c r="E37" s="465"/>
      <c r="F37" s="421"/>
      <c r="G37" s="413"/>
      <c r="H37" s="413"/>
      <c r="I37" s="413"/>
      <c r="J37" s="413"/>
      <c r="K37" s="413"/>
      <c r="L37" s="444"/>
      <c r="M37" s="416"/>
      <c r="N37" s="413"/>
      <c r="O37" s="413"/>
      <c r="P37" s="413"/>
      <c r="Q37" s="413"/>
      <c r="R37" s="413"/>
      <c r="S37" s="417"/>
      <c r="T37" s="421"/>
      <c r="U37" s="413"/>
      <c r="V37" s="413"/>
      <c r="W37" s="413"/>
      <c r="X37" s="413"/>
      <c r="Y37" s="413"/>
      <c r="Z37" s="444"/>
      <c r="AA37" s="416"/>
      <c r="AB37" s="413"/>
      <c r="AC37" s="413"/>
      <c r="AD37" s="413"/>
      <c r="AE37" s="413"/>
      <c r="AF37" s="413"/>
      <c r="AG37" s="417"/>
      <c r="AH37" s="454"/>
      <c r="AI37" s="89" cm="1">
        <f t="array" ref="AI37">SUMPRODUCT(($E$33:$AH$33="HR")*(E37:AH37=""))+SUMPRODUCT((E37:AH37="HR")*1)</f>
        <v>6</v>
      </c>
      <c r="AJ37" s="89" cm="1">
        <f t="array" ref="AJ37">SUMPRODUCT(($E$33:$AH$33="N0")*(E37:AH37=""))+SUMPRODUCT((E37:AH37="N")*1)</f>
        <v>17</v>
      </c>
      <c r="AK37" s="88" cm="1">
        <f t="array" ref="AK37">SUMPRODUCT(($E$33:$AH$33="RD")*(E37:AH37=""))+SUMPRODUCT((E37:AH37="RD")*1)</f>
        <v>7</v>
      </c>
      <c r="AL37" s="89" cm="1">
        <f t="array" ref="AL37">SUMPRODUCT((F37:AH37="AL")*1)</f>
        <v>0</v>
      </c>
      <c r="AM37" s="89" cm="1">
        <f t="array" ref="AM37">SUMPRODUCT((F37:AH37="SH")*1)</f>
        <v>0</v>
      </c>
      <c r="AN37" s="89" cm="1">
        <f t="array" ref="AN37">SUMPRODUCT((E37:AH37="SL")*1)</f>
        <v>0</v>
      </c>
      <c r="AO37" s="140" t="e">
        <f>#REF!-AI37-AJ37-AK37-AL37-AM37-AN37</f>
        <v>#REF!</v>
      </c>
    </row>
    <row r="38" spans="1:41" ht="18" customHeight="1">
      <c r="A38" s="1331"/>
      <c r="B38" s="97" t="s">
        <v>34</v>
      </c>
      <c r="C38" s="16" t="s">
        <v>27</v>
      </c>
      <c r="D38" s="22">
        <v>673277</v>
      </c>
      <c r="E38" s="465"/>
      <c r="F38" s="421"/>
      <c r="G38" s="413"/>
      <c r="H38" s="413"/>
      <c r="I38" s="413"/>
      <c r="J38" s="413"/>
      <c r="K38" s="413"/>
      <c r="L38" s="444"/>
      <c r="M38" s="416"/>
      <c r="N38" s="413"/>
      <c r="O38" s="413"/>
      <c r="P38" s="413"/>
      <c r="Q38" s="413"/>
      <c r="R38" s="413"/>
      <c r="S38" s="417"/>
      <c r="T38" s="421"/>
      <c r="U38" s="413"/>
      <c r="V38" s="413"/>
      <c r="W38" s="413"/>
      <c r="X38" s="413"/>
      <c r="Y38" s="413"/>
      <c r="Z38" s="444"/>
      <c r="AA38" s="416"/>
      <c r="AB38" s="413"/>
      <c r="AC38" s="413"/>
      <c r="AD38" s="413"/>
      <c r="AE38" s="413"/>
      <c r="AF38" s="413"/>
      <c r="AG38" s="417"/>
      <c r="AH38" s="454"/>
      <c r="AI38" s="89" cm="1">
        <f t="array" ref="AI38">SUMPRODUCT(($E$33:$AH$33="HR")*(E38:AH38=""))+SUMPRODUCT((E38:AH38="HR")*1)</f>
        <v>6</v>
      </c>
      <c r="AJ38" s="89" cm="1">
        <f t="array" ref="AJ38">SUMPRODUCT(($E$33:$AH$33="N0")*(E38:AH38=""))+SUMPRODUCT((E38:AH38="N")*1)</f>
        <v>17</v>
      </c>
      <c r="AK38" s="88" cm="1">
        <f t="array" ref="AK38">SUMPRODUCT(($E$33:$AH$33="RD")*(E38:AH38=""))+SUMPRODUCT((E38:AH38="RD")*1)</f>
        <v>7</v>
      </c>
      <c r="AL38" s="89" cm="1">
        <f t="array" ref="AL38">SUMPRODUCT((F38:AH38="AL")*1)</f>
        <v>0</v>
      </c>
      <c r="AM38" s="89" cm="1">
        <f t="array" ref="AM38">SUMPRODUCT((F38:AH38="SH")*1)</f>
        <v>0</v>
      </c>
      <c r="AN38" s="89" cm="1">
        <f t="array" ref="AN38">SUMPRODUCT((E38:AH38="SL")*1)</f>
        <v>0</v>
      </c>
      <c r="AO38" s="140" t="e">
        <f>#REF!-AI38-AJ38-AK38-AL38-AM38-AN38</f>
        <v>#REF!</v>
      </c>
    </row>
    <row r="39" spans="1:41" ht="18" customHeight="1">
      <c r="A39" s="1331"/>
      <c r="B39" s="150" t="s">
        <v>118</v>
      </c>
      <c r="C39" s="133" t="s">
        <v>27</v>
      </c>
      <c r="D39" s="108">
        <v>674432</v>
      </c>
      <c r="E39" s="465"/>
      <c r="F39" s="421"/>
      <c r="G39" s="413"/>
      <c r="H39" s="413"/>
      <c r="I39" s="413"/>
      <c r="J39" s="413"/>
      <c r="K39" s="413"/>
      <c r="L39" s="444"/>
      <c r="M39" s="416"/>
      <c r="N39" s="413"/>
      <c r="O39" s="413"/>
      <c r="P39" s="413"/>
      <c r="Q39" s="413"/>
      <c r="R39" s="413"/>
      <c r="S39" s="417"/>
      <c r="T39" s="421"/>
      <c r="U39" s="413"/>
      <c r="V39" s="413"/>
      <c r="W39" s="413"/>
      <c r="X39" s="413"/>
      <c r="Y39" s="413"/>
      <c r="Z39" s="444"/>
      <c r="AA39" s="416"/>
      <c r="AB39" s="413"/>
      <c r="AC39" s="413"/>
      <c r="AD39" s="413"/>
      <c r="AE39" s="413"/>
      <c r="AF39" s="413"/>
      <c r="AG39" s="417"/>
      <c r="AH39" s="454"/>
      <c r="AI39" s="89" cm="1">
        <f t="array" ref="AI39">SUMPRODUCT(($E$33:$AH$33="HR")*(E39:AH39=""))+SUMPRODUCT((E39:AH39="HR")*1)</f>
        <v>6</v>
      </c>
      <c r="AJ39" s="89" cm="1">
        <f t="array" ref="AJ39">SUMPRODUCT(($E$33:$AH$33="N0")*(E39:AH39=""))+SUMPRODUCT((E39:AH39="N")*1)</f>
        <v>17</v>
      </c>
      <c r="AK39" s="88" cm="1">
        <f t="array" ref="AK39">SUMPRODUCT(($E$33:$AH$33="RD")*(E39:AH39=""))+SUMPRODUCT((E39:AH39="RD")*1)</f>
        <v>7</v>
      </c>
      <c r="AL39" s="89" cm="1">
        <f t="array" ref="AL39">SUMPRODUCT((F39:AH39="AL")*1)</f>
        <v>0</v>
      </c>
      <c r="AM39" s="89" cm="1">
        <f t="array" ref="AM39">SUMPRODUCT((F39:AH39="SH")*1)</f>
        <v>0</v>
      </c>
      <c r="AN39" s="89" cm="1">
        <f t="array" ref="AN39">SUMPRODUCT((E39:AH39="SL")*1)</f>
        <v>0</v>
      </c>
      <c r="AO39" s="140" t="e">
        <f>#REF!-AI39-AJ39-AK39-AL39-AM39-AN39</f>
        <v>#REF!</v>
      </c>
    </row>
    <row r="40" spans="1:41" ht="18" customHeight="1" thickTop="1" thickBot="1">
      <c r="A40" s="1316" t="s">
        <v>119</v>
      </c>
      <c r="B40" s="1334" t="s">
        <v>110</v>
      </c>
      <c r="C40" s="1332"/>
      <c r="D40" s="1332"/>
      <c r="E40" s="548" t="s">
        <v>94</v>
      </c>
      <c r="F40" s="508" t="s">
        <v>94</v>
      </c>
      <c r="G40" s="509" t="s">
        <v>94</v>
      </c>
      <c r="H40" s="509" t="s">
        <v>94</v>
      </c>
      <c r="I40" s="509" t="s">
        <v>94</v>
      </c>
      <c r="J40" s="509" t="s">
        <v>94</v>
      </c>
      <c r="K40" s="512" t="s">
        <v>84</v>
      </c>
      <c r="L40" s="493" t="s">
        <v>84</v>
      </c>
      <c r="M40" s="513" t="s">
        <v>95</v>
      </c>
      <c r="N40" s="511" t="s">
        <v>95</v>
      </c>
      <c r="O40" s="511" t="s">
        <v>95</v>
      </c>
      <c r="P40" s="511" t="s">
        <v>95</v>
      </c>
      <c r="Q40" s="511" t="s">
        <v>95</v>
      </c>
      <c r="R40" s="512" t="s">
        <v>84</v>
      </c>
      <c r="S40" s="477" t="s">
        <v>84</v>
      </c>
      <c r="T40" s="508" t="s">
        <v>94</v>
      </c>
      <c r="U40" s="509" t="s">
        <v>94</v>
      </c>
      <c r="V40" s="509" t="s">
        <v>94</v>
      </c>
      <c r="W40" s="509" t="s">
        <v>94</v>
      </c>
      <c r="X40" s="509" t="s">
        <v>94</v>
      </c>
      <c r="Y40" s="512" t="s">
        <v>84</v>
      </c>
      <c r="Z40" s="514" t="s">
        <v>94</v>
      </c>
      <c r="AA40" s="515" t="s">
        <v>94</v>
      </c>
      <c r="AB40" s="509" t="s">
        <v>94</v>
      </c>
      <c r="AC40" s="509" t="s">
        <v>94</v>
      </c>
      <c r="AD40" s="509" t="s">
        <v>94</v>
      </c>
      <c r="AE40" s="509" t="s">
        <v>94</v>
      </c>
      <c r="AF40" s="512" t="s">
        <v>84</v>
      </c>
      <c r="AG40" s="507" t="s">
        <v>94</v>
      </c>
      <c r="AH40" s="549" t="s">
        <v>94</v>
      </c>
      <c r="AI40" s="137" t="s">
        <v>95</v>
      </c>
      <c r="AJ40" s="137" t="s">
        <v>38</v>
      </c>
      <c r="AK40" s="138" t="s">
        <v>84</v>
      </c>
      <c r="AL40" s="137" t="s">
        <v>81</v>
      </c>
      <c r="AM40" s="137" t="s">
        <v>88</v>
      </c>
      <c r="AN40" s="137" t="s">
        <v>96</v>
      </c>
      <c r="AO40" s="139" t="s">
        <v>97</v>
      </c>
    </row>
    <row r="41" spans="1:41" ht="18" customHeight="1">
      <c r="A41" s="1331"/>
      <c r="B41" s="44" t="s">
        <v>274</v>
      </c>
      <c r="C41" s="17" t="s">
        <v>16</v>
      </c>
      <c r="D41" s="21">
        <v>422380</v>
      </c>
      <c r="E41" s="464"/>
      <c r="F41" s="435"/>
      <c r="G41" s="431"/>
      <c r="H41" s="431"/>
      <c r="I41" s="431"/>
      <c r="J41" s="431"/>
      <c r="K41" s="431"/>
      <c r="L41" s="443"/>
      <c r="M41" s="441" t="s">
        <v>94</v>
      </c>
      <c r="N41" s="431" t="s">
        <v>94</v>
      </c>
      <c r="O41" s="431" t="s">
        <v>94</v>
      </c>
      <c r="P41" s="431" t="s">
        <v>94</v>
      </c>
      <c r="Q41" s="431" t="s">
        <v>94</v>
      </c>
      <c r="R41" s="431"/>
      <c r="S41" s="436"/>
      <c r="T41" s="435"/>
      <c r="U41" s="431"/>
      <c r="V41" s="1044" t="s">
        <v>81</v>
      </c>
      <c r="W41" s="1044" t="s">
        <v>81</v>
      </c>
      <c r="X41" s="1044" t="s">
        <v>81</v>
      </c>
      <c r="Y41" s="431"/>
      <c r="Z41" s="1262" t="s">
        <v>81</v>
      </c>
      <c r="AA41" s="1043" t="s">
        <v>81</v>
      </c>
      <c r="AB41" s="431"/>
      <c r="AC41" s="431"/>
      <c r="AD41" s="431"/>
      <c r="AE41" s="431"/>
      <c r="AF41" s="431"/>
      <c r="AG41" s="436"/>
      <c r="AH41" s="472"/>
      <c r="AI41" s="89" cm="1">
        <f t="array" ref="AI41">SUMPRODUCT(($E$40:$AH$40="HR")*(E41:AH41=""))+SUMPRODUCT((E41:AH41="HR")*1)</f>
        <v>0</v>
      </c>
      <c r="AJ41" s="89" cm="1">
        <f t="array" ref="AJ41">SUMPRODUCT(($E$40:$AH$40="N0")*(E41:AH41=""))+SUMPRODUCT((E41:AH41="N")*1)</f>
        <v>14</v>
      </c>
      <c r="AK41" s="88" cm="1">
        <f t="array" ref="AK41">SUMPRODUCT(($E$40:$AH$40="RD")*(E41:AH41=""))+SUMPRODUCT((E41:AH41="RD")*1)</f>
        <v>6</v>
      </c>
      <c r="AL41" s="89" cm="1">
        <f t="array" ref="AL41">SUMPRODUCT((F41:AH41="AL")*1)</f>
        <v>5</v>
      </c>
      <c r="AM41" s="89" cm="1">
        <f t="array" ref="AM41">SUMPRODUCT((F41:AH41="SH")*1)</f>
        <v>0</v>
      </c>
      <c r="AN41" s="89" cm="1">
        <f t="array" ref="AN41">SUMPRODUCT((E41:AH41="SL")*1)</f>
        <v>0</v>
      </c>
      <c r="AO41" s="140" t="e">
        <f>#REF!-AI41-AJ41-AK41-AL41-AM41-AN41</f>
        <v>#REF!</v>
      </c>
    </row>
    <row r="42" spans="1:41" ht="18" customHeight="1">
      <c r="A42" s="1331"/>
      <c r="B42" s="45" t="s">
        <v>36</v>
      </c>
      <c r="C42" s="16" t="s">
        <v>16</v>
      </c>
      <c r="D42" s="22">
        <v>669557</v>
      </c>
      <c r="E42" s="1178" t="s">
        <v>88</v>
      </c>
      <c r="F42" s="1049" t="s">
        <v>88</v>
      </c>
      <c r="G42" s="1048" t="s">
        <v>88</v>
      </c>
      <c r="H42" s="1048" t="s">
        <v>162</v>
      </c>
      <c r="I42" s="413"/>
      <c r="J42" s="413"/>
      <c r="K42" s="413"/>
      <c r="L42" s="444"/>
      <c r="M42" s="416"/>
      <c r="N42" s="413"/>
      <c r="O42" s="413"/>
      <c r="P42" s="413"/>
      <c r="Q42" s="413"/>
      <c r="R42" s="413"/>
      <c r="S42" s="417"/>
      <c r="T42" s="421"/>
      <c r="U42" s="413"/>
      <c r="V42" s="413"/>
      <c r="W42" s="413"/>
      <c r="X42" s="413"/>
      <c r="Y42" s="413"/>
      <c r="Z42" s="444"/>
      <c r="AA42" s="416"/>
      <c r="AB42" s="413"/>
      <c r="AC42" s="413"/>
      <c r="AD42" s="413"/>
      <c r="AE42" s="413"/>
      <c r="AF42" s="413"/>
      <c r="AG42" s="417"/>
      <c r="AH42" s="454"/>
      <c r="AI42" s="89" cm="1">
        <f t="array" ref="AI42">SUMPRODUCT(($E$40:$AH$40="HR")*(E42:AH42=""))+SUMPRODUCT((E42:AH42="HR")*1)</f>
        <v>5</v>
      </c>
      <c r="AJ42" s="89" cm="1">
        <f t="array" ref="AJ42">SUMPRODUCT(($E$40:$AH$40="N0")*(E42:AH42=""))+SUMPRODUCT((E42:AH42="N")*1)</f>
        <v>15</v>
      </c>
      <c r="AK42" s="88" cm="1">
        <f t="array" ref="AK42">SUMPRODUCT(($E$40:$AH$40="RD")*(E42:AH42=""))+SUMPRODUCT((E42:AH42="RD")*1)</f>
        <v>6</v>
      </c>
      <c r="AL42" s="89" cm="1">
        <f t="array" ref="AL42">SUMPRODUCT((F42:AH42="AL")*1)</f>
        <v>0</v>
      </c>
      <c r="AM42" s="89" cm="1">
        <f t="array" ref="AM42">SUMPRODUCT((F42:AH42="SH")*1)</f>
        <v>2</v>
      </c>
      <c r="AN42" s="89" cm="1">
        <f t="array" ref="AN42">SUMPRODUCT((E42:AH42="SL")*1)</f>
        <v>0</v>
      </c>
      <c r="AO42" s="140" t="e">
        <f>#REF!-AI42-AJ42-AK42-AL42-AM42-AN42</f>
        <v>#REF!</v>
      </c>
    </row>
    <row r="43" spans="1:41" ht="18" customHeight="1">
      <c r="A43" s="1331"/>
      <c r="B43" s="45" t="s">
        <v>275</v>
      </c>
      <c r="C43" s="16" t="s">
        <v>16</v>
      </c>
      <c r="D43" s="22">
        <v>505935</v>
      </c>
      <c r="E43" s="465"/>
      <c r="F43" s="421"/>
      <c r="G43" s="413"/>
      <c r="H43" s="413"/>
      <c r="I43" s="413"/>
      <c r="J43" s="413"/>
      <c r="K43" s="413"/>
      <c r="L43" s="444"/>
      <c r="M43" s="416" t="s">
        <v>94</v>
      </c>
      <c r="N43" s="413" t="s">
        <v>94</v>
      </c>
      <c r="O43" s="413" t="s">
        <v>94</v>
      </c>
      <c r="P43" s="413" t="s">
        <v>94</v>
      </c>
      <c r="Q43" s="413" t="s">
        <v>94</v>
      </c>
      <c r="R43" s="413"/>
      <c r="S43" s="417"/>
      <c r="T43" s="421"/>
      <c r="U43" s="413"/>
      <c r="V43" s="413"/>
      <c r="W43" s="413"/>
      <c r="X43" s="413"/>
      <c r="Y43" s="413"/>
      <c r="Z43" s="444"/>
      <c r="AA43" s="416"/>
      <c r="AB43" s="413"/>
      <c r="AC43" s="413"/>
      <c r="AD43" s="413"/>
      <c r="AE43" s="413"/>
      <c r="AF43" s="413"/>
      <c r="AG43" s="417"/>
      <c r="AH43" s="454"/>
      <c r="AI43" s="89" cm="1">
        <f t="array" ref="AI43">SUMPRODUCT(($E$40:$AH$40="HR")*(E43:AH43=""))+SUMPRODUCT((E43:AH43="HR")*1)</f>
        <v>0</v>
      </c>
      <c r="AJ43" s="89" cm="1">
        <f t="array" ref="AJ43">SUMPRODUCT(($E$40:$AH$40="N0")*(E43:AH43=""))+SUMPRODUCT((E43:AH43="N")*1)</f>
        <v>19</v>
      </c>
      <c r="AK43" s="88" cm="1">
        <f t="array" ref="AK43">SUMPRODUCT(($E$40:$AH$40="RD")*(E43:AH43=""))+SUMPRODUCT((E43:AH43="RD")*1)</f>
        <v>6</v>
      </c>
      <c r="AL43" s="89" cm="1">
        <f t="array" ref="AL43">SUMPRODUCT((F43:AH43="AL")*1)</f>
        <v>0</v>
      </c>
      <c r="AM43" s="89" cm="1">
        <f t="array" ref="AM43">SUMPRODUCT((F43:AH43="SH")*1)</f>
        <v>0</v>
      </c>
      <c r="AN43" s="89" cm="1">
        <f t="array" ref="AN43">SUMPRODUCT((E43:AH43="SL")*1)</f>
        <v>0</v>
      </c>
      <c r="AO43" s="140" t="e">
        <f>#REF!-AI43-AJ43-AK43-AL43-AM43-AN43</f>
        <v>#REF!</v>
      </c>
    </row>
    <row r="44" spans="1:41" ht="18" customHeight="1">
      <c r="A44" s="1331"/>
      <c r="B44" s="45" t="s">
        <v>25</v>
      </c>
      <c r="C44" s="16" t="s">
        <v>27</v>
      </c>
      <c r="D44" s="22">
        <v>580058</v>
      </c>
      <c r="E44" s="465"/>
      <c r="F44" s="421"/>
      <c r="G44" s="413"/>
      <c r="H44" s="413"/>
      <c r="I44" s="413"/>
      <c r="J44" s="413"/>
      <c r="K44" s="413"/>
      <c r="L44" s="444"/>
      <c r="M44" s="416"/>
      <c r="N44" s="413"/>
      <c r="O44" s="413"/>
      <c r="P44" s="413"/>
      <c r="Q44" s="413"/>
      <c r="R44" s="413"/>
      <c r="S44" s="417"/>
      <c r="T44" s="421"/>
      <c r="U44" s="413"/>
      <c r="V44" s="413"/>
      <c r="W44" s="413"/>
      <c r="X44" s="413"/>
      <c r="Y44" s="413"/>
      <c r="Z44" s="444"/>
      <c r="AA44" s="416"/>
      <c r="AB44" s="413"/>
      <c r="AC44" s="413"/>
      <c r="AD44" s="413"/>
      <c r="AE44" s="413"/>
      <c r="AF44" s="413"/>
      <c r="AG44" s="417"/>
      <c r="AH44" s="454"/>
      <c r="AI44" s="89" cm="1">
        <f t="array" ref="AI44">SUMPRODUCT(($E$40:$AH$40="HR")*(E44:AH44=""))+SUMPRODUCT((E44:AH44="HR")*1)</f>
        <v>5</v>
      </c>
      <c r="AJ44" s="89" cm="1">
        <f t="array" ref="AJ44">SUMPRODUCT(($E$40:$AH$40="N0")*(E44:AH44=""))+SUMPRODUCT((E44:AH44="N")*1)</f>
        <v>19</v>
      </c>
      <c r="AK44" s="88" cm="1">
        <f t="array" ref="AK44">SUMPRODUCT(($E$40:$AH$40="RD")*(E44:AH44=""))+SUMPRODUCT((E44:AH44="RD")*1)</f>
        <v>6</v>
      </c>
      <c r="AL44" s="89" cm="1">
        <f t="array" ref="AL44">SUMPRODUCT((F44:AH44="AL")*1)</f>
        <v>0</v>
      </c>
      <c r="AM44" s="89" cm="1">
        <f t="array" ref="AM44">SUMPRODUCT((F44:AH44="SH")*1)</f>
        <v>0</v>
      </c>
      <c r="AN44" s="89" cm="1">
        <f t="array" ref="AN44">SUMPRODUCT((E44:AH44="SL")*1)</f>
        <v>0</v>
      </c>
      <c r="AO44" s="140" t="e">
        <f>#REF!-AI44-AJ44-AK44-AL44-AM44-AN44</f>
        <v>#REF!</v>
      </c>
    </row>
    <row r="45" spans="1:41" ht="18" customHeight="1">
      <c r="A45" s="1331"/>
      <c r="B45" s="45" t="s">
        <v>37</v>
      </c>
      <c r="C45" s="16" t="s">
        <v>27</v>
      </c>
      <c r="D45" s="22">
        <v>680417</v>
      </c>
      <c r="E45" s="465"/>
      <c r="F45" s="421"/>
      <c r="G45" s="413"/>
      <c r="H45" s="413"/>
      <c r="I45" s="413"/>
      <c r="J45" s="413"/>
      <c r="K45" s="413"/>
      <c r="L45" s="444"/>
      <c r="M45" s="416" t="s">
        <v>123</v>
      </c>
      <c r="N45" s="413" t="s">
        <v>123</v>
      </c>
      <c r="O45" s="413"/>
      <c r="P45" s="413"/>
      <c r="Q45" s="413"/>
      <c r="R45" s="413"/>
      <c r="S45" s="417"/>
      <c r="T45" s="421"/>
      <c r="U45" s="413"/>
      <c r="V45" s="413"/>
      <c r="W45" s="413"/>
      <c r="X45" s="413"/>
      <c r="Y45" s="413"/>
      <c r="Z45" s="444"/>
      <c r="AA45" s="416"/>
      <c r="AB45" s="413"/>
      <c r="AC45" s="413"/>
      <c r="AD45" s="413"/>
      <c r="AE45" s="413"/>
      <c r="AF45" s="413"/>
      <c r="AG45" s="417"/>
      <c r="AH45" s="454"/>
      <c r="AI45" s="89" cm="1">
        <f t="array" ref="AI45">SUMPRODUCT(($E$40:$AH$40="HR")*(E45:AH45=""))+SUMPRODUCT((E45:AH45="HR")*1)</f>
        <v>3</v>
      </c>
      <c r="AJ45" s="89" cm="1">
        <f t="array" ref="AJ45">SUMPRODUCT(($E$40:$AH$40="N0")*(E45:AH45=""))+SUMPRODUCT((E45:AH45="N")*1)</f>
        <v>19</v>
      </c>
      <c r="AK45" s="88" cm="1">
        <f t="array" ref="AK45">SUMPRODUCT(($E$40:$AH$40="RD")*(E45:AH45=""))+SUMPRODUCT((E45:AH45="RD")*1)</f>
        <v>6</v>
      </c>
      <c r="AL45" s="89" cm="1">
        <f t="array" ref="AL45">SUMPRODUCT((F45:AH45="AL")*1)</f>
        <v>0</v>
      </c>
      <c r="AM45" s="89" cm="1">
        <f t="array" ref="AM45">SUMPRODUCT((F45:AH45="SH")*1)</f>
        <v>0</v>
      </c>
      <c r="AN45" s="89" cm="1">
        <f t="array" ref="AN45">SUMPRODUCT((E45:AH45="SL")*1)</f>
        <v>0</v>
      </c>
      <c r="AO45" s="140" t="e">
        <f>#REF!-AI45-AJ45-AK45-AL45-AM45-AN45</f>
        <v>#REF!</v>
      </c>
    </row>
    <row r="46" spans="1:41" ht="18" customHeight="1">
      <c r="A46" s="1331"/>
      <c r="B46" s="120" t="s">
        <v>49</v>
      </c>
      <c r="C46" s="16" t="s">
        <v>27</v>
      </c>
      <c r="D46" s="22">
        <v>684119</v>
      </c>
      <c r="E46" s="465"/>
      <c r="F46" s="421"/>
      <c r="G46" s="413"/>
      <c r="H46" s="413"/>
      <c r="I46" s="413"/>
      <c r="J46" s="413"/>
      <c r="K46" s="413"/>
      <c r="L46" s="444"/>
      <c r="M46" s="416"/>
      <c r="N46" s="413"/>
      <c r="O46" s="413"/>
      <c r="P46" s="413"/>
      <c r="Q46" s="413"/>
      <c r="R46" s="413"/>
      <c r="S46" s="417"/>
      <c r="T46" s="421"/>
      <c r="U46" s="413"/>
      <c r="V46" s="413"/>
      <c r="W46" s="413"/>
      <c r="X46" s="413"/>
      <c r="Y46" s="413"/>
      <c r="Z46" s="444"/>
      <c r="AA46" s="416"/>
      <c r="AB46" s="413"/>
      <c r="AC46" s="413"/>
      <c r="AD46" s="413"/>
      <c r="AE46" s="413"/>
      <c r="AF46" s="413"/>
      <c r="AG46" s="417"/>
      <c r="AH46" s="454"/>
      <c r="AI46" s="89" cm="1">
        <f t="array" ref="AI46">SUMPRODUCT(($E$40:$AH$40="HR")*(E46:AH46=""))+SUMPRODUCT((E46:AH46="HR")*1)</f>
        <v>5</v>
      </c>
      <c r="AJ46" s="89" cm="1">
        <f t="array" ref="AJ46">SUMPRODUCT(($E$40:$AH$40="N0")*(E46:AH46=""))+SUMPRODUCT((E46:AH46="N")*1)</f>
        <v>19</v>
      </c>
      <c r="AK46" s="88" cm="1">
        <f t="array" ref="AK46">SUMPRODUCT(($E$40:$AH$40="RD")*(E46:AH46=""))+SUMPRODUCT((E46:AH46="RD")*1)</f>
        <v>6</v>
      </c>
      <c r="AL46" s="89" cm="1">
        <f t="array" ref="AL46">SUMPRODUCT((F46:AH46="AL")*1)</f>
        <v>0</v>
      </c>
      <c r="AM46" s="89" cm="1">
        <f t="array" ref="AM46">SUMPRODUCT((F46:AH46="SH")*1)</f>
        <v>0</v>
      </c>
      <c r="AN46" s="89" cm="1">
        <f t="array" ref="AN46">SUMPRODUCT((E46:AH46="SL")*1)</f>
        <v>0</v>
      </c>
      <c r="AO46" s="140" t="e">
        <f>#REF!-AI46-AJ46-AK46-AL46-AM46-AN46</f>
        <v>#REF!</v>
      </c>
    </row>
    <row r="47" spans="1:41" ht="18" customHeight="1" thickBot="1">
      <c r="A47" s="1333"/>
      <c r="B47" s="117" t="s">
        <v>57</v>
      </c>
      <c r="C47" s="104" t="s">
        <v>27</v>
      </c>
      <c r="D47" s="105">
        <v>676140</v>
      </c>
      <c r="E47" s="552"/>
      <c r="F47" s="524"/>
      <c r="G47" s="523"/>
      <c r="H47" s="523"/>
      <c r="I47" s="523"/>
      <c r="J47" s="523"/>
      <c r="K47" s="523"/>
      <c r="L47" s="525"/>
      <c r="M47" s="521"/>
      <c r="N47" s="523"/>
      <c r="O47" s="523"/>
      <c r="P47" s="523"/>
      <c r="Q47" s="523"/>
      <c r="R47" s="523"/>
      <c r="S47" s="522"/>
      <c r="T47" s="524"/>
      <c r="U47" s="523"/>
      <c r="V47" s="523"/>
      <c r="W47" s="523"/>
      <c r="X47" s="523"/>
      <c r="Y47" s="523"/>
      <c r="Z47" s="525"/>
      <c r="AA47" s="521"/>
      <c r="AB47" s="523"/>
      <c r="AC47" s="523"/>
      <c r="AD47" s="523"/>
      <c r="AE47" s="523"/>
      <c r="AF47" s="523"/>
      <c r="AG47" s="522"/>
      <c r="AH47" s="553"/>
      <c r="AI47" s="89" cm="1">
        <f t="array" ref="AI47">SUMPRODUCT(($E$40:$AH$40="HR")*(E47:AH47=""))+SUMPRODUCT((E47:AH47="HR")*1)</f>
        <v>5</v>
      </c>
      <c r="AJ47" s="89" cm="1">
        <f t="array" ref="AJ47">SUMPRODUCT(($E$40:$AH$40="N0")*(E47:AH47=""))+SUMPRODUCT((E47:AH47="N")*1)</f>
        <v>19</v>
      </c>
      <c r="AK47" s="88" cm="1">
        <f t="array" ref="AK47">SUMPRODUCT(($E$40:$AH$40="RD")*(E47:AH47=""))+SUMPRODUCT((E47:AH47="RD")*1)</f>
        <v>6</v>
      </c>
      <c r="AL47" s="89" cm="1">
        <f t="array" ref="AL47">SUMPRODUCT((F47:AH47="AL")*1)</f>
        <v>0</v>
      </c>
      <c r="AM47" s="89" cm="1">
        <f t="array" ref="AM47">SUMPRODUCT((F47:AH47="SH")*1)</f>
        <v>0</v>
      </c>
      <c r="AN47" s="89" cm="1">
        <f t="array" ref="AN47">SUMPRODUCT((E47:AH47="SL")*1)</f>
        <v>0</v>
      </c>
      <c r="AO47" s="140" t="e">
        <f>#REF!-AI47-AJ47-AK47-AL47-AM47-AN47</f>
        <v>#REF!</v>
      </c>
    </row>
    <row r="48" spans="1:41" ht="18" customHeight="1" thickTop="1" thickBot="1">
      <c r="A48" s="1320" t="s">
        <v>125</v>
      </c>
      <c r="B48" s="1334" t="s">
        <v>93</v>
      </c>
      <c r="C48" s="1332"/>
      <c r="D48" s="1332"/>
      <c r="E48" s="550" t="s">
        <v>84</v>
      </c>
      <c r="F48" s="470" t="s">
        <v>87</v>
      </c>
      <c r="G48" s="469" t="s">
        <v>87</v>
      </c>
      <c r="H48" s="469" t="s">
        <v>87</v>
      </c>
      <c r="I48" s="469" t="s">
        <v>87</v>
      </c>
      <c r="J48" s="469" t="s">
        <v>87</v>
      </c>
      <c r="K48" s="512" t="s">
        <v>84</v>
      </c>
      <c r="L48" s="493" t="s">
        <v>84</v>
      </c>
      <c r="M48" s="515" t="s">
        <v>87</v>
      </c>
      <c r="N48" s="509" t="s">
        <v>87</v>
      </c>
      <c r="O48" s="509" t="s">
        <v>87</v>
      </c>
      <c r="P48" s="509" t="s">
        <v>87</v>
      </c>
      <c r="Q48" s="509" t="s">
        <v>87</v>
      </c>
      <c r="R48" s="512" t="s">
        <v>84</v>
      </c>
      <c r="S48" s="477" t="s">
        <v>84</v>
      </c>
      <c r="T48" s="508" t="s">
        <v>87</v>
      </c>
      <c r="U48" s="509" t="s">
        <v>87</v>
      </c>
      <c r="V48" s="509" t="s">
        <v>87</v>
      </c>
      <c r="W48" s="509" t="s">
        <v>87</v>
      </c>
      <c r="X48" s="509" t="s">
        <v>87</v>
      </c>
      <c r="Y48" s="512" t="s">
        <v>84</v>
      </c>
      <c r="Z48" s="493" t="s">
        <v>84</v>
      </c>
      <c r="AA48" s="515" t="s">
        <v>87</v>
      </c>
      <c r="AB48" s="509" t="s">
        <v>87</v>
      </c>
      <c r="AC48" s="509" t="s">
        <v>87</v>
      </c>
      <c r="AD48" s="509" t="s">
        <v>87</v>
      </c>
      <c r="AE48" s="509" t="s">
        <v>87</v>
      </c>
      <c r="AF48" s="512" t="s">
        <v>84</v>
      </c>
      <c r="AG48" s="477" t="s">
        <v>84</v>
      </c>
      <c r="AH48" s="474" t="s">
        <v>87</v>
      </c>
    </row>
    <row r="49" spans="1:40" ht="18" customHeight="1" thickBot="1">
      <c r="A49" s="1416"/>
      <c r="B49" s="126" t="s">
        <v>43</v>
      </c>
      <c r="C49" s="122" t="s">
        <v>45</v>
      </c>
      <c r="D49" s="158">
        <v>555851</v>
      </c>
      <c r="E49" s="473"/>
      <c r="F49" s="470"/>
      <c r="G49" s="469"/>
      <c r="H49" s="469"/>
      <c r="I49" s="469"/>
      <c r="J49" s="469"/>
      <c r="K49" s="469"/>
      <c r="L49" s="471"/>
      <c r="M49" s="468"/>
      <c r="N49" s="469"/>
      <c r="O49" s="469"/>
      <c r="P49" s="469"/>
      <c r="Q49" s="469"/>
      <c r="R49" s="469"/>
      <c r="S49" s="467"/>
      <c r="T49" s="470"/>
      <c r="U49" s="469"/>
      <c r="V49" s="469"/>
      <c r="W49" s="469"/>
      <c r="X49" s="469"/>
      <c r="Y49" s="469"/>
      <c r="Z49" s="471"/>
      <c r="AA49" s="468"/>
      <c r="AB49" s="469"/>
      <c r="AC49" s="469"/>
      <c r="AD49" s="469"/>
      <c r="AE49" s="469"/>
      <c r="AF49" s="469"/>
      <c r="AG49" s="467"/>
      <c r="AH49" s="474"/>
    </row>
    <row r="50" spans="1:40" ht="17.5" thickBot="1"/>
    <row r="51" spans="1:40" ht="18" customHeight="1">
      <c r="D51" s="124" t="s">
        <v>123</v>
      </c>
      <c r="F51" s="123" t="s">
        <v>394</v>
      </c>
      <c r="U51" s="124" t="s">
        <v>135</v>
      </c>
      <c r="V51" s="123"/>
      <c r="W51" s="123" t="s">
        <v>400</v>
      </c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</row>
    <row r="52" spans="1:40" ht="18" customHeight="1">
      <c r="E52" s="123"/>
      <c r="F52" s="123"/>
      <c r="G52" s="123"/>
      <c r="H52" s="123"/>
      <c r="I52" s="123"/>
      <c r="J52" s="123"/>
      <c r="K52" s="123"/>
      <c r="L52" s="123"/>
      <c r="M52" s="123"/>
    </row>
    <row r="53" spans="1:40" ht="18" customHeight="1">
      <c r="D53" s="124" t="s">
        <v>137</v>
      </c>
      <c r="F53" s="123" t="s">
        <v>401</v>
      </c>
      <c r="U53" s="124" t="s">
        <v>124</v>
      </c>
      <c r="V53" s="123"/>
      <c r="W53" s="123"/>
      <c r="X53" s="123"/>
      <c r="Y53" s="123"/>
      <c r="Z53" s="123"/>
      <c r="AA53" s="123"/>
      <c r="AB53" s="123"/>
      <c r="AC53" s="123"/>
      <c r="AD53" s="123"/>
    </row>
    <row r="54" spans="1:40" ht="18" customHeight="1">
      <c r="F54" s="123"/>
      <c r="G54" s="209"/>
      <c r="H54" s="209"/>
      <c r="I54" s="209"/>
      <c r="J54" s="209"/>
      <c r="K54" s="209"/>
      <c r="L54" s="209"/>
      <c r="M54" s="209"/>
      <c r="N54" s="209"/>
      <c r="O54" s="209"/>
      <c r="P54" s="209"/>
    </row>
    <row r="55" spans="1:40" ht="18" customHeight="1">
      <c r="D55" s="124" t="s">
        <v>107</v>
      </c>
      <c r="F55" s="123"/>
      <c r="U55" s="124" t="s">
        <v>140</v>
      </c>
      <c r="W55" s="123"/>
      <c r="X55" s="123"/>
      <c r="Y55" s="123"/>
      <c r="Z55" s="123"/>
      <c r="AA55" s="123"/>
      <c r="AB55" s="123"/>
      <c r="AC55" s="123"/>
    </row>
    <row r="56" spans="1:40" ht="18" customHeight="1" thickBot="1">
      <c r="F56" s="123"/>
    </row>
    <row r="57" spans="1:40" ht="18" customHeight="1">
      <c r="D57" s="124" t="s">
        <v>108</v>
      </c>
      <c r="F57" s="123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U57" s="124" t="s">
        <v>103</v>
      </c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</row>
    <row r="58" spans="1:40" ht="18" customHeight="1" thickBot="1">
      <c r="F58" s="123"/>
    </row>
    <row r="59" spans="1:40" ht="18" customHeight="1" thickBot="1">
      <c r="D59" s="124" t="s">
        <v>105</v>
      </c>
      <c r="F59" s="123"/>
      <c r="U59" s="124" t="s">
        <v>145</v>
      </c>
      <c r="W59" s="123"/>
    </row>
    <row r="60" spans="1:40" ht="18" customHeight="1" thickBot="1">
      <c r="F60" s="123"/>
    </row>
    <row r="61" spans="1:40" ht="18" customHeight="1" thickBot="1">
      <c r="A61" s="123"/>
      <c r="B61" s="123"/>
      <c r="C61" s="123"/>
      <c r="D61" s="124" t="s">
        <v>122</v>
      </c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4" t="s">
        <v>115</v>
      </c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</row>
    <row r="62" spans="1:40" ht="18" customHeight="1" thickBot="1">
      <c r="F62" s="123"/>
    </row>
    <row r="63" spans="1:40" ht="18" customHeight="1" thickBot="1">
      <c r="D63" s="124" t="s">
        <v>149</v>
      </c>
      <c r="F63" s="123"/>
    </row>
    <row r="65" spans="4:34" ht="17.5" thickBot="1"/>
    <row r="66" spans="4:34" ht="18" thickTop="1" thickBot="1">
      <c r="D66" s="141" t="s">
        <v>150</v>
      </c>
      <c r="E66" s="62" t="s">
        <v>94</v>
      </c>
      <c r="F66" s="60" t="s">
        <v>94</v>
      </c>
      <c r="G66" s="60" t="s">
        <v>94</v>
      </c>
      <c r="H66" s="60" t="s">
        <v>94</v>
      </c>
      <c r="I66" s="60" t="s">
        <v>94</v>
      </c>
      <c r="J66" s="73" t="s">
        <v>84</v>
      </c>
      <c r="K66" s="61" t="s">
        <v>94</v>
      </c>
      <c r="L66" s="62" t="s">
        <v>94</v>
      </c>
      <c r="M66" s="60" t="s">
        <v>94</v>
      </c>
      <c r="N66" s="60" t="s">
        <v>94</v>
      </c>
      <c r="O66" s="60" t="s">
        <v>94</v>
      </c>
      <c r="P66" s="60" t="s">
        <v>94</v>
      </c>
      <c r="Q66" s="63" t="s">
        <v>84</v>
      </c>
      <c r="R66" s="64" t="s">
        <v>84</v>
      </c>
      <c r="S66" s="129" t="s">
        <v>95</v>
      </c>
      <c r="T66" s="129" t="s">
        <v>95</v>
      </c>
      <c r="U66" s="129" t="s">
        <v>95</v>
      </c>
      <c r="V66" s="129" t="s">
        <v>95</v>
      </c>
      <c r="W66" s="129" t="s">
        <v>95</v>
      </c>
      <c r="X66" s="68" t="s">
        <v>84</v>
      </c>
      <c r="Y66" s="59" t="s">
        <v>84</v>
      </c>
      <c r="Z66" s="62" t="s">
        <v>94</v>
      </c>
      <c r="AA66" s="60" t="s">
        <v>94</v>
      </c>
      <c r="AB66" s="60" t="s">
        <v>94</v>
      </c>
      <c r="AC66" s="60" t="s">
        <v>94</v>
      </c>
      <c r="AD66" s="60" t="s">
        <v>94</v>
      </c>
      <c r="AE66" s="63" t="s">
        <v>84</v>
      </c>
      <c r="AF66" s="60" t="s">
        <v>94</v>
      </c>
      <c r="AG66" s="60" t="s">
        <v>94</v>
      </c>
      <c r="AH66" s="74"/>
    </row>
    <row r="67" spans="4:34" ht="17.5" thickBot="1">
      <c r="D67" s="142" t="s">
        <v>151</v>
      </c>
      <c r="E67" s="311">
        <f>COUNTBLANK(E19:E24)</f>
        <v>6</v>
      </c>
      <c r="F67" s="311">
        <f t="shared" ref="F67:AG67" si="0">COUNTBLANK(F19:F24)</f>
        <v>6</v>
      </c>
      <c r="G67" s="311">
        <f t="shared" si="0"/>
        <v>6</v>
      </c>
      <c r="H67" s="311">
        <f t="shared" si="0"/>
        <v>6</v>
      </c>
      <c r="I67" s="311">
        <f t="shared" si="0"/>
        <v>6</v>
      </c>
      <c r="J67" s="311">
        <f t="shared" si="0"/>
        <v>5</v>
      </c>
      <c r="K67" s="311">
        <f t="shared" si="0"/>
        <v>5</v>
      </c>
      <c r="L67" s="311">
        <f t="shared" si="0"/>
        <v>5</v>
      </c>
      <c r="M67" s="311">
        <f t="shared" si="0"/>
        <v>5</v>
      </c>
      <c r="N67" s="311">
        <f t="shared" si="0"/>
        <v>5</v>
      </c>
      <c r="O67" s="311">
        <f t="shared" si="0"/>
        <v>5</v>
      </c>
      <c r="P67" s="311">
        <f t="shared" si="0"/>
        <v>5</v>
      </c>
      <c r="Q67" s="311">
        <f t="shared" si="0"/>
        <v>5</v>
      </c>
      <c r="R67" s="311">
        <f t="shared" si="0"/>
        <v>5</v>
      </c>
      <c r="S67" s="311">
        <f t="shared" si="0"/>
        <v>5</v>
      </c>
      <c r="T67" s="311">
        <f t="shared" si="0"/>
        <v>5</v>
      </c>
      <c r="U67" s="311">
        <f t="shared" si="0"/>
        <v>5</v>
      </c>
      <c r="V67" s="311">
        <f t="shared" si="0"/>
        <v>5</v>
      </c>
      <c r="W67" s="311">
        <f t="shared" si="0"/>
        <v>5</v>
      </c>
      <c r="X67" s="311">
        <f t="shared" si="0"/>
        <v>5</v>
      </c>
      <c r="Y67" s="311">
        <f t="shared" si="0"/>
        <v>5</v>
      </c>
      <c r="Z67" s="311">
        <f t="shared" si="0"/>
        <v>5</v>
      </c>
      <c r="AA67" s="311">
        <f t="shared" si="0"/>
        <v>5</v>
      </c>
      <c r="AB67" s="311">
        <f t="shared" si="0"/>
        <v>5</v>
      </c>
      <c r="AC67" s="311">
        <f t="shared" si="0"/>
        <v>5</v>
      </c>
      <c r="AD67" s="311">
        <f t="shared" si="0"/>
        <v>6</v>
      </c>
      <c r="AE67" s="311">
        <f t="shared" si="0"/>
        <v>6</v>
      </c>
      <c r="AF67" s="311">
        <f t="shared" si="0"/>
        <v>6</v>
      </c>
      <c r="AG67" s="311">
        <f t="shared" si="0"/>
        <v>6</v>
      </c>
      <c r="AH67" s="311"/>
    </row>
    <row r="68" spans="4:34" ht="18" thickTop="1" thickBot="1">
      <c r="D68" s="143" t="s">
        <v>150</v>
      </c>
      <c r="E68" s="128" t="s">
        <v>94</v>
      </c>
      <c r="F68" s="70" t="s">
        <v>94</v>
      </c>
      <c r="G68" s="70" t="s">
        <v>94</v>
      </c>
      <c r="H68" s="70" t="s">
        <v>94</v>
      </c>
      <c r="I68" s="70" t="s">
        <v>94</v>
      </c>
      <c r="J68" s="71" t="s">
        <v>84</v>
      </c>
      <c r="K68" s="69" t="s">
        <v>94</v>
      </c>
      <c r="L68" s="77" t="s">
        <v>94</v>
      </c>
      <c r="M68" s="70" t="s">
        <v>94</v>
      </c>
      <c r="N68" s="70" t="s">
        <v>94</v>
      </c>
      <c r="O68" s="70" t="s">
        <v>94</v>
      </c>
      <c r="P68" s="70" t="s">
        <v>94</v>
      </c>
      <c r="Q68" s="68" t="s">
        <v>84</v>
      </c>
      <c r="R68" s="69" t="s">
        <v>94</v>
      </c>
      <c r="S68" s="77" t="s">
        <v>94</v>
      </c>
      <c r="T68" s="70" t="s">
        <v>94</v>
      </c>
      <c r="U68" s="70" t="s">
        <v>94</v>
      </c>
      <c r="V68" s="70" t="s">
        <v>94</v>
      </c>
      <c r="W68" s="70" t="s">
        <v>94</v>
      </c>
      <c r="X68" s="76" t="s">
        <v>84</v>
      </c>
      <c r="Y68" s="59" t="s">
        <v>84</v>
      </c>
      <c r="Z68" s="129" t="s">
        <v>95</v>
      </c>
      <c r="AA68" s="129" t="s">
        <v>95</v>
      </c>
      <c r="AB68" s="129" t="s">
        <v>95</v>
      </c>
      <c r="AC68" s="129" t="s">
        <v>95</v>
      </c>
      <c r="AD68" s="129" t="s">
        <v>95</v>
      </c>
      <c r="AE68" s="68" t="s">
        <v>84</v>
      </c>
      <c r="AF68" s="129" t="s">
        <v>95</v>
      </c>
      <c r="AG68" s="129" t="s">
        <v>95</v>
      </c>
      <c r="AH68" s="129"/>
    </row>
    <row r="69" spans="4:34" ht="17.5" thickBot="1">
      <c r="D69" s="142" t="s">
        <v>152</v>
      </c>
      <c r="E69" s="311">
        <f>COUNTBLANK(E26:E32)</f>
        <v>7</v>
      </c>
      <c r="F69" s="311">
        <f t="shared" ref="F69:AG69" si="1">COUNTBLANK(F26:F32)</f>
        <v>7</v>
      </c>
      <c r="G69" s="311">
        <f t="shared" si="1"/>
        <v>7</v>
      </c>
      <c r="H69" s="311">
        <f t="shared" si="1"/>
        <v>7</v>
      </c>
      <c r="I69" s="311">
        <f t="shared" si="1"/>
        <v>7</v>
      </c>
      <c r="J69" s="311">
        <f t="shared" si="1"/>
        <v>7</v>
      </c>
      <c r="K69" s="311">
        <f t="shared" si="1"/>
        <v>7</v>
      </c>
      <c r="L69" s="311">
        <f t="shared" si="1"/>
        <v>7</v>
      </c>
      <c r="M69" s="311">
        <f t="shared" si="1"/>
        <v>7</v>
      </c>
      <c r="N69" s="311">
        <f t="shared" si="1"/>
        <v>7</v>
      </c>
      <c r="O69" s="311">
        <f t="shared" si="1"/>
        <v>7</v>
      </c>
      <c r="P69" s="311">
        <f t="shared" si="1"/>
        <v>7</v>
      </c>
      <c r="Q69" s="311">
        <f t="shared" si="1"/>
        <v>7</v>
      </c>
      <c r="R69" s="311">
        <f t="shared" si="1"/>
        <v>7</v>
      </c>
      <c r="S69" s="311">
        <f t="shared" si="1"/>
        <v>7</v>
      </c>
      <c r="T69" s="311">
        <f t="shared" si="1"/>
        <v>7</v>
      </c>
      <c r="U69" s="311">
        <f t="shared" si="1"/>
        <v>7</v>
      </c>
      <c r="V69" s="311">
        <f t="shared" si="1"/>
        <v>7</v>
      </c>
      <c r="W69" s="311">
        <f t="shared" si="1"/>
        <v>7</v>
      </c>
      <c r="X69" s="311">
        <f t="shared" si="1"/>
        <v>7</v>
      </c>
      <c r="Y69" s="311">
        <f t="shared" si="1"/>
        <v>7</v>
      </c>
      <c r="Z69" s="311">
        <f t="shared" si="1"/>
        <v>7</v>
      </c>
      <c r="AA69" s="311">
        <f t="shared" si="1"/>
        <v>6</v>
      </c>
      <c r="AB69" s="311">
        <f t="shared" si="1"/>
        <v>6</v>
      </c>
      <c r="AC69" s="311">
        <f t="shared" si="1"/>
        <v>6</v>
      </c>
      <c r="AD69" s="311">
        <f t="shared" si="1"/>
        <v>6</v>
      </c>
      <c r="AE69" s="311">
        <f t="shared" si="1"/>
        <v>5</v>
      </c>
      <c r="AF69" s="311">
        <f t="shared" si="1"/>
        <v>7</v>
      </c>
      <c r="AG69" s="311">
        <f t="shared" si="1"/>
        <v>7</v>
      </c>
      <c r="AH69" s="311"/>
    </row>
    <row r="70" spans="4:34" ht="18" thickTop="1" thickBot="1">
      <c r="D70" s="143" t="s">
        <v>150</v>
      </c>
      <c r="E70" s="129" t="s">
        <v>95</v>
      </c>
      <c r="F70" s="129" t="s">
        <v>95</v>
      </c>
      <c r="G70" s="129" t="s">
        <v>95</v>
      </c>
      <c r="H70" s="129" t="s">
        <v>95</v>
      </c>
      <c r="I70" s="129" t="s">
        <v>95</v>
      </c>
      <c r="J70" s="76" t="s">
        <v>84</v>
      </c>
      <c r="K70" s="59" t="s">
        <v>84</v>
      </c>
      <c r="L70" s="128" t="s">
        <v>94</v>
      </c>
      <c r="M70" s="70" t="s">
        <v>94</v>
      </c>
      <c r="N70" s="70" t="s">
        <v>94</v>
      </c>
      <c r="O70" s="70" t="s">
        <v>94</v>
      </c>
      <c r="P70" s="70" t="s">
        <v>94</v>
      </c>
      <c r="Q70" s="71" t="s">
        <v>84</v>
      </c>
      <c r="R70" s="69" t="s">
        <v>94</v>
      </c>
      <c r="S70" s="77" t="s">
        <v>94</v>
      </c>
      <c r="T70" s="70" t="s">
        <v>94</v>
      </c>
      <c r="U70" s="70" t="s">
        <v>94</v>
      </c>
      <c r="V70" s="70" t="s">
        <v>94</v>
      </c>
      <c r="W70" s="70" t="s">
        <v>94</v>
      </c>
      <c r="X70" s="76" t="s">
        <v>84</v>
      </c>
      <c r="Y70" s="69" t="s">
        <v>94</v>
      </c>
      <c r="Z70" s="77" t="s">
        <v>94</v>
      </c>
      <c r="AA70" s="70" t="s">
        <v>94</v>
      </c>
      <c r="AB70" s="70" t="s">
        <v>94</v>
      </c>
      <c r="AC70" s="70" t="s">
        <v>94</v>
      </c>
      <c r="AD70" s="70" t="s">
        <v>94</v>
      </c>
      <c r="AE70" s="76" t="s">
        <v>84</v>
      </c>
      <c r="AF70" s="70" t="s">
        <v>94</v>
      </c>
      <c r="AG70" s="70" t="s">
        <v>94</v>
      </c>
      <c r="AH70" s="77"/>
    </row>
    <row r="71" spans="4:34" ht="17.5" thickBot="1">
      <c r="D71" s="142" t="s">
        <v>117</v>
      </c>
      <c r="E71" s="311">
        <f t="shared" ref="E71:AG71" si="2">COUNTBLANK(E34:E39)</f>
        <v>6</v>
      </c>
      <c r="F71" s="311">
        <f t="shared" si="2"/>
        <v>5</v>
      </c>
      <c r="G71" s="311">
        <f t="shared" si="2"/>
        <v>5</v>
      </c>
      <c r="H71" s="311">
        <f t="shared" si="2"/>
        <v>5</v>
      </c>
      <c r="I71" s="311">
        <f t="shared" si="2"/>
        <v>5</v>
      </c>
      <c r="J71" s="311">
        <f t="shared" si="2"/>
        <v>5</v>
      </c>
      <c r="K71" s="311">
        <f t="shared" si="2"/>
        <v>6</v>
      </c>
      <c r="L71" s="311">
        <f t="shared" si="2"/>
        <v>6</v>
      </c>
      <c r="M71" s="311">
        <f t="shared" si="2"/>
        <v>6</v>
      </c>
      <c r="N71" s="311">
        <f t="shared" si="2"/>
        <v>6</v>
      </c>
      <c r="O71" s="311">
        <f t="shared" si="2"/>
        <v>6</v>
      </c>
      <c r="P71" s="311">
        <f t="shared" si="2"/>
        <v>6</v>
      </c>
      <c r="Q71" s="311">
        <f t="shared" si="2"/>
        <v>6</v>
      </c>
      <c r="R71" s="311">
        <f t="shared" si="2"/>
        <v>6</v>
      </c>
      <c r="S71" s="311">
        <f t="shared" si="2"/>
        <v>6</v>
      </c>
      <c r="T71" s="311">
        <f t="shared" si="2"/>
        <v>6</v>
      </c>
      <c r="U71" s="311">
        <f t="shared" si="2"/>
        <v>6</v>
      </c>
      <c r="V71" s="311">
        <f t="shared" si="2"/>
        <v>6</v>
      </c>
      <c r="W71" s="311">
        <f t="shared" si="2"/>
        <v>6</v>
      </c>
      <c r="X71" s="311">
        <f t="shared" si="2"/>
        <v>6</v>
      </c>
      <c r="Y71" s="311">
        <f t="shared" si="2"/>
        <v>6</v>
      </c>
      <c r="Z71" s="311">
        <f t="shared" si="2"/>
        <v>6</v>
      </c>
      <c r="AA71" s="311">
        <f t="shared" si="2"/>
        <v>6</v>
      </c>
      <c r="AB71" s="311">
        <f t="shared" si="2"/>
        <v>6</v>
      </c>
      <c r="AC71" s="311">
        <f t="shared" si="2"/>
        <v>6</v>
      </c>
      <c r="AD71" s="311">
        <f t="shared" si="2"/>
        <v>6</v>
      </c>
      <c r="AE71" s="311">
        <f t="shared" si="2"/>
        <v>6</v>
      </c>
      <c r="AF71" s="311">
        <f t="shared" si="2"/>
        <v>6</v>
      </c>
      <c r="AG71" s="311">
        <f t="shared" si="2"/>
        <v>6</v>
      </c>
      <c r="AH71" s="311"/>
    </row>
    <row r="72" spans="4:34" ht="18" thickTop="1" thickBot="1">
      <c r="D72" s="144" t="s">
        <v>150</v>
      </c>
      <c r="E72" s="109" t="s">
        <v>94</v>
      </c>
      <c r="F72" s="110" t="s">
        <v>84</v>
      </c>
      <c r="G72" s="59" t="s">
        <v>84</v>
      </c>
      <c r="H72" s="129" t="s">
        <v>95</v>
      </c>
      <c r="I72" s="129" t="s">
        <v>95</v>
      </c>
      <c r="J72" s="129" t="s">
        <v>95</v>
      </c>
      <c r="K72" s="129" t="s">
        <v>95</v>
      </c>
      <c r="L72" s="129" t="s">
        <v>95</v>
      </c>
      <c r="M72" s="76" t="s">
        <v>84</v>
      </c>
      <c r="N72" s="59" t="s">
        <v>84</v>
      </c>
      <c r="O72" s="128" t="s">
        <v>94</v>
      </c>
      <c r="P72" s="70" t="s">
        <v>94</v>
      </c>
      <c r="Q72" s="70" t="s">
        <v>94</v>
      </c>
      <c r="R72" s="70" t="s">
        <v>94</v>
      </c>
      <c r="S72" s="70" t="s">
        <v>94</v>
      </c>
      <c r="T72" s="71" t="s">
        <v>84</v>
      </c>
      <c r="U72" s="69" t="s">
        <v>94</v>
      </c>
      <c r="V72" s="77" t="s">
        <v>94</v>
      </c>
      <c r="W72" s="70" t="s">
        <v>94</v>
      </c>
      <c r="X72" s="70" t="s">
        <v>94</v>
      </c>
      <c r="Y72" s="70" t="s">
        <v>94</v>
      </c>
      <c r="Z72" s="70" t="s">
        <v>94</v>
      </c>
      <c r="AA72" s="76" t="s">
        <v>84</v>
      </c>
      <c r="AB72" s="69" t="s">
        <v>94</v>
      </c>
      <c r="AC72" s="77" t="s">
        <v>94</v>
      </c>
      <c r="AD72" s="70" t="s">
        <v>94</v>
      </c>
      <c r="AE72" s="69" t="s">
        <v>94</v>
      </c>
      <c r="AF72" s="77" t="s">
        <v>94</v>
      </c>
      <c r="AG72" s="70" t="s">
        <v>94</v>
      </c>
      <c r="AH72" s="66"/>
    </row>
    <row r="73" spans="4:34" ht="17.5" thickBot="1">
      <c r="D73" s="142" t="s">
        <v>119</v>
      </c>
      <c r="E73" s="311">
        <f>COUNTBLANK(E41:E47)</f>
        <v>6</v>
      </c>
      <c r="F73" s="311">
        <f t="shared" ref="F73:AG73" si="3">COUNTBLANK(F41:F47)</f>
        <v>6</v>
      </c>
      <c r="G73" s="311">
        <f t="shared" si="3"/>
        <v>6</v>
      </c>
      <c r="H73" s="311">
        <f t="shared" si="3"/>
        <v>6</v>
      </c>
      <c r="I73" s="311">
        <f t="shared" si="3"/>
        <v>7</v>
      </c>
      <c r="J73" s="311">
        <f t="shared" si="3"/>
        <v>7</v>
      </c>
      <c r="K73" s="311">
        <f t="shared" si="3"/>
        <v>7</v>
      </c>
      <c r="L73" s="311">
        <f t="shared" si="3"/>
        <v>7</v>
      </c>
      <c r="M73" s="311">
        <f t="shared" si="3"/>
        <v>4</v>
      </c>
      <c r="N73" s="311">
        <f t="shared" si="3"/>
        <v>4</v>
      </c>
      <c r="O73" s="311">
        <f t="shared" si="3"/>
        <v>5</v>
      </c>
      <c r="P73" s="311">
        <f t="shared" si="3"/>
        <v>5</v>
      </c>
      <c r="Q73" s="311">
        <f t="shared" si="3"/>
        <v>5</v>
      </c>
      <c r="R73" s="311">
        <f t="shared" si="3"/>
        <v>7</v>
      </c>
      <c r="S73" s="311">
        <f t="shared" si="3"/>
        <v>7</v>
      </c>
      <c r="T73" s="311">
        <f t="shared" si="3"/>
        <v>7</v>
      </c>
      <c r="U73" s="311">
        <f t="shared" si="3"/>
        <v>7</v>
      </c>
      <c r="V73" s="311">
        <f t="shared" si="3"/>
        <v>6</v>
      </c>
      <c r="W73" s="311">
        <f t="shared" si="3"/>
        <v>6</v>
      </c>
      <c r="X73" s="311">
        <f t="shared" si="3"/>
        <v>6</v>
      </c>
      <c r="Y73" s="311">
        <f t="shared" si="3"/>
        <v>7</v>
      </c>
      <c r="Z73" s="311">
        <f t="shared" si="3"/>
        <v>6</v>
      </c>
      <c r="AA73" s="311">
        <f t="shared" si="3"/>
        <v>6</v>
      </c>
      <c r="AB73" s="311">
        <f t="shared" si="3"/>
        <v>7</v>
      </c>
      <c r="AC73" s="311">
        <f t="shared" si="3"/>
        <v>7</v>
      </c>
      <c r="AD73" s="311">
        <f t="shared" si="3"/>
        <v>7</v>
      </c>
      <c r="AE73" s="311">
        <f t="shared" si="3"/>
        <v>7</v>
      </c>
      <c r="AF73" s="311">
        <f t="shared" si="3"/>
        <v>7</v>
      </c>
      <c r="AG73" s="311">
        <f t="shared" si="3"/>
        <v>7</v>
      </c>
      <c r="AH73" s="311"/>
    </row>
  </sheetData>
  <mergeCells count="24">
    <mergeCell ref="A48:A49"/>
    <mergeCell ref="B48:D48"/>
    <mergeCell ref="F4:L4"/>
    <mergeCell ref="M4:S4"/>
    <mergeCell ref="T4:Z4"/>
    <mergeCell ref="A25:A32"/>
    <mergeCell ref="B25:D25"/>
    <mergeCell ref="A33:A39"/>
    <mergeCell ref="B33:D33"/>
    <mergeCell ref="A40:A47"/>
    <mergeCell ref="B40:D40"/>
    <mergeCell ref="A14:A15"/>
    <mergeCell ref="B14:D14"/>
    <mergeCell ref="A16:A17"/>
    <mergeCell ref="B16:D16"/>
    <mergeCell ref="A18:A24"/>
    <mergeCell ref="B18:D18"/>
    <mergeCell ref="E2:AH2"/>
    <mergeCell ref="E3:AH3"/>
    <mergeCell ref="A8:A9"/>
    <mergeCell ref="A10:A11"/>
    <mergeCell ref="A12:A13"/>
    <mergeCell ref="B12:D12"/>
    <mergeCell ref="AA4:AG4"/>
  </mergeCells>
  <conditionalFormatting sqref="B8">
    <cfRule type="colorScale" priority="75">
      <colorScale>
        <cfvo type="min"/>
        <cfvo type="max"/>
        <color rgb="FFFF7128"/>
        <color rgb="FFFFEF9C"/>
      </colorScale>
    </cfRule>
  </conditionalFormatting>
  <conditionalFormatting sqref="B9">
    <cfRule type="colorScale" priority="1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stopIfTrue="1" id="{725FEB45-63A8-49C6-9AB4-7DE4D7298C65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5267CB02-0417-4507-BE88-3AC10EDFB5DA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7BC74D61-7CAC-4836-A133-7E5808E170D9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1" stopIfTrue="1" id="{012DCD51-E802-49DD-82C4-9A05506C7AC8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2" stopIfTrue="1" id="{6C596CC8-2D6B-47F6-9A01-5772514A07E7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3" stopIfTrue="1" id="{E5179FB4-4F42-4CDC-8683-28DAD280672A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0" stopIfTrue="1" id="{25066180-B78A-4574-AF9A-D0EACB8218AF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1" stopIfTrue="1" id="{E7F5BEA6-B1A0-4A1C-8AB6-BCCF2D996104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EC9F993E-4CA4-4870-86EB-65798834AFF0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7" stopIfTrue="1" id="{9F7A64D3-D8BF-474B-ADD5-8F3CB3F97709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" stopIfTrue="1" id="{324124B3-7379-4E51-8DFC-8B4ED2D1A2D4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9" stopIfTrue="1" id="{DE0B5646-E76C-42A0-9869-D84C26FEE41C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49" stopIfTrue="1" id="{DD3F5803-3456-45DE-9C2E-C0181397DC45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0" stopIfTrue="1" id="{89876098-AC79-495C-95A4-BD8228157D08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349C687A-6AAB-4F3D-8CE1-6CA8F97DD079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0" stopIfTrue="1" id="{07228FC8-41FD-4B08-9540-DDCC3A8980BF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1" stopIfTrue="1" id="{586E4C9E-F4EC-4C36-8F28-FCCFA938AB5E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9A954ED1-3F4D-4E60-B4A5-0C8C78D4AC35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0" stopIfTrue="1" id="{D911DE44-45DF-4EB8-8A9A-10911F149BAE}">
            <xm:f>'OHLR DUAT'!$F$18&gt;2</xm:f>
            <x14:dxf/>
          </x14:cfRule>
          <x14:cfRule type="expression" priority="21" stopIfTrue="1" id="{1DDF3F23-477C-4E52-B51F-9F23FB106EDF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2" stopIfTrue="1" id="{FDB6C288-DE58-412E-A5D0-2185F979E7F4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" id="{B6E5F4D8-D5CC-449F-8BFD-4EE9CECEBA4C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4" id="{A141EA0E-BD0E-4B86-AEF1-A97CEAE47423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5" id="{D3640822-A7CD-4C39-A646-C78A5446DEC8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77" stopIfTrue="1" id="{2BF98C91-C099-4ECF-A3B2-B43DB7DE7F12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78" stopIfTrue="1" id="{29571726-5632-49A0-BF23-CECD96163B9F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9" stopIfTrue="1" id="{735AF26A-F885-4F43-831C-6CE489C67C5D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37" id="{E5041E3B-853A-43F4-84FF-6F3958106F76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38" id="{3F73F988-80CA-4442-81D2-A58EF5E88BDF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9" id="{76D7760A-8EF9-4813-93BA-4C40B7DE7C6B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4" stopIfTrue="1" id="{C4A0D554-A736-4F19-B622-8A2F245C81A0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F8D85BBF-A56B-4A24-B9EF-0069C2854627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6" id="{DD1EFF69-1723-4EE6-9B11-208538B4C32E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57" id="{34D0173F-3FAB-47B5-A259-A83E60AE0544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id="{7FAB60A5-F68B-4F9E-9AAD-2859582DE0B5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B27:B31</xm:sqref>
        </x14:conditionalFormatting>
        <x14:conditionalFormatting xmlns:xm="http://schemas.microsoft.com/office/excel/2006/main">
          <x14:cfRule type="expression" priority="40" id="{9F204B80-95FB-4ECF-9D7C-80E59DAEF4C8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7EACB58F-9D82-4E8E-9CCB-D40A84023FE7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FF973D66-5974-4607-B5BB-065E6C722F24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B28:B31</xm:sqref>
        </x14:conditionalFormatting>
        <x14:conditionalFormatting xmlns:xm="http://schemas.microsoft.com/office/excel/2006/main">
          <x14:cfRule type="expression" priority="62" stopIfTrue="1" id="{373274D9-9AC7-4A0D-8BE1-10CF85C72EC5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A4C8EFC7-90A3-4016-9E91-4800FCD02581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3C08F794-14A0-4628-A1D5-E809CFCE6A85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3" stopIfTrue="1" id="{1B2292C8-D5B3-4A06-B180-F483CE125D40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6" stopIfTrue="1" id="{223A9AB6-6999-4E59-A175-0EBF6D483D7B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F8BA5405-8C7A-4FD3-8771-9F4B1CEFC8DE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105E664F-E9A8-4540-8512-F633A0D31E2D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3" stopIfTrue="1" id="{DED3A792-F4B4-4D16-A5E5-8CC50CA192E9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4" stopIfTrue="1" id="{F239FEA9-BEEA-4569-BE43-6946B8969EF0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5" stopIfTrue="1" id="{30A4DDEC-CE63-42DF-93F6-8A331AF97B79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4" stopIfTrue="1" id="{69E8CFF9-2CCB-474D-BEE1-260C10AF7CFA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5" stopIfTrue="1" id="{11CC640D-5E94-4786-8BA2-D6D2E5B6E343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17013E3B-3F96-47B8-A5F8-4432FDE70A46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4" id="{B91F04FA-36A6-4248-8050-B3F3446C3B89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5" id="{FEA769CC-57DB-4B54-AA07-099B6BD514D1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225DD2BA-7056-4FDF-B006-75280295F378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59" stopIfTrue="1" id="{C4A0CA23-0649-48B4-ACD7-79F0F044CABF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stopIfTrue="1" id="{35085CFA-42AB-4218-9B79-E6B0D0923FBA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stopIfTrue="1" id="{01FC4020-558E-46FC-A129-AFA4CF8EC26E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68" stopIfTrue="1" id="{8CD48783-ECAF-4A7F-AF6D-AD4B531DD6B1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69" stopIfTrue="1" id="{61CBE1B3-15A8-42B2-8809-C960BFC1B9B0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0" stopIfTrue="1" id="{D11AA7B8-0ACD-4B9C-9BCA-C06A3E25E70B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28" stopIfTrue="1" id="{A6C7DF78-00F7-4EDD-B460-A0BEB55222EB}">
            <xm:f>'OHLR DUAT'!$F$13&gt;=2</xm:f>
            <x14:dxf>
              <font>
                <b val="0"/>
                <i val="0"/>
              </font>
            </x14:dxf>
          </x14:cfRule>
          <x14:cfRule type="expression" priority="29" stopIfTrue="1" id="{A5B28E18-088D-4866-A57D-8A2BE917A764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0" stopIfTrue="1" id="{42CA2901-317A-4CED-B00F-E350340D3CAA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27" stopIfTrue="1" id="{BAAAC8CF-2F65-4B78-A0DC-511112B96F26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2" stopIfTrue="1" id="{7F52ACF1-925C-44D2-9021-37EE96E030C6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4" stopIfTrue="1" id="{C3B31206-1A63-45B8-A786-F031599A3278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5" stopIfTrue="1" id="{F52951BD-F307-4DCE-A3CF-F7A1D3903905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6" stopIfTrue="1" id="{9DD61FCD-69B1-4276-B838-FE34D3DE7AD7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6" stopIfTrue="1" id="{4A325E76-25FB-424F-A7F9-B4186EC4133D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4" id="{BB2957CC-D461-4EB8-ABBC-B3CF8C830C49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5" id="{327D071C-AD15-4D57-B0AE-1AB49D5C1778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6" id="{C1FF736F-DAA9-45F1-A258-67E529D77FEA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41" id="{36DDA487-070B-4B8A-83DD-3620905F5747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3" id="{AB0DEC2E-2710-4318-BDBD-74D55E1FE922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6" id="{A2E1F966-32AF-4257-A48E-E6131DC87A7D}">
            <xm:f>VLOOKUP(#REF!,'OHLR DUAT'!$B$4:$E$15,4,FALSE)</xm:f>
            <x14:dxf/>
          </x14:cfRule>
          <xm:sqref>E8:AH9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475F-B525-4F65-8029-C29AD2677862}">
  <dimension ref="A1:AQ73"/>
  <sheetViews>
    <sheetView zoomScale="85" zoomScaleNormal="85" workbookViewId="0">
      <pane xSplit="4" ySplit="7" topLeftCell="E20" activePane="bottomRight" state="frozen"/>
      <selection pane="topRight"/>
      <selection pane="bottomLeft"/>
      <selection pane="bottomRight" activeCell="B30" sqref="B30:D30"/>
    </sheetView>
  </sheetViews>
  <sheetFormatPr defaultRowHeight="15" customHeight="1"/>
  <cols>
    <col min="1" max="1" width="10.6328125" customWidth="1"/>
    <col min="2" max="2" width="23.26953125" style="49" bestFit="1" customWidth="1"/>
    <col min="3" max="4" width="10.6328125" customWidth="1"/>
    <col min="5" max="35" width="6.6328125" customWidth="1"/>
  </cols>
  <sheetData>
    <row r="1" spans="1:43" ht="17">
      <c r="A1" s="14"/>
      <c r="B1" s="42"/>
      <c r="C1" s="15"/>
      <c r="D1" s="1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43" ht="20">
      <c r="A2" s="14"/>
      <c r="B2" s="42"/>
      <c r="C2" s="15"/>
      <c r="D2" s="15"/>
      <c r="E2" s="1300" t="s">
        <v>60</v>
      </c>
      <c r="F2" s="1300"/>
      <c r="G2" s="1300"/>
      <c r="H2" s="1300"/>
      <c r="I2" s="1300"/>
      <c r="J2" s="1300"/>
      <c r="K2" s="1300"/>
      <c r="L2" s="1300"/>
      <c r="M2" s="1300"/>
      <c r="N2" s="1300"/>
      <c r="O2" s="1300"/>
      <c r="P2" s="1300"/>
      <c r="Q2" s="1300"/>
      <c r="R2" s="1300"/>
      <c r="S2" s="1300"/>
      <c r="T2" s="1300"/>
      <c r="U2" s="1300"/>
      <c r="V2" s="1300"/>
      <c r="W2" s="1300"/>
      <c r="X2" s="1300"/>
      <c r="Y2" s="1300"/>
      <c r="Z2" s="1300"/>
      <c r="AA2" s="1300"/>
      <c r="AB2" s="1300"/>
      <c r="AC2" s="1300"/>
      <c r="AD2" s="1300"/>
      <c r="AE2" s="1300"/>
      <c r="AF2" s="1300"/>
      <c r="AG2" s="1300"/>
      <c r="AH2" s="1300"/>
      <c r="AI2" s="448"/>
    </row>
    <row r="3" spans="1:43" ht="18" customHeight="1">
      <c r="A3" s="19"/>
      <c r="B3" s="43"/>
      <c r="C3" s="19"/>
      <c r="D3" s="19"/>
      <c r="E3" s="1384" t="s">
        <v>402</v>
      </c>
      <c r="F3" s="1301"/>
      <c r="G3" s="1301"/>
      <c r="H3" s="1301"/>
      <c r="I3" s="1301"/>
      <c r="J3" s="1301"/>
      <c r="K3" s="1301"/>
      <c r="L3" s="1301"/>
      <c r="M3" s="1301"/>
      <c r="N3" s="1301"/>
      <c r="O3" s="1301"/>
      <c r="P3" s="1301"/>
      <c r="Q3" s="1301"/>
      <c r="R3" s="1301"/>
      <c r="S3" s="1301"/>
      <c r="T3" s="1301"/>
      <c r="U3" s="1301"/>
      <c r="V3" s="1301"/>
      <c r="W3" s="1301"/>
      <c r="X3" s="1301"/>
      <c r="Y3" s="1301"/>
      <c r="Z3" s="1301"/>
      <c r="AA3" s="1301"/>
      <c r="AB3" s="1301"/>
      <c r="AC3" s="1301"/>
      <c r="AD3" s="1301"/>
      <c r="AE3" s="1301"/>
      <c r="AF3" s="1301"/>
      <c r="AG3" s="1301"/>
      <c r="AH3" s="1301"/>
      <c r="AI3" s="1054"/>
    </row>
    <row r="4" spans="1:43" s="31" customFormat="1" ht="18" customHeight="1">
      <c r="A4" s="19"/>
      <c r="B4" s="43"/>
      <c r="C4" s="19"/>
      <c r="D4" s="19"/>
      <c r="E4" s="1413" t="s">
        <v>403</v>
      </c>
      <c r="F4" s="1414"/>
      <c r="G4" s="1414"/>
      <c r="H4" s="1414"/>
      <c r="I4" s="1414"/>
      <c r="J4" s="1415"/>
      <c r="K4" s="1425" t="s">
        <v>404</v>
      </c>
      <c r="L4" s="1414"/>
      <c r="M4" s="1414"/>
      <c r="N4" s="1414"/>
      <c r="O4" s="1414"/>
      <c r="P4" s="1414"/>
      <c r="Q4" s="1426"/>
      <c r="R4" s="1413" t="s">
        <v>405</v>
      </c>
      <c r="S4" s="1414"/>
      <c r="T4" s="1414"/>
      <c r="U4" s="1414"/>
      <c r="V4" s="1414"/>
      <c r="W4" s="1414"/>
      <c r="X4" s="1415"/>
      <c r="Y4" s="1425" t="s">
        <v>406</v>
      </c>
      <c r="Z4" s="1414"/>
      <c r="AA4" s="1414"/>
      <c r="AB4" s="1414"/>
      <c r="AC4" s="1414"/>
      <c r="AD4" s="1414"/>
      <c r="AE4" s="1426"/>
      <c r="AF4" s="1413" t="s">
        <v>62</v>
      </c>
      <c r="AG4" s="1414"/>
      <c r="AH4" s="1426"/>
      <c r="AI4" s="1055"/>
    </row>
    <row r="5" spans="1:43" s="31" customFormat="1" ht="18" customHeight="1">
      <c r="A5" s="14"/>
      <c r="B5" s="42"/>
      <c r="C5" s="15"/>
      <c r="D5" s="15"/>
      <c r="E5" s="428">
        <v>46357</v>
      </c>
      <c r="F5" s="418">
        <v>46358</v>
      </c>
      <c r="G5" s="418">
        <v>46359</v>
      </c>
      <c r="H5" s="418">
        <v>46360</v>
      </c>
      <c r="I5" s="418">
        <v>46361</v>
      </c>
      <c r="J5" s="429">
        <v>46362</v>
      </c>
      <c r="K5" s="426">
        <v>46363</v>
      </c>
      <c r="L5" s="418">
        <v>46364</v>
      </c>
      <c r="M5" s="418">
        <v>46365</v>
      </c>
      <c r="N5" s="418">
        <v>46366</v>
      </c>
      <c r="O5" s="418">
        <v>46367</v>
      </c>
      <c r="P5" s="418">
        <v>46368</v>
      </c>
      <c r="Q5" s="432">
        <v>46369</v>
      </c>
      <c r="R5" s="428">
        <v>46370</v>
      </c>
      <c r="S5" s="418">
        <v>46371</v>
      </c>
      <c r="T5" s="418">
        <v>46372</v>
      </c>
      <c r="U5" s="418">
        <v>46373</v>
      </c>
      <c r="V5" s="418">
        <v>46374</v>
      </c>
      <c r="W5" s="418">
        <v>46375</v>
      </c>
      <c r="X5" s="429">
        <v>46376</v>
      </c>
      <c r="Y5" s="426">
        <v>46377</v>
      </c>
      <c r="Z5" s="418">
        <v>46378</v>
      </c>
      <c r="AA5" s="418">
        <v>46379</v>
      </c>
      <c r="AB5" s="418">
        <v>46380</v>
      </c>
      <c r="AC5" s="418">
        <v>46381</v>
      </c>
      <c r="AD5" s="418">
        <v>46382</v>
      </c>
      <c r="AE5" s="432">
        <v>46383</v>
      </c>
      <c r="AF5" s="428">
        <v>46384</v>
      </c>
      <c r="AG5" s="418">
        <v>46385</v>
      </c>
      <c r="AH5" s="432">
        <v>46386</v>
      </c>
      <c r="AI5" s="1056">
        <v>31</v>
      </c>
    </row>
    <row r="6" spans="1:43" s="31" customFormat="1" ht="18" customHeight="1">
      <c r="A6" s="19"/>
      <c r="B6" s="43"/>
      <c r="C6" s="19"/>
      <c r="D6" s="19"/>
      <c r="E6" s="424" t="s">
        <v>72</v>
      </c>
      <c r="F6" s="419" t="s">
        <v>73</v>
      </c>
      <c r="G6" s="419" t="s">
        <v>67</v>
      </c>
      <c r="H6" s="419" t="s">
        <v>68</v>
      </c>
      <c r="I6" s="419" t="s">
        <v>69</v>
      </c>
      <c r="J6" s="425" t="s">
        <v>70</v>
      </c>
      <c r="K6" s="427" t="s">
        <v>71</v>
      </c>
      <c r="L6" s="419" t="s">
        <v>72</v>
      </c>
      <c r="M6" s="419" t="s">
        <v>73</v>
      </c>
      <c r="N6" s="419" t="s">
        <v>67</v>
      </c>
      <c r="O6" s="419" t="s">
        <v>68</v>
      </c>
      <c r="P6" s="419" t="s">
        <v>69</v>
      </c>
      <c r="Q6" s="433" t="s">
        <v>70</v>
      </c>
      <c r="R6" s="424" t="s">
        <v>71</v>
      </c>
      <c r="S6" s="419" t="s">
        <v>72</v>
      </c>
      <c r="T6" s="419" t="s">
        <v>73</v>
      </c>
      <c r="U6" s="419" t="s">
        <v>67</v>
      </c>
      <c r="V6" s="420" t="s">
        <v>68</v>
      </c>
      <c r="W6" s="419" t="s">
        <v>69</v>
      </c>
      <c r="X6" s="425" t="s">
        <v>70</v>
      </c>
      <c r="Y6" s="427" t="s">
        <v>71</v>
      </c>
      <c r="Z6" s="419" t="s">
        <v>72</v>
      </c>
      <c r="AA6" s="419" t="s">
        <v>73</v>
      </c>
      <c r="AB6" s="419" t="s">
        <v>67</v>
      </c>
      <c r="AC6" s="419" t="s">
        <v>68</v>
      </c>
      <c r="AD6" s="419" t="s">
        <v>69</v>
      </c>
      <c r="AE6" s="433" t="s">
        <v>70</v>
      </c>
      <c r="AF6" s="424" t="s">
        <v>71</v>
      </c>
      <c r="AG6" s="419" t="s">
        <v>72</v>
      </c>
      <c r="AH6" s="1051" t="s">
        <v>73</v>
      </c>
      <c r="AI6" s="1057" t="s">
        <v>67</v>
      </c>
    </row>
    <row r="7" spans="1:43" ht="18" customHeight="1">
      <c r="A7" s="24" t="s">
        <v>74</v>
      </c>
      <c r="B7" s="113" t="s">
        <v>75</v>
      </c>
      <c r="C7" s="25" t="s">
        <v>76</v>
      </c>
      <c r="D7" s="26" t="s">
        <v>77</v>
      </c>
      <c r="E7" s="437"/>
      <c r="F7" s="438"/>
      <c r="G7" s="438"/>
      <c r="H7" s="438"/>
      <c r="I7" s="438"/>
      <c r="J7" s="439"/>
      <c r="K7" s="440"/>
      <c r="L7" s="438"/>
      <c r="M7" s="438"/>
      <c r="N7" s="438"/>
      <c r="O7" s="438"/>
      <c r="P7" s="438"/>
      <c r="Q7" s="442"/>
      <c r="R7" s="437"/>
      <c r="S7" s="438"/>
      <c r="T7" s="438"/>
      <c r="U7" s="438"/>
      <c r="V7" s="438"/>
      <c r="W7" s="438"/>
      <c r="X7" s="439"/>
      <c r="Y7" s="440"/>
      <c r="Z7" s="438"/>
      <c r="AA7" s="438"/>
      <c r="AB7" s="438"/>
      <c r="AC7" s="438"/>
      <c r="AD7" s="438"/>
      <c r="AE7" s="442"/>
      <c r="AF7" s="437"/>
      <c r="AG7" s="438"/>
      <c r="AH7" s="442"/>
      <c r="AI7" s="1073"/>
    </row>
    <row r="8" spans="1:43" ht="18" customHeight="1">
      <c r="A8" s="1346" t="s">
        <v>78</v>
      </c>
      <c r="B8" s="44" t="s">
        <v>79</v>
      </c>
      <c r="C8" s="17" t="s">
        <v>80</v>
      </c>
      <c r="D8" s="21">
        <v>300179</v>
      </c>
      <c r="E8" s="441"/>
      <c r="F8" s="431"/>
      <c r="G8" s="431"/>
      <c r="H8" s="431"/>
      <c r="I8" s="431"/>
      <c r="J8" s="436"/>
      <c r="K8" s="435"/>
      <c r="L8" s="431"/>
      <c r="M8" s="431"/>
      <c r="N8" s="431"/>
      <c r="O8" s="431"/>
      <c r="P8" s="431"/>
      <c r="Q8" s="443"/>
      <c r="R8" s="441"/>
      <c r="S8" s="431"/>
      <c r="T8" s="431"/>
      <c r="U8" s="431"/>
      <c r="V8" s="431"/>
      <c r="W8" s="431"/>
      <c r="X8" s="436"/>
      <c r="Y8" s="435"/>
      <c r="Z8" s="431"/>
      <c r="AA8" s="431"/>
      <c r="AB8" s="431"/>
      <c r="AC8" s="431"/>
      <c r="AD8" s="431"/>
      <c r="AE8" s="443"/>
      <c r="AF8" s="441"/>
      <c r="AG8" s="431"/>
      <c r="AH8" s="443"/>
      <c r="AI8" s="1059"/>
    </row>
    <row r="9" spans="1:43" ht="18" customHeight="1">
      <c r="A9" s="1347"/>
      <c r="B9" s="115" t="s">
        <v>82</v>
      </c>
      <c r="C9" s="20" t="s">
        <v>80</v>
      </c>
      <c r="D9" s="156">
        <v>668695</v>
      </c>
      <c r="E9" s="516"/>
      <c r="F9" s="518"/>
      <c r="G9" s="518"/>
      <c r="H9" s="518"/>
      <c r="I9" s="518"/>
      <c r="J9" s="517"/>
      <c r="K9" s="519"/>
      <c r="L9" s="518"/>
      <c r="M9" s="518"/>
      <c r="N9" s="518"/>
      <c r="O9" s="518"/>
      <c r="P9" s="518"/>
      <c r="Q9" s="520"/>
      <c r="R9" s="516"/>
      <c r="S9" s="518"/>
      <c r="T9" s="518"/>
      <c r="U9" s="518"/>
      <c r="V9" s="518"/>
      <c r="W9" s="518"/>
      <c r="X9" s="517"/>
      <c r="Y9" s="519"/>
      <c r="Z9" s="518"/>
      <c r="AA9" s="518"/>
      <c r="AB9" s="518"/>
      <c r="AC9" s="518"/>
      <c r="AD9" s="518"/>
      <c r="AE9" s="520"/>
      <c r="AF9" s="516"/>
      <c r="AG9" s="518"/>
      <c r="AH9" s="520"/>
      <c r="AI9" s="1062"/>
    </row>
    <row r="10" spans="1:43" ht="18" customHeight="1">
      <c r="A10" s="1331" t="s">
        <v>85</v>
      </c>
      <c r="B10" s="90" t="s">
        <v>86</v>
      </c>
      <c r="C10" s="17" t="s">
        <v>13</v>
      </c>
      <c r="D10" s="21">
        <v>231061</v>
      </c>
      <c r="E10" s="527" t="s">
        <v>38</v>
      </c>
      <c r="F10" s="528" t="s">
        <v>38</v>
      </c>
      <c r="G10" s="528" t="s">
        <v>38</v>
      </c>
      <c r="H10" s="528" t="s">
        <v>38</v>
      </c>
      <c r="I10" s="529" t="s">
        <v>84</v>
      </c>
      <c r="J10" s="531" t="s">
        <v>84</v>
      </c>
      <c r="K10" s="532" t="s">
        <v>87</v>
      </c>
      <c r="L10" s="528" t="s">
        <v>87</v>
      </c>
      <c r="M10" s="528" t="s">
        <v>87</v>
      </c>
      <c r="N10" s="528" t="s">
        <v>87</v>
      </c>
      <c r="O10" s="528" t="s">
        <v>87</v>
      </c>
      <c r="P10" s="529" t="s">
        <v>84</v>
      </c>
      <c r="Q10" s="533" t="s">
        <v>84</v>
      </c>
      <c r="R10" s="527" t="s">
        <v>87</v>
      </c>
      <c r="S10" s="528" t="s">
        <v>87</v>
      </c>
      <c r="T10" s="528" t="s">
        <v>87</v>
      </c>
      <c r="U10" s="528" t="s">
        <v>87</v>
      </c>
      <c r="V10" s="528" t="s">
        <v>87</v>
      </c>
      <c r="W10" s="529" t="s">
        <v>84</v>
      </c>
      <c r="X10" s="534" t="s">
        <v>38</v>
      </c>
      <c r="Y10" s="532" t="s">
        <v>38</v>
      </c>
      <c r="Z10" s="528" t="s">
        <v>38</v>
      </c>
      <c r="AA10" s="528" t="s">
        <v>38</v>
      </c>
      <c r="AB10" s="528" t="s">
        <v>38</v>
      </c>
      <c r="AC10" s="528" t="s">
        <v>38</v>
      </c>
      <c r="AD10" s="529" t="s">
        <v>84</v>
      </c>
      <c r="AE10" s="530" t="s">
        <v>38</v>
      </c>
      <c r="AF10" s="527" t="s">
        <v>38</v>
      </c>
      <c r="AG10" s="528" t="s">
        <v>38</v>
      </c>
      <c r="AH10" s="530" t="s">
        <v>38</v>
      </c>
      <c r="AI10" s="1068" t="s">
        <v>38</v>
      </c>
    </row>
    <row r="11" spans="1:43" ht="18" customHeight="1">
      <c r="A11" s="1331"/>
      <c r="B11" s="86" t="s">
        <v>24</v>
      </c>
      <c r="C11" s="18" t="s">
        <v>13</v>
      </c>
      <c r="D11" s="261" t="s">
        <v>89</v>
      </c>
      <c r="E11" s="485" t="s">
        <v>87</v>
      </c>
      <c r="F11" s="486" t="s">
        <v>87</v>
      </c>
      <c r="G11" s="486" t="s">
        <v>87</v>
      </c>
      <c r="H11" s="486" t="s">
        <v>87</v>
      </c>
      <c r="I11" s="489" t="s">
        <v>84</v>
      </c>
      <c r="J11" s="484" t="s">
        <v>84</v>
      </c>
      <c r="K11" s="488" t="s">
        <v>87</v>
      </c>
      <c r="L11" s="486" t="s">
        <v>87</v>
      </c>
      <c r="M11" s="486" t="s">
        <v>87</v>
      </c>
      <c r="N11" s="486" t="s">
        <v>87</v>
      </c>
      <c r="O11" s="487" t="s">
        <v>87</v>
      </c>
      <c r="P11" s="486" t="s">
        <v>90</v>
      </c>
      <c r="Q11" s="490" t="s">
        <v>84</v>
      </c>
      <c r="R11" s="485" t="s">
        <v>87</v>
      </c>
      <c r="S11" s="486" t="s">
        <v>87</v>
      </c>
      <c r="T11" s="486" t="s">
        <v>87</v>
      </c>
      <c r="U11" s="486" t="s">
        <v>87</v>
      </c>
      <c r="V11" s="487" t="s">
        <v>87</v>
      </c>
      <c r="W11" s="489" t="s">
        <v>84</v>
      </c>
      <c r="X11" s="484" t="s">
        <v>84</v>
      </c>
      <c r="Y11" s="488" t="s">
        <v>87</v>
      </c>
      <c r="Z11" s="486" t="s">
        <v>87</v>
      </c>
      <c r="AA11" s="486" t="s">
        <v>87</v>
      </c>
      <c r="AB11" s="486" t="s">
        <v>87</v>
      </c>
      <c r="AC11" s="487" t="s">
        <v>87</v>
      </c>
      <c r="AD11" s="486" t="s">
        <v>90</v>
      </c>
      <c r="AE11" s="490" t="s">
        <v>84</v>
      </c>
      <c r="AF11" s="485" t="s">
        <v>87</v>
      </c>
      <c r="AG11" s="486" t="s">
        <v>87</v>
      </c>
      <c r="AH11" s="1052" t="s">
        <v>87</v>
      </c>
      <c r="AI11" s="1067" t="s">
        <v>87</v>
      </c>
    </row>
    <row r="12" spans="1:43" ht="18" customHeight="1">
      <c r="A12" s="1316" t="s">
        <v>92</v>
      </c>
      <c r="B12" s="1334" t="s">
        <v>93</v>
      </c>
      <c r="C12" s="1332"/>
      <c r="D12" s="1330"/>
      <c r="E12" s="476" t="s">
        <v>94</v>
      </c>
      <c r="F12" s="478" t="s">
        <v>94</v>
      </c>
      <c r="G12" s="478" t="s">
        <v>94</v>
      </c>
      <c r="H12" s="478" t="s">
        <v>94</v>
      </c>
      <c r="I12" s="479" t="s">
        <v>84</v>
      </c>
      <c r="J12" s="492" t="s">
        <v>94</v>
      </c>
      <c r="K12" s="481" t="s">
        <v>94</v>
      </c>
      <c r="L12" s="478" t="s">
        <v>94</v>
      </c>
      <c r="M12" s="478" t="s">
        <v>94</v>
      </c>
      <c r="N12" s="478" t="s">
        <v>94</v>
      </c>
      <c r="O12" s="478" t="s">
        <v>94</v>
      </c>
      <c r="P12" s="479" t="s">
        <v>84</v>
      </c>
      <c r="Q12" s="499" t="s">
        <v>84</v>
      </c>
      <c r="R12" s="476" t="s">
        <v>95</v>
      </c>
      <c r="S12" s="478" t="s">
        <v>95</v>
      </c>
      <c r="T12" s="478" t="s">
        <v>95</v>
      </c>
      <c r="U12" s="478" t="s">
        <v>95</v>
      </c>
      <c r="V12" s="478" t="s">
        <v>95</v>
      </c>
      <c r="W12" s="478" t="s">
        <v>95</v>
      </c>
      <c r="X12" s="477" t="s">
        <v>84</v>
      </c>
      <c r="Y12" s="481" t="s">
        <v>95</v>
      </c>
      <c r="Z12" s="478" t="s">
        <v>95</v>
      </c>
      <c r="AA12" s="478" t="s">
        <v>95</v>
      </c>
      <c r="AB12" s="478" t="s">
        <v>95</v>
      </c>
      <c r="AC12" s="478" t="s">
        <v>95</v>
      </c>
      <c r="AD12" s="479" t="s">
        <v>84</v>
      </c>
      <c r="AE12" s="499" t="s">
        <v>84</v>
      </c>
      <c r="AF12" s="476" t="s">
        <v>94</v>
      </c>
      <c r="AG12" s="478" t="s">
        <v>94</v>
      </c>
      <c r="AH12" s="482" t="s">
        <v>94</v>
      </c>
      <c r="AI12" s="1071" t="s">
        <v>94</v>
      </c>
      <c r="AJ12" s="137" t="s">
        <v>95</v>
      </c>
      <c r="AK12" s="137"/>
      <c r="AL12" s="137" t="s">
        <v>38</v>
      </c>
      <c r="AM12" s="138" t="s">
        <v>84</v>
      </c>
      <c r="AN12" s="137" t="s">
        <v>81</v>
      </c>
      <c r="AO12" s="137" t="s">
        <v>88</v>
      </c>
      <c r="AP12" s="137" t="s">
        <v>96</v>
      </c>
      <c r="AQ12" s="139" t="s">
        <v>97</v>
      </c>
    </row>
    <row r="13" spans="1:43" ht="18" customHeight="1">
      <c r="A13" s="1333"/>
      <c r="B13" s="116" t="s">
        <v>22</v>
      </c>
      <c r="C13" s="53" t="s">
        <v>16</v>
      </c>
      <c r="D13" s="23">
        <v>517968</v>
      </c>
      <c r="E13" s="494"/>
      <c r="F13" s="496"/>
      <c r="G13" s="496"/>
      <c r="H13" s="496"/>
      <c r="I13" s="496"/>
      <c r="J13" s="495"/>
      <c r="K13" s="497"/>
      <c r="L13" s="496"/>
      <c r="M13" s="496"/>
      <c r="N13" s="496"/>
      <c r="O13" s="496"/>
      <c r="P13" s="496"/>
      <c r="Q13" s="498"/>
      <c r="R13" s="494"/>
      <c r="S13" s="496"/>
      <c r="T13" s="496"/>
      <c r="U13" s="496"/>
      <c r="V13" s="496"/>
      <c r="W13" s="496"/>
      <c r="X13" s="495"/>
      <c r="Y13" s="497"/>
      <c r="Z13" s="496"/>
      <c r="AA13" s="496"/>
      <c r="AB13" s="496"/>
      <c r="AC13" s="496"/>
      <c r="AD13" s="496"/>
      <c r="AE13" s="498"/>
      <c r="AF13" s="494"/>
      <c r="AG13" s="496"/>
      <c r="AH13" s="498"/>
      <c r="AI13" s="1072"/>
      <c r="AJ13" s="89" cm="1">
        <f t="array" ref="AJ13">SUMPRODUCT(($E$12:$AH$12="HR")*($E$13:$AH$13=""))+SUMPRODUCT(($E$13:$AH$13="HR")*1)</f>
        <v>11</v>
      </c>
      <c r="AK13" s="89"/>
      <c r="AL13" s="89" cm="1">
        <f t="array" ref="AL13">SUMPRODUCT(($E$12:$AH$12="N0")*($E$13:$AH$13=""))+SUMPRODUCT(($E$13:$AH$13="N")*1)</f>
        <v>13</v>
      </c>
      <c r="AM13" s="89" cm="1">
        <f t="array" ref="AM13">SUMPRODUCT(($E$12:$AH$12="RD")*($E$13:$AH$13=""))+SUMPRODUCT(($E$13:$AH$13="RD")*1)</f>
        <v>6</v>
      </c>
      <c r="AN13" s="89" cm="1">
        <f t="array" ref="AN13">SUMPRODUCT(($E$13:$AH$13="AL")*1)</f>
        <v>0</v>
      </c>
      <c r="AO13" s="89" cm="1">
        <f t="array" ref="AO13">SUMPRODUCT(($E$13:$AH$13="SH")*1)</f>
        <v>0</v>
      </c>
      <c r="AP13" s="89" cm="1">
        <f t="array" ref="AP13">SUMPRODUCT(($E$13:$AH$13="SL")*1)</f>
        <v>0</v>
      </c>
      <c r="AQ13" s="140" t="e">
        <f>#REF!-AJ13-AL13-AM13-AN13-AO13-AP13</f>
        <v>#REF!</v>
      </c>
    </row>
    <row r="14" spans="1:43" ht="18" customHeight="1">
      <c r="A14" s="1316" t="s">
        <v>98</v>
      </c>
      <c r="B14" s="1330" t="s">
        <v>93</v>
      </c>
      <c r="C14" s="1330"/>
      <c r="D14" s="1330"/>
      <c r="E14" s="476" t="s">
        <v>95</v>
      </c>
      <c r="F14" s="478" t="s">
        <v>95</v>
      </c>
      <c r="G14" s="478" t="s">
        <v>95</v>
      </c>
      <c r="H14" s="478" t="s">
        <v>95</v>
      </c>
      <c r="I14" s="478" t="s">
        <v>95</v>
      </c>
      <c r="J14" s="477" t="s">
        <v>84</v>
      </c>
      <c r="K14" s="481" t="s">
        <v>95</v>
      </c>
      <c r="L14" s="478" t="s">
        <v>95</v>
      </c>
      <c r="M14" s="478" t="s">
        <v>95</v>
      </c>
      <c r="N14" s="478" t="s">
        <v>95</v>
      </c>
      <c r="O14" s="478" t="s">
        <v>95</v>
      </c>
      <c r="P14" s="479" t="s">
        <v>84</v>
      </c>
      <c r="Q14" s="499" t="s">
        <v>84</v>
      </c>
      <c r="R14" s="476" t="s">
        <v>94</v>
      </c>
      <c r="S14" s="478" t="s">
        <v>94</v>
      </c>
      <c r="T14" s="478" t="s">
        <v>94</v>
      </c>
      <c r="U14" s="478" t="s">
        <v>94</v>
      </c>
      <c r="V14" s="478" t="s">
        <v>94</v>
      </c>
      <c r="W14" s="479" t="s">
        <v>84</v>
      </c>
      <c r="X14" s="492" t="s">
        <v>94</v>
      </c>
      <c r="Y14" s="481" t="s">
        <v>94</v>
      </c>
      <c r="Z14" s="478" t="s">
        <v>94</v>
      </c>
      <c r="AA14" s="478" t="s">
        <v>94</v>
      </c>
      <c r="AB14" s="478" t="s">
        <v>94</v>
      </c>
      <c r="AC14" s="478" t="s">
        <v>94</v>
      </c>
      <c r="AD14" s="479" t="s">
        <v>84</v>
      </c>
      <c r="AE14" s="499" t="s">
        <v>84</v>
      </c>
      <c r="AF14" s="476" t="s">
        <v>95</v>
      </c>
      <c r="AG14" s="478" t="s">
        <v>95</v>
      </c>
      <c r="AH14" s="482" t="s">
        <v>95</v>
      </c>
      <c r="AI14" s="1069" t="s">
        <v>95</v>
      </c>
      <c r="AJ14" s="137" t="s">
        <v>95</v>
      </c>
      <c r="AK14" s="137"/>
      <c r="AL14" s="137" t="s">
        <v>38</v>
      </c>
      <c r="AM14" s="138" t="s">
        <v>84</v>
      </c>
      <c r="AN14" s="137" t="s">
        <v>81</v>
      </c>
      <c r="AO14" s="137" t="s">
        <v>88</v>
      </c>
      <c r="AP14" s="137" t="s">
        <v>96</v>
      </c>
      <c r="AQ14" s="139" t="s">
        <v>97</v>
      </c>
    </row>
    <row r="15" spans="1:43" ht="18" customHeight="1">
      <c r="A15" s="1333"/>
      <c r="B15" s="55" t="s">
        <v>46</v>
      </c>
      <c r="C15" s="53" t="s">
        <v>16</v>
      </c>
      <c r="D15" s="54">
        <v>673706</v>
      </c>
      <c r="E15" s="1230" t="s">
        <v>88</v>
      </c>
      <c r="F15" s="1230" t="s">
        <v>88</v>
      </c>
      <c r="G15" s="1230" t="s">
        <v>88</v>
      </c>
      <c r="H15" s="1259" t="s">
        <v>81</v>
      </c>
      <c r="I15" s="1259" t="s">
        <v>81</v>
      </c>
      <c r="J15" s="495"/>
      <c r="K15" s="1258" t="s">
        <v>81</v>
      </c>
      <c r="L15" s="1259" t="s">
        <v>81</v>
      </c>
      <c r="M15" s="1259" t="s">
        <v>81</v>
      </c>
      <c r="N15" s="1259" t="s">
        <v>81</v>
      </c>
      <c r="O15" s="1259" t="s">
        <v>81</v>
      </c>
      <c r="P15" s="496"/>
      <c r="Q15" s="498"/>
      <c r="R15" s="500"/>
      <c r="S15" s="502"/>
      <c r="T15" s="502"/>
      <c r="U15" s="502"/>
      <c r="V15" s="502"/>
      <c r="W15" s="502"/>
      <c r="X15" s="501"/>
      <c r="Y15" s="503"/>
      <c r="Z15" s="502"/>
      <c r="AA15" s="535"/>
      <c r="AB15" s="502"/>
      <c r="AC15" s="502"/>
      <c r="AD15" s="502"/>
      <c r="AE15" s="504"/>
      <c r="AF15" s="500"/>
      <c r="AG15" s="502"/>
      <c r="AH15" s="504"/>
      <c r="AI15" s="1070"/>
      <c r="AJ15" s="211" cm="1">
        <f t="array" ref="AJ15">SUMPRODUCT(($E$14:$AH$14="HR")*($E$15:$AH$15=""))+SUMPRODUCT(($E$15:$AH$15="HR")*1)</f>
        <v>3</v>
      </c>
      <c r="AK15" s="211"/>
      <c r="AL15" s="89" cm="1">
        <f t="array" ref="AL15">SUMPRODUCT(($E$14:$AH$14="N0")*($E$15:$AH$15=""))+SUMPRODUCT(($E$15:$AH$15="N")*1)</f>
        <v>11</v>
      </c>
      <c r="AM15" s="89" cm="1">
        <f t="array" ref="AM15">SUMPRODUCT(($E$14:$AH$14="RD")*($E$15:$AH$15=""))+SUMPRODUCT(($E$15:$AH$15="RD")*1)</f>
        <v>6</v>
      </c>
      <c r="AN15" s="89" cm="1">
        <f t="array" ref="AN15">SUMPRODUCT(($E$15:$AH$15="AL")*1)</f>
        <v>7</v>
      </c>
      <c r="AO15" s="89" cm="1">
        <f t="array" ref="AO15">SUMPRODUCT(($E$15:$AH$15="SH")*1)</f>
        <v>3</v>
      </c>
      <c r="AP15" s="89" cm="1">
        <f t="array" ref="AP15">SUMPRODUCT(($E$15:$AH$15="SL")*1)</f>
        <v>0</v>
      </c>
      <c r="AQ15" s="140" t="e">
        <f>#REF!-AJ15-AL15-AM15-AN15-AO15-AP15</f>
        <v>#REF!</v>
      </c>
    </row>
    <row r="16" spans="1:43" ht="18" customHeight="1">
      <c r="A16" s="1335" t="s">
        <v>99</v>
      </c>
      <c r="B16" s="1330" t="s">
        <v>93</v>
      </c>
      <c r="C16" s="1330"/>
      <c r="D16" s="1330"/>
      <c r="E16" s="476" t="s">
        <v>95</v>
      </c>
      <c r="F16" s="478" t="s">
        <v>95</v>
      </c>
      <c r="G16" s="478" t="s">
        <v>95</v>
      </c>
      <c r="H16" s="478" t="s">
        <v>95</v>
      </c>
      <c r="I16" s="478" t="s">
        <v>95</v>
      </c>
      <c r="J16" s="480" t="s">
        <v>84</v>
      </c>
      <c r="K16" s="481" t="s">
        <v>95</v>
      </c>
      <c r="L16" s="478" t="s">
        <v>95</v>
      </c>
      <c r="M16" s="478" t="s">
        <v>95</v>
      </c>
      <c r="N16" s="478" t="s">
        <v>95</v>
      </c>
      <c r="O16" s="478" t="s">
        <v>95</v>
      </c>
      <c r="P16" s="479" t="s">
        <v>84</v>
      </c>
      <c r="Q16" s="499" t="s">
        <v>84</v>
      </c>
      <c r="R16" s="476" t="s">
        <v>95</v>
      </c>
      <c r="S16" s="478" t="s">
        <v>95</v>
      </c>
      <c r="T16" s="478" t="s">
        <v>95</v>
      </c>
      <c r="U16" s="478" t="s">
        <v>95</v>
      </c>
      <c r="V16" s="478" t="s">
        <v>95</v>
      </c>
      <c r="W16" s="478" t="s">
        <v>95</v>
      </c>
      <c r="X16" s="480" t="s">
        <v>84</v>
      </c>
      <c r="Y16" s="481" t="s">
        <v>95</v>
      </c>
      <c r="Z16" s="478" t="s">
        <v>95</v>
      </c>
      <c r="AA16" s="478" t="s">
        <v>95</v>
      </c>
      <c r="AB16" s="478" t="s">
        <v>95</v>
      </c>
      <c r="AC16" s="478" t="s">
        <v>95</v>
      </c>
      <c r="AD16" s="479" t="s">
        <v>84</v>
      </c>
      <c r="AE16" s="499" t="s">
        <v>84</v>
      </c>
      <c r="AF16" s="476" t="s">
        <v>95</v>
      </c>
      <c r="AG16" s="478" t="s">
        <v>95</v>
      </c>
      <c r="AH16" s="482" t="s">
        <v>95</v>
      </c>
      <c r="AI16" s="1071" t="s">
        <v>95</v>
      </c>
      <c r="AJ16" s="475" t="s">
        <v>95</v>
      </c>
      <c r="AK16" s="1050"/>
      <c r="AL16" s="137" t="s">
        <v>38</v>
      </c>
      <c r="AM16" s="138" t="s">
        <v>84</v>
      </c>
      <c r="AN16" s="137" t="s">
        <v>81</v>
      </c>
      <c r="AO16" s="137" t="s">
        <v>88</v>
      </c>
      <c r="AP16" s="137" t="s">
        <v>96</v>
      </c>
      <c r="AQ16" s="139" t="s">
        <v>97</v>
      </c>
    </row>
    <row r="17" spans="1:43" ht="18" customHeight="1">
      <c r="A17" s="1336"/>
      <c r="B17" s="56" t="s">
        <v>100</v>
      </c>
      <c r="C17" s="53" t="s">
        <v>16</v>
      </c>
      <c r="D17" s="54">
        <v>469319</v>
      </c>
      <c r="E17" s="554"/>
      <c r="F17" s="555"/>
      <c r="G17" s="555"/>
      <c r="H17" s="555"/>
      <c r="I17" s="555"/>
      <c r="J17" s="556"/>
      <c r="K17" s="557"/>
      <c r="L17" s="555"/>
      <c r="M17" s="555"/>
      <c r="N17" s="555"/>
      <c r="O17" s="555"/>
      <c r="P17" s="555"/>
      <c r="Q17" s="558"/>
      <c r="R17" s="554"/>
      <c r="S17" s="555"/>
      <c r="T17" s="555"/>
      <c r="U17" s="555"/>
      <c r="V17" s="555"/>
      <c r="W17" s="555"/>
      <c r="X17" s="556"/>
      <c r="Y17" s="557"/>
      <c r="Z17" s="555"/>
      <c r="AA17" s="555"/>
      <c r="AB17" s="555"/>
      <c r="AC17" s="555"/>
      <c r="AD17" s="555"/>
      <c r="AE17" s="558"/>
      <c r="AF17" s="554"/>
      <c r="AG17" s="555"/>
      <c r="AH17" s="558"/>
      <c r="AI17" s="1072"/>
      <c r="AJ17" s="89" cm="1">
        <f t="array" ref="AJ17">SUMPRODUCT(($E$16:$AH$16="HR")*($E$17:$AH$17=""))+SUMPRODUCT(($E$17:$AH$17="HR")*1)</f>
        <v>24</v>
      </c>
      <c r="AK17" s="89"/>
      <c r="AL17" s="89" cm="1">
        <f t="array" ref="AL17">SUMPRODUCT(($E$16:$AH$16="N0")*($E$17:$AH$17=""))+SUMPRODUCT(($E$17:$AH$17="N")*1)</f>
        <v>0</v>
      </c>
      <c r="AM17" s="89" cm="1">
        <f t="array" ref="AM17">SUMPRODUCT(($E$16:$AH$16="RD")*($E$17:$AH$17=""))+SUMPRODUCT(($E$17:$AH$17="RD")*1)</f>
        <v>6</v>
      </c>
      <c r="AN17" s="89" cm="1">
        <f t="array" ref="AN17">SUMPRODUCT(($E$17:$AH$17="AL")*1)</f>
        <v>0</v>
      </c>
      <c r="AO17" s="89" cm="1">
        <f t="array" ref="AO17">SUMPRODUCT(($E$17:$AH$17="SH")*1)</f>
        <v>0</v>
      </c>
      <c r="AP17" s="89" cm="1">
        <f t="array" ref="AP17">SUMPRODUCT(($E$17:$AH$17="SL")*1)</f>
        <v>0</v>
      </c>
      <c r="AQ17" s="140" t="e">
        <f>#REF!-AJ17-AL17-AM17-AN17-AO17-AP17</f>
        <v>#REF!</v>
      </c>
    </row>
    <row r="18" spans="1:43" ht="18" customHeight="1">
      <c r="A18" s="1340" t="s">
        <v>101</v>
      </c>
      <c r="B18" s="1343" t="s">
        <v>93</v>
      </c>
      <c r="C18" s="1344"/>
      <c r="D18" s="1329"/>
      <c r="E18" s="515" t="s">
        <v>94</v>
      </c>
      <c r="F18" s="509" t="s">
        <v>94</v>
      </c>
      <c r="G18" s="509" t="s">
        <v>94</v>
      </c>
      <c r="H18" s="509" t="s">
        <v>94</v>
      </c>
      <c r="I18" s="479" t="s">
        <v>84</v>
      </c>
      <c r="J18" s="492" t="s">
        <v>94</v>
      </c>
      <c r="K18" s="481" t="s">
        <v>94</v>
      </c>
      <c r="L18" s="478" t="s">
        <v>94</v>
      </c>
      <c r="M18" s="478" t="s">
        <v>94</v>
      </c>
      <c r="N18" s="478" t="s">
        <v>94</v>
      </c>
      <c r="O18" s="478" t="s">
        <v>94</v>
      </c>
      <c r="P18" s="479" t="s">
        <v>84</v>
      </c>
      <c r="Q18" s="499" t="s">
        <v>84</v>
      </c>
      <c r="R18" s="513" t="s">
        <v>95</v>
      </c>
      <c r="S18" s="511" t="s">
        <v>95</v>
      </c>
      <c r="T18" s="511" t="s">
        <v>95</v>
      </c>
      <c r="U18" s="511" t="s">
        <v>95</v>
      </c>
      <c r="V18" s="511" t="s">
        <v>95</v>
      </c>
      <c r="W18" s="512" t="s">
        <v>84</v>
      </c>
      <c r="X18" s="477" t="s">
        <v>84</v>
      </c>
      <c r="Y18" s="481" t="s">
        <v>94</v>
      </c>
      <c r="Z18" s="478" t="s">
        <v>94</v>
      </c>
      <c r="AA18" s="478" t="s">
        <v>94</v>
      </c>
      <c r="AB18" s="478" t="s">
        <v>94</v>
      </c>
      <c r="AC18" s="478" t="s">
        <v>94</v>
      </c>
      <c r="AD18" s="479" t="s">
        <v>84</v>
      </c>
      <c r="AE18" s="514" t="s">
        <v>94</v>
      </c>
      <c r="AF18" s="515" t="s">
        <v>94</v>
      </c>
      <c r="AG18" s="509" t="s">
        <v>94</v>
      </c>
      <c r="AH18" s="514" t="s">
        <v>94</v>
      </c>
      <c r="AI18" s="1066" t="s">
        <v>94</v>
      </c>
      <c r="AJ18" s="137" t="s">
        <v>95</v>
      </c>
      <c r="AK18" s="137"/>
      <c r="AL18" s="137" t="s">
        <v>38</v>
      </c>
      <c r="AM18" s="138" t="s">
        <v>84</v>
      </c>
      <c r="AN18" s="137" t="s">
        <v>81</v>
      </c>
      <c r="AO18" s="137" t="s">
        <v>88</v>
      </c>
      <c r="AP18" s="137" t="s">
        <v>96</v>
      </c>
      <c r="AQ18" s="139" t="s">
        <v>97</v>
      </c>
    </row>
    <row r="19" spans="1:43" ht="18" customHeight="1">
      <c r="A19" s="1341"/>
      <c r="B19" s="121" t="s">
        <v>14</v>
      </c>
      <c r="C19" s="111" t="s">
        <v>16</v>
      </c>
      <c r="D19" s="112">
        <v>321508</v>
      </c>
      <c r="E19" s="441"/>
      <c r="F19" s="431"/>
      <c r="G19" s="431"/>
      <c r="H19" s="431"/>
      <c r="I19" s="431"/>
      <c r="J19" s="436"/>
      <c r="K19" s="435"/>
      <c r="L19" s="431"/>
      <c r="M19" s="431"/>
      <c r="N19" s="431"/>
      <c r="O19" s="431"/>
      <c r="P19" s="431"/>
      <c r="Q19" s="443"/>
      <c r="R19" s="441"/>
      <c r="S19" s="431"/>
      <c r="T19" s="431"/>
      <c r="U19" s="431"/>
      <c r="V19" s="431"/>
      <c r="W19" s="431"/>
      <c r="X19" s="436"/>
      <c r="Y19" s="435"/>
      <c r="Z19" s="431"/>
      <c r="AA19" s="431"/>
      <c r="AB19" s="431"/>
      <c r="AC19" s="431"/>
      <c r="AD19" s="431"/>
      <c r="AE19" s="443"/>
      <c r="AF19" s="441"/>
      <c r="AG19" s="431"/>
      <c r="AH19" s="443"/>
      <c r="AI19" s="1059"/>
      <c r="AJ19" s="89" cm="1">
        <f t="array" ref="AJ19">SUMPRODUCT(($E$18:$AH$18="HR")*(E19:AH19=""))+SUMPRODUCT((E19:AH19="HR")*1)</f>
        <v>5</v>
      </c>
      <c r="AK19" s="89"/>
      <c r="AL19" s="89" cm="1">
        <f t="array" ref="AL19">SUMPRODUCT(($E$18:$AH$18="N0")*(E19:AH19=""))+SUMPRODUCT((E19:AH19="N")*1)</f>
        <v>19</v>
      </c>
      <c r="AM19" s="88" cm="1">
        <f t="array" ref="AM19">SUMPRODUCT(($E$18:$AH$18="RD")*(E19:AH19=""))+SUMPRODUCT((E19:AH19="RD")*1)</f>
        <v>6</v>
      </c>
      <c r="AN19" s="89" cm="1">
        <f t="array" ref="AN19">SUMPRODUCT((F19:AH19="AL")*1)</f>
        <v>0</v>
      </c>
      <c r="AO19" s="89" cm="1">
        <f t="array" ref="AO19">SUMPRODUCT((F19:AH19="SH")*1)</f>
        <v>0</v>
      </c>
      <c r="AP19" s="89" cm="1">
        <f t="array" ref="AP19">SUMPRODUCT((E19:AH19="SL")*1)</f>
        <v>0</v>
      </c>
      <c r="AQ19" s="140" t="e">
        <f>#REF!-AJ19-AL19-AM19-AN19-AO19-AP19</f>
        <v>#REF!</v>
      </c>
    </row>
    <row r="20" spans="1:43" ht="18" customHeight="1">
      <c r="A20" s="1341"/>
      <c r="B20" s="118" t="s">
        <v>102</v>
      </c>
      <c r="C20" s="99" t="s">
        <v>16</v>
      </c>
      <c r="D20" s="103">
        <v>461865</v>
      </c>
      <c r="E20" s="416"/>
      <c r="F20" s="413"/>
      <c r="G20" s="413"/>
      <c r="H20" s="413"/>
      <c r="I20" s="413"/>
      <c r="J20" s="417"/>
      <c r="K20" s="421"/>
      <c r="L20" s="413"/>
      <c r="M20" s="413"/>
      <c r="N20" s="413"/>
      <c r="O20" s="413"/>
      <c r="P20" s="413"/>
      <c r="Q20" s="444"/>
      <c r="R20" s="416"/>
      <c r="S20" s="413"/>
      <c r="T20" s="413"/>
      <c r="U20" s="413"/>
      <c r="V20" s="413"/>
      <c r="W20" s="413"/>
      <c r="X20" s="417"/>
      <c r="Y20" s="421"/>
      <c r="Z20" s="413"/>
      <c r="AA20" s="413"/>
      <c r="AB20" s="413"/>
      <c r="AC20" s="413"/>
      <c r="AD20" s="413"/>
      <c r="AE20" s="444"/>
      <c r="AF20" s="416"/>
      <c r="AG20" s="413"/>
      <c r="AH20" s="444"/>
      <c r="AI20" s="1058"/>
      <c r="AJ20" s="89" cm="1">
        <f t="array" ref="AJ20">SUMPRODUCT(($E$18:$AH$18="HR")*(E20:AH20=""))+SUMPRODUCT((E20:AH20="HR")*1)</f>
        <v>5</v>
      </c>
      <c r="AK20" s="89"/>
      <c r="AL20" s="89" cm="1">
        <f t="array" ref="AL20">SUMPRODUCT(($E$18:$AH$18="N0")*(E20:AH20=""))+SUMPRODUCT((E20:AH20="N")*1)</f>
        <v>19</v>
      </c>
      <c r="AM20" s="88" cm="1">
        <f t="array" ref="AM20">SUMPRODUCT(($E$18:$AH$18="RD")*(E20:AH20=""))+SUMPRODUCT((E20:AH20="RD")*1)</f>
        <v>6</v>
      </c>
      <c r="AN20" s="89" cm="1">
        <f t="array" ref="AN20">SUMPRODUCT((F20:AH20="AL")*1)</f>
        <v>0</v>
      </c>
      <c r="AO20" s="89" cm="1">
        <f t="array" ref="AO20">SUMPRODUCT((F20:AH20="SH")*1)</f>
        <v>0</v>
      </c>
      <c r="AP20" s="89" cm="1">
        <f t="array" ref="AP20">SUMPRODUCT((E20:AH20="SL")*1)</f>
        <v>0</v>
      </c>
      <c r="AQ20" s="140" t="e">
        <f>#REF!-AJ20-AL20-AM20-AN20-AO20-AP20</f>
        <v>#REF!</v>
      </c>
    </row>
    <row r="21" spans="1:43" ht="18" customHeight="1">
      <c r="A21" s="1341"/>
      <c r="B21" s="101" t="s">
        <v>41</v>
      </c>
      <c r="C21" s="99" t="s">
        <v>27</v>
      </c>
      <c r="D21" s="103">
        <v>676095</v>
      </c>
      <c r="E21" s="416"/>
      <c r="F21" s="413"/>
      <c r="G21" s="413"/>
      <c r="H21" s="413"/>
      <c r="I21" s="413"/>
      <c r="J21" s="417"/>
      <c r="K21" s="421"/>
      <c r="L21" s="413"/>
      <c r="M21" s="413"/>
      <c r="N21" s="413"/>
      <c r="O21" s="413"/>
      <c r="P21" s="413"/>
      <c r="Q21" s="444"/>
      <c r="R21" s="416"/>
      <c r="S21" s="413"/>
      <c r="T21" s="413" t="s">
        <v>137</v>
      </c>
      <c r="U21" s="413"/>
      <c r="V21" s="413"/>
      <c r="W21" s="413"/>
      <c r="X21" s="417"/>
      <c r="Y21" s="421"/>
      <c r="Z21" s="413"/>
      <c r="AA21" s="413"/>
      <c r="AB21" s="413"/>
      <c r="AC21" s="413"/>
      <c r="AD21" s="413"/>
      <c r="AE21" s="444"/>
      <c r="AF21" s="416"/>
      <c r="AG21" s="413"/>
      <c r="AH21" s="444"/>
      <c r="AI21" s="1058"/>
      <c r="AJ21" s="89" cm="1">
        <f t="array" ref="AJ21">SUMPRODUCT(($E$18:$AH$18="HR")*(E21:AH21=""))+SUMPRODUCT((E21:AH21="HR")*1)</f>
        <v>4</v>
      </c>
      <c r="AK21" s="89"/>
      <c r="AL21" s="89" cm="1">
        <f t="array" ref="AL21">SUMPRODUCT(($E$18:$AH$18="N0")*(E21:AH21=""))+SUMPRODUCT((E21:AH21="N")*1)</f>
        <v>19</v>
      </c>
      <c r="AM21" s="88" cm="1">
        <f t="array" ref="AM21">SUMPRODUCT(($E$18:$AH$18="RD")*(E21:AH21=""))+SUMPRODUCT((E21:AH21="RD")*1)</f>
        <v>6</v>
      </c>
      <c r="AN21" s="89" cm="1">
        <f t="array" ref="AN21">SUMPRODUCT((F21:AH21="AL")*1)</f>
        <v>0</v>
      </c>
      <c r="AO21" s="89" cm="1">
        <f t="array" ref="AO21">SUMPRODUCT((F21:AH21="SH")*1)</f>
        <v>0</v>
      </c>
      <c r="AP21" s="89" cm="1">
        <f t="array" ref="AP21">SUMPRODUCT((E21:AH21="SL")*1)</f>
        <v>0</v>
      </c>
      <c r="AQ21" s="140" t="e">
        <f>#REF!-AJ21-AL21-AM21-AN21-AO21-AP21</f>
        <v>#REF!</v>
      </c>
    </row>
    <row r="22" spans="1:43" ht="18" customHeight="1">
      <c r="A22" s="1341"/>
      <c r="B22" s="118" t="s">
        <v>104</v>
      </c>
      <c r="C22" s="99" t="s">
        <v>27</v>
      </c>
      <c r="D22" s="103">
        <v>681383</v>
      </c>
      <c r="E22" s="416"/>
      <c r="F22" s="413"/>
      <c r="G22" s="413"/>
      <c r="H22" s="413"/>
      <c r="I22" s="413"/>
      <c r="J22" s="417"/>
      <c r="K22" s="421"/>
      <c r="L22" s="413"/>
      <c r="M22" s="413"/>
      <c r="N22" s="413"/>
      <c r="O22" s="413"/>
      <c r="P22" s="413"/>
      <c r="Q22" s="444"/>
      <c r="R22" s="416"/>
      <c r="S22" s="413"/>
      <c r="T22" s="413"/>
      <c r="U22" s="413" t="s">
        <v>135</v>
      </c>
      <c r="V22" s="413"/>
      <c r="W22" s="413"/>
      <c r="X22" s="417"/>
      <c r="Y22" s="421"/>
      <c r="Z22" s="413"/>
      <c r="AA22" s="413"/>
      <c r="AB22" s="1048" t="s">
        <v>88</v>
      </c>
      <c r="AC22" s="413"/>
      <c r="AD22" s="413"/>
      <c r="AE22" s="444"/>
      <c r="AF22" s="416"/>
      <c r="AG22" s="413"/>
      <c r="AH22" s="444"/>
      <c r="AI22" s="1007" t="s">
        <v>88</v>
      </c>
      <c r="AJ22" s="89" cm="1">
        <f t="array" ref="AJ22">SUMPRODUCT(($E$18:$AH$18="HR")*(E22:AH22=""))+SUMPRODUCT((E22:AH22="HR")*1)</f>
        <v>4</v>
      </c>
      <c r="AK22" s="89"/>
      <c r="AL22" s="89" cm="1">
        <f t="array" ref="AL22">SUMPRODUCT(($E$18:$AH$18="N0")*(E22:AH22=""))+SUMPRODUCT((E22:AH22="N")*1)</f>
        <v>18</v>
      </c>
      <c r="AM22" s="88" cm="1">
        <f t="array" ref="AM22">SUMPRODUCT(($E$18:$AH$18="RD")*(E22:AH22=""))+SUMPRODUCT((E22:AH22="RD")*1)</f>
        <v>6</v>
      </c>
      <c r="AN22" s="89" cm="1">
        <f t="array" ref="AN22">SUMPRODUCT((F22:AH22="AL")*1)</f>
        <v>0</v>
      </c>
      <c r="AO22" s="89" cm="1">
        <f t="array" ref="AO22">SUMPRODUCT((F22:AH22="SH")*1)</f>
        <v>1</v>
      </c>
      <c r="AP22" s="89" cm="1">
        <f t="array" ref="AP22">SUMPRODUCT((E22:AH22="SL")*1)</f>
        <v>0</v>
      </c>
      <c r="AQ22" s="140" t="e">
        <f>#REF!-AJ22-AL22-AM22-AN22-AO22-AP22</f>
        <v>#REF!</v>
      </c>
    </row>
    <row r="23" spans="1:43" ht="18" customHeight="1">
      <c r="A23" s="1341"/>
      <c r="B23" s="100" t="s">
        <v>30</v>
      </c>
      <c r="C23" s="99" t="s">
        <v>27</v>
      </c>
      <c r="D23" s="103">
        <v>679417</v>
      </c>
      <c r="E23" s="416"/>
      <c r="F23" s="413"/>
      <c r="G23" s="413"/>
      <c r="H23" s="413"/>
      <c r="I23" s="413"/>
      <c r="J23" s="417"/>
      <c r="K23" s="421"/>
      <c r="L23" s="413"/>
      <c r="M23" s="413"/>
      <c r="N23" s="413"/>
      <c r="O23" s="413"/>
      <c r="P23" s="413"/>
      <c r="Q23" s="444"/>
      <c r="R23" s="416"/>
      <c r="S23" s="413"/>
      <c r="T23" s="413"/>
      <c r="U23" s="413"/>
      <c r="V23" s="413"/>
      <c r="W23" s="413"/>
      <c r="X23" s="417"/>
      <c r="Y23" s="421"/>
      <c r="Z23" s="413"/>
      <c r="AA23" s="413"/>
      <c r="AB23" s="413"/>
      <c r="AC23" s="413"/>
      <c r="AD23" s="413"/>
      <c r="AE23" s="444"/>
      <c r="AF23" s="416"/>
      <c r="AG23" s="413"/>
      <c r="AH23" s="444"/>
      <c r="AI23" s="1058"/>
      <c r="AJ23" s="89" cm="1">
        <f t="array" ref="AJ23">SUMPRODUCT(($E$18:$AH$18="HR")*(E23:AH23=""))+SUMPRODUCT((E23:AH23="HR")*1)</f>
        <v>5</v>
      </c>
      <c r="AK23" s="89"/>
      <c r="AL23" s="89" cm="1">
        <f t="array" ref="AL23">SUMPRODUCT(($E$18:$AH$18="N0")*(E23:AH23=""))+SUMPRODUCT((E23:AH23="N")*1)</f>
        <v>19</v>
      </c>
      <c r="AM23" s="88" cm="1">
        <f t="array" ref="AM23">SUMPRODUCT(($E$18:$AH$18="RD")*(E23:AH23=""))+SUMPRODUCT((E23:AH23="RD")*1)</f>
        <v>6</v>
      </c>
      <c r="AN23" s="89" cm="1">
        <f t="array" ref="AN23">SUMPRODUCT((F23:AH23="AL")*1)</f>
        <v>0</v>
      </c>
      <c r="AO23" s="89" cm="1">
        <f t="array" ref="AO23">SUMPRODUCT((F23:AH23="SH")*1)</f>
        <v>0</v>
      </c>
      <c r="AP23" s="89" cm="1">
        <f t="array" ref="AP23">SUMPRODUCT((E23:AH23="SL")*1)</f>
        <v>0</v>
      </c>
      <c r="AQ23" s="140" t="e">
        <f>#REF!-AJ23-AL23-AM23-AN23-AO23-AP23</f>
        <v>#REF!</v>
      </c>
    </row>
    <row r="24" spans="1:43" ht="18" customHeight="1">
      <c r="A24" s="1342"/>
      <c r="B24" s="119" t="s">
        <v>48</v>
      </c>
      <c r="C24" s="106" t="s">
        <v>27</v>
      </c>
      <c r="D24" s="157">
        <v>684061</v>
      </c>
      <c r="E24" s="516"/>
      <c r="F24" s="518"/>
      <c r="G24" s="518"/>
      <c r="H24" s="518"/>
      <c r="I24" s="518"/>
      <c r="J24" s="517"/>
      <c r="K24" s="519"/>
      <c r="L24" s="518"/>
      <c r="M24" s="518"/>
      <c r="N24" s="518"/>
      <c r="O24" s="518"/>
      <c r="P24" s="518"/>
      <c r="Q24" s="520"/>
      <c r="R24" s="516"/>
      <c r="S24" s="518"/>
      <c r="T24" s="518"/>
      <c r="U24" s="518"/>
      <c r="V24" s="518"/>
      <c r="W24" s="518"/>
      <c r="X24" s="517"/>
      <c r="Y24" s="519"/>
      <c r="Z24" s="518"/>
      <c r="AA24" s="518"/>
      <c r="AB24" s="518"/>
      <c r="AC24" s="518"/>
      <c r="AD24" s="518"/>
      <c r="AE24" s="520"/>
      <c r="AF24" s="516"/>
      <c r="AG24" s="518"/>
      <c r="AH24" s="520"/>
      <c r="AI24" s="1062"/>
      <c r="AJ24" s="89" cm="1">
        <f t="array" ref="AJ24">SUMPRODUCT(($E$18:$AH$18="HR")*(E24:AH24=""))+SUMPRODUCT((E24:AH24="HR")*1)</f>
        <v>5</v>
      </c>
      <c r="AK24" s="89"/>
      <c r="AL24" s="89" cm="1">
        <f t="array" ref="AL24">SUMPRODUCT(($E$18:$AH$18="N0")*(E24:AH24=""))+SUMPRODUCT((E24:AH24="N")*1)</f>
        <v>19</v>
      </c>
      <c r="AM24" s="88" cm="1">
        <f t="array" ref="AM24">SUMPRODUCT(($E$18:$AH$18="RD")*(E24:AH24=""))+SUMPRODUCT((E24:AH24="RD")*1)</f>
        <v>6</v>
      </c>
      <c r="AN24" s="89" cm="1">
        <f t="array" ref="AN24">SUMPRODUCT((F24:AH24="AL")*1)</f>
        <v>0</v>
      </c>
      <c r="AO24" s="89" cm="1">
        <f t="array" ref="AO24">SUMPRODUCT((F24:AH24="SH")*1)</f>
        <v>0</v>
      </c>
      <c r="AP24" s="89" cm="1">
        <f t="array" ref="AP24">SUMPRODUCT((E24:AH24="SL")*1)</f>
        <v>0</v>
      </c>
      <c r="AQ24" s="140" t="e">
        <f>#REF!-AJ24-AL24-AM24-AN24-AO24-AP24</f>
        <v>#REF!</v>
      </c>
    </row>
    <row r="25" spans="1:43" ht="18" customHeight="1">
      <c r="A25" s="1331" t="s">
        <v>109</v>
      </c>
      <c r="B25" s="1330" t="s">
        <v>110</v>
      </c>
      <c r="C25" s="1330"/>
      <c r="D25" s="1330"/>
      <c r="E25" s="515" t="s">
        <v>94</v>
      </c>
      <c r="F25" s="509" t="s">
        <v>94</v>
      </c>
      <c r="G25" s="509" t="s">
        <v>94</v>
      </c>
      <c r="H25" s="509" t="s">
        <v>94</v>
      </c>
      <c r="I25" s="512" t="s">
        <v>84</v>
      </c>
      <c r="J25" s="507" t="s">
        <v>94</v>
      </c>
      <c r="K25" s="508" t="s">
        <v>94</v>
      </c>
      <c r="L25" s="509" t="s">
        <v>94</v>
      </c>
      <c r="M25" s="509" t="s">
        <v>94</v>
      </c>
      <c r="N25" s="509" t="s">
        <v>94</v>
      </c>
      <c r="O25" s="509" t="s">
        <v>94</v>
      </c>
      <c r="P25" s="512" t="s">
        <v>84</v>
      </c>
      <c r="Q25" s="514" t="s">
        <v>94</v>
      </c>
      <c r="R25" s="515" t="s">
        <v>94</v>
      </c>
      <c r="S25" s="509" t="s">
        <v>94</v>
      </c>
      <c r="T25" s="509" t="s">
        <v>94</v>
      </c>
      <c r="U25" s="509" t="s">
        <v>94</v>
      </c>
      <c r="V25" s="509" t="s">
        <v>94</v>
      </c>
      <c r="W25" s="512" t="s">
        <v>84</v>
      </c>
      <c r="X25" s="477" t="s">
        <v>84</v>
      </c>
      <c r="Y25" s="510" t="s">
        <v>95</v>
      </c>
      <c r="Z25" s="511" t="s">
        <v>95</v>
      </c>
      <c r="AA25" s="511" t="s">
        <v>95</v>
      </c>
      <c r="AB25" s="511" t="s">
        <v>95</v>
      </c>
      <c r="AC25" s="511" t="s">
        <v>95</v>
      </c>
      <c r="AD25" s="512" t="s">
        <v>84</v>
      </c>
      <c r="AE25" s="493" t="s">
        <v>84</v>
      </c>
      <c r="AF25" s="515" t="s">
        <v>94</v>
      </c>
      <c r="AG25" s="509" t="s">
        <v>94</v>
      </c>
      <c r="AH25" s="514" t="s">
        <v>94</v>
      </c>
      <c r="AI25" s="1061" t="s">
        <v>94</v>
      </c>
      <c r="AJ25" s="137" t="s">
        <v>95</v>
      </c>
      <c r="AK25" s="137"/>
      <c r="AL25" s="137" t="s">
        <v>38</v>
      </c>
      <c r="AM25" s="138" t="s">
        <v>84</v>
      </c>
      <c r="AN25" s="137" t="s">
        <v>81</v>
      </c>
      <c r="AO25" s="137" t="s">
        <v>88</v>
      </c>
      <c r="AP25" s="137" t="s">
        <v>96</v>
      </c>
      <c r="AQ25" s="139" t="s">
        <v>97</v>
      </c>
    </row>
    <row r="26" spans="1:43" ht="18" customHeight="1">
      <c r="A26" s="1331"/>
      <c r="B26" s="46" t="s">
        <v>111</v>
      </c>
      <c r="C26" s="27" t="s">
        <v>16</v>
      </c>
      <c r="D26" s="21">
        <v>265691</v>
      </c>
      <c r="E26" s="441"/>
      <c r="F26" s="431"/>
      <c r="G26" s="431"/>
      <c r="H26" s="431"/>
      <c r="I26" s="431"/>
      <c r="J26" s="436"/>
      <c r="K26" s="435"/>
      <c r="L26" s="431"/>
      <c r="M26" s="431"/>
      <c r="N26" s="431"/>
      <c r="O26" s="431"/>
      <c r="P26" s="431"/>
      <c r="Q26" s="443"/>
      <c r="R26" s="441"/>
      <c r="S26" s="431"/>
      <c r="T26" s="431"/>
      <c r="U26" s="431"/>
      <c r="V26" s="431"/>
      <c r="W26" s="431"/>
      <c r="X26" s="436"/>
      <c r="Y26" s="435"/>
      <c r="Z26" s="431"/>
      <c r="AA26" s="431"/>
      <c r="AB26" s="431"/>
      <c r="AC26" s="431"/>
      <c r="AD26" s="431"/>
      <c r="AE26" s="443"/>
      <c r="AF26" s="441"/>
      <c r="AG26" s="431"/>
      <c r="AH26" s="443"/>
      <c r="AI26" s="1059"/>
      <c r="AJ26" s="89" cm="1">
        <f t="array" ref="AJ26">SUMPRODUCT(($E$25:$AH$25="HR")*(E26:AH26=""))+SUMPRODUCT((E26:AH26="HR")*1)</f>
        <v>5</v>
      </c>
      <c r="AK26" s="89"/>
      <c r="AL26" s="89" cm="1">
        <f t="array" ref="AL26">SUMPRODUCT(($E$25:$AH$25="N0")*(E26:AH26=""))+SUMPRODUCT((E26:AH26="N")*1)</f>
        <v>19</v>
      </c>
      <c r="AM26" s="88" cm="1">
        <f t="array" ref="AM26">SUMPRODUCT(($E$25:$AH$25="RD")*(E26:AH26=""))+SUMPRODUCT((E26:AH26="RD")*1)</f>
        <v>6</v>
      </c>
      <c r="AN26" s="89" cm="1">
        <f t="array" ref="AN26">SUMPRODUCT((F26:AH26="AL")*1)</f>
        <v>0</v>
      </c>
      <c r="AO26" s="89" cm="1">
        <f t="array" ref="AO26">SUMPRODUCT((F26:AH26="SH")*1)</f>
        <v>0</v>
      </c>
      <c r="AP26" s="89" cm="1">
        <f t="array" ref="AP26">SUMPRODUCT((E26:AH26="SL")*1)</f>
        <v>0</v>
      </c>
      <c r="AQ26" s="140" t="e">
        <f>#REF!-AJ26-AL26-AM26-AN26-AO26-AP26</f>
        <v>#REF!</v>
      </c>
    </row>
    <row r="27" spans="1:43" ht="18" customHeight="1">
      <c r="A27" s="1331"/>
      <c r="B27" s="125" t="s">
        <v>113</v>
      </c>
      <c r="C27" s="16" t="s">
        <v>16</v>
      </c>
      <c r="D27" s="22">
        <v>422401</v>
      </c>
      <c r="E27" s="416"/>
      <c r="F27" s="413"/>
      <c r="G27" s="413"/>
      <c r="H27" s="413"/>
      <c r="I27" s="413"/>
      <c r="J27" s="417"/>
      <c r="K27" s="421"/>
      <c r="L27" s="413"/>
      <c r="M27" s="413"/>
      <c r="N27" s="413"/>
      <c r="O27" s="413"/>
      <c r="P27" s="413"/>
      <c r="Q27" s="444"/>
      <c r="R27" s="416"/>
      <c r="S27" s="413"/>
      <c r="T27" s="413"/>
      <c r="U27" s="413"/>
      <c r="V27" s="413"/>
      <c r="W27" s="413"/>
      <c r="X27" s="417"/>
      <c r="Y27" s="421"/>
      <c r="Z27" s="413"/>
      <c r="AA27" s="413"/>
      <c r="AB27" s="413"/>
      <c r="AC27" s="413"/>
      <c r="AD27" s="413"/>
      <c r="AE27" s="444"/>
      <c r="AF27" s="416"/>
      <c r="AG27" s="413"/>
      <c r="AH27" s="444"/>
      <c r="AI27" s="1058"/>
      <c r="AJ27" s="89" cm="1">
        <f t="array" ref="AJ27">SUMPRODUCT(($E$25:$AH$25="HR")*(E27:AH27=""))+SUMPRODUCT((E27:AH27="HR")*1)</f>
        <v>5</v>
      </c>
      <c r="AK27" s="89"/>
      <c r="AL27" s="89" cm="1">
        <f t="array" ref="AL27">SUMPRODUCT(($E$25:$AH$25="N0")*(E27:AH27=""))+SUMPRODUCT((E27:AH27="N")*1)</f>
        <v>19</v>
      </c>
      <c r="AM27" s="88" cm="1">
        <f t="array" ref="AM27">SUMPRODUCT(($E$25:$AH$25="RD")*(E27:AH27=""))+SUMPRODUCT((E27:AH27="RD")*1)</f>
        <v>6</v>
      </c>
      <c r="AN27" s="89" cm="1">
        <f t="array" ref="AN27">SUMPRODUCT((F27:AH27="AL")*1)</f>
        <v>0</v>
      </c>
      <c r="AO27" s="89" cm="1">
        <f t="array" ref="AO27">SUMPRODUCT((F27:AH27="SH")*1)</f>
        <v>0</v>
      </c>
      <c r="AP27" s="89" cm="1">
        <f t="array" ref="AP27">SUMPRODUCT((E27:AH27="SL")*1)</f>
        <v>0</v>
      </c>
      <c r="AQ27" s="140" t="e">
        <f>#REF!-AJ27-AL27-AM27-AN27-AO27-AP27</f>
        <v>#REF!</v>
      </c>
    </row>
    <row r="28" spans="1:43" ht="18" customHeight="1">
      <c r="A28" s="1331"/>
      <c r="B28" s="102" t="s">
        <v>29</v>
      </c>
      <c r="C28" s="16" t="s">
        <v>27</v>
      </c>
      <c r="D28" s="22">
        <v>679365</v>
      </c>
      <c r="E28" s="416"/>
      <c r="F28" s="413"/>
      <c r="G28" s="413"/>
      <c r="H28" s="413"/>
      <c r="I28" s="413"/>
      <c r="J28" s="417"/>
      <c r="K28" s="421"/>
      <c r="L28" s="413"/>
      <c r="M28" s="413"/>
      <c r="N28" s="413"/>
      <c r="O28" s="413"/>
      <c r="P28" s="413"/>
      <c r="Q28" s="444"/>
      <c r="R28" s="416"/>
      <c r="S28" s="413"/>
      <c r="T28" s="413"/>
      <c r="U28" s="413"/>
      <c r="V28" s="413"/>
      <c r="W28" s="413"/>
      <c r="X28" s="417"/>
      <c r="Y28" s="421"/>
      <c r="Z28" s="413"/>
      <c r="AA28" s="413" t="s">
        <v>137</v>
      </c>
      <c r="AB28" s="413"/>
      <c r="AC28" s="413"/>
      <c r="AD28" s="413"/>
      <c r="AE28" s="444"/>
      <c r="AF28" s="416"/>
      <c r="AG28" s="413"/>
      <c r="AH28" s="444"/>
      <c r="AI28" s="1058"/>
      <c r="AJ28" s="89" cm="1">
        <f t="array" ref="AJ28">SUMPRODUCT(($E$25:$AH$25="HR")*(E28:AH28=""))+SUMPRODUCT((E28:AH28="HR")*1)</f>
        <v>4</v>
      </c>
      <c r="AK28" s="89"/>
      <c r="AL28" s="89" cm="1">
        <f t="array" ref="AL28">SUMPRODUCT(($E$25:$AH$25="N0")*(E28:AH28=""))+SUMPRODUCT((E28:AH28="N")*1)</f>
        <v>19</v>
      </c>
      <c r="AM28" s="88" cm="1">
        <f t="array" ref="AM28">SUMPRODUCT(($E$25:$AH$25="RD")*(E28:AH28=""))+SUMPRODUCT((E28:AH28="RD")*1)</f>
        <v>6</v>
      </c>
      <c r="AN28" s="89" cm="1">
        <f t="array" ref="AN28">SUMPRODUCT((F28:AH28="AL")*1)</f>
        <v>0</v>
      </c>
      <c r="AO28" s="89" cm="1">
        <f t="array" ref="AO28">SUMPRODUCT((F28:AH28="SH")*1)</f>
        <v>0</v>
      </c>
      <c r="AP28" s="89" cm="1">
        <f t="array" ref="AP28">SUMPRODUCT((E28:AH28="SL")*1)</f>
        <v>0</v>
      </c>
      <c r="AQ28" s="140" t="e">
        <f>#REF!-AJ28-AL28-AM28-AN28-AO28-AP28</f>
        <v>#REF!</v>
      </c>
    </row>
    <row r="29" spans="1:43" ht="18" customHeight="1">
      <c r="A29" s="1331"/>
      <c r="B29" s="97" t="s">
        <v>271</v>
      </c>
      <c r="C29" s="16" t="s">
        <v>27</v>
      </c>
      <c r="D29" s="22">
        <v>680682</v>
      </c>
      <c r="E29" s="416"/>
      <c r="F29" s="413"/>
      <c r="G29" s="413"/>
      <c r="H29" s="413"/>
      <c r="I29" s="413"/>
      <c r="J29" s="417"/>
      <c r="K29" s="421"/>
      <c r="L29" s="413"/>
      <c r="M29" s="413"/>
      <c r="N29" s="413"/>
      <c r="O29" s="413"/>
      <c r="P29" s="413"/>
      <c r="Q29" s="444"/>
      <c r="R29" s="416"/>
      <c r="S29" s="413"/>
      <c r="T29" s="413"/>
      <c r="U29" s="413"/>
      <c r="V29" s="413"/>
      <c r="W29" s="413"/>
      <c r="X29" s="417"/>
      <c r="Y29" s="416" t="s">
        <v>94</v>
      </c>
      <c r="Z29" s="413" t="s">
        <v>94</v>
      </c>
      <c r="AA29" s="413" t="s">
        <v>94</v>
      </c>
      <c r="AB29" s="413" t="s">
        <v>94</v>
      </c>
      <c r="AC29" s="413" t="s">
        <v>94</v>
      </c>
      <c r="AD29" s="413"/>
      <c r="AE29" s="444"/>
      <c r="AF29" s="416"/>
      <c r="AG29" s="413"/>
      <c r="AH29" s="444"/>
      <c r="AI29" s="1058"/>
      <c r="AJ29" s="89" cm="1">
        <f t="array" ref="AJ29">SUMPRODUCT(($E$25:$AH$25="HR")*(E29:AH29=""))+SUMPRODUCT((E29:AH29="HR")*1)</f>
        <v>0</v>
      </c>
      <c r="AK29" s="89"/>
      <c r="AL29" s="89" cm="1">
        <f t="array" ref="AL29">SUMPRODUCT(($E$25:$AH$25="N0")*(E29:AH29=""))+SUMPRODUCT((E29:AH29="N")*1)</f>
        <v>19</v>
      </c>
      <c r="AM29" s="88" cm="1">
        <f t="array" ref="AM29">SUMPRODUCT(($E$25:$AH$25="RD")*(E29:AH29=""))+SUMPRODUCT((E29:AH29="RD")*1)</f>
        <v>6</v>
      </c>
      <c r="AN29" s="89" cm="1">
        <f t="array" ref="AN29">SUMPRODUCT((F29:AH29="AL")*1)</f>
        <v>0</v>
      </c>
      <c r="AO29" s="89" cm="1">
        <f t="array" ref="AO29">SUMPRODUCT((F29:AH29="SH")*1)</f>
        <v>0</v>
      </c>
      <c r="AP29" s="89" cm="1">
        <f t="array" ref="AP29">SUMPRODUCT((E29:AH29="SL")*1)</f>
        <v>0</v>
      </c>
      <c r="AQ29" s="140" t="e">
        <f>#REF!-AJ29-AL29-AM29-AN29-AO29-AP29</f>
        <v>#REF!</v>
      </c>
    </row>
    <row r="30" spans="1:43" ht="18" customHeight="1">
      <c r="A30" s="1331"/>
      <c r="B30" s="97" t="s">
        <v>51</v>
      </c>
      <c r="C30" s="16" t="s">
        <v>32</v>
      </c>
      <c r="D30" s="22">
        <v>685750</v>
      </c>
      <c r="E30" s="1074"/>
      <c r="F30" s="1075"/>
      <c r="G30" s="1075"/>
      <c r="H30" s="1075"/>
      <c r="I30" s="1075"/>
      <c r="J30" s="1076"/>
      <c r="K30" s="1077"/>
      <c r="L30" s="1075"/>
      <c r="M30" s="1075"/>
      <c r="N30" s="1075"/>
      <c r="O30" s="1075"/>
      <c r="P30" s="1075"/>
      <c r="Q30" s="1078"/>
      <c r="R30" s="1074"/>
      <c r="S30" s="1075"/>
      <c r="T30" s="1075"/>
      <c r="U30" s="1075"/>
      <c r="V30" s="1075"/>
      <c r="W30" s="1075"/>
      <c r="X30" s="1076"/>
      <c r="Y30" s="1077"/>
      <c r="Z30" s="1075"/>
      <c r="AA30" s="1075"/>
      <c r="AB30" s="1075"/>
      <c r="AC30" s="1075"/>
      <c r="AD30" s="1075"/>
      <c r="AE30" s="1078"/>
      <c r="AF30" s="1074"/>
      <c r="AG30" s="1075"/>
      <c r="AH30" s="1078"/>
      <c r="AI30" s="1062"/>
      <c r="AJ30" s="89"/>
      <c r="AK30" s="89"/>
      <c r="AL30" s="89"/>
      <c r="AM30" s="88"/>
      <c r="AN30" s="89"/>
      <c r="AO30" s="89"/>
      <c r="AP30" s="89"/>
      <c r="AQ30" s="140"/>
    </row>
    <row r="31" spans="1:43" ht="18" customHeight="1">
      <c r="A31" s="1331"/>
      <c r="B31" s="97" t="s">
        <v>116</v>
      </c>
      <c r="C31" s="16" t="s">
        <v>27</v>
      </c>
      <c r="D31" s="22">
        <v>682089</v>
      </c>
      <c r="E31" s="1074"/>
      <c r="F31" s="1075"/>
      <c r="G31" s="1075"/>
      <c r="H31" s="1075"/>
      <c r="I31" s="1075"/>
      <c r="J31" s="1076"/>
      <c r="K31" s="1077"/>
      <c r="L31" s="1075"/>
      <c r="M31" s="1075"/>
      <c r="N31" s="1075"/>
      <c r="O31" s="1075"/>
      <c r="P31" s="1075"/>
      <c r="Q31" s="1078"/>
      <c r="R31" s="1074"/>
      <c r="S31" s="1075"/>
      <c r="T31" s="1075"/>
      <c r="U31" s="1075"/>
      <c r="V31" s="1075"/>
      <c r="W31" s="1075"/>
      <c r="X31" s="1076"/>
      <c r="Y31" s="1077"/>
      <c r="Z31" s="1075"/>
      <c r="AA31" s="1075"/>
      <c r="AB31" s="1075"/>
      <c r="AC31" s="1075"/>
      <c r="AD31" s="1075"/>
      <c r="AE31" s="1078"/>
      <c r="AF31" s="1074"/>
      <c r="AG31" s="1075"/>
      <c r="AH31" s="1078"/>
      <c r="AI31" s="1062"/>
      <c r="AJ31" s="89"/>
      <c r="AK31" s="89"/>
      <c r="AL31" s="89"/>
      <c r="AM31" s="88"/>
      <c r="AN31" s="89"/>
      <c r="AO31" s="89"/>
      <c r="AP31" s="89"/>
      <c r="AQ31" s="140"/>
    </row>
    <row r="32" spans="1:43" ht="18" customHeight="1">
      <c r="A32" s="1333"/>
      <c r="B32" s="132" t="s">
        <v>52</v>
      </c>
      <c r="C32" s="20" t="s">
        <v>27</v>
      </c>
      <c r="D32" s="23">
        <v>678954</v>
      </c>
      <c r="E32" s="516"/>
      <c r="F32" s="518"/>
      <c r="G32" s="518"/>
      <c r="H32" s="518"/>
      <c r="I32" s="518"/>
      <c r="J32" s="517"/>
      <c r="K32" s="519"/>
      <c r="L32" s="518"/>
      <c r="M32" s="518"/>
      <c r="N32" s="518"/>
      <c r="O32" s="518"/>
      <c r="P32" s="518"/>
      <c r="Q32" s="520"/>
      <c r="R32" s="516"/>
      <c r="S32" s="518"/>
      <c r="T32" s="518"/>
      <c r="U32" s="518"/>
      <c r="V32" s="518"/>
      <c r="W32" s="518"/>
      <c r="X32" s="517"/>
      <c r="Y32" s="519"/>
      <c r="Z32" s="518"/>
      <c r="AA32" s="518"/>
      <c r="AB32" s="518"/>
      <c r="AC32" s="518"/>
      <c r="AD32" s="518"/>
      <c r="AE32" s="520"/>
      <c r="AF32" s="516"/>
      <c r="AG32" s="518"/>
      <c r="AH32" s="520"/>
      <c r="AI32" s="1064"/>
      <c r="AJ32" s="89" cm="1">
        <f t="array" ref="AJ32">SUMPRODUCT(($E$25:$AH$25="HR")*(E32:AH32=""))+SUMPRODUCT((E32:AH32="HR")*1)</f>
        <v>5</v>
      </c>
      <c r="AK32" s="89"/>
      <c r="AL32" s="89" cm="1">
        <f t="array" ref="AL32">SUMPRODUCT(($E$25:$AH$25="N0")*(E32:AH32=""))+SUMPRODUCT((E32:AH32="N")*1)</f>
        <v>19</v>
      </c>
      <c r="AM32" s="88" cm="1">
        <f t="array" ref="AM32">SUMPRODUCT(($E$25:$AH$25="RD")*(E32:AH32=""))+SUMPRODUCT((E32:AH32="RD")*1)</f>
        <v>6</v>
      </c>
      <c r="AN32" s="89" cm="1">
        <f t="array" ref="AN32">SUMPRODUCT((F32:AH32="AL")*1)</f>
        <v>0</v>
      </c>
      <c r="AO32" s="89" cm="1">
        <f t="array" ref="AO32">SUMPRODUCT((F32:AH32="SH")*1)</f>
        <v>0</v>
      </c>
      <c r="AP32" s="89" cm="1">
        <f t="array" ref="AP32">SUMPRODUCT((E32:AH32="SL")*1)</f>
        <v>0</v>
      </c>
      <c r="AQ32" s="140" t="e">
        <f>#REF!-AJ32-AL32-AM32-AN32-AO32-AP32</f>
        <v>#REF!</v>
      </c>
    </row>
    <row r="33" spans="1:43" ht="18" customHeight="1">
      <c r="A33" s="1316" t="s">
        <v>117</v>
      </c>
      <c r="B33" s="1332" t="s">
        <v>110</v>
      </c>
      <c r="C33" s="1332"/>
      <c r="D33" s="1332"/>
      <c r="E33" s="513" t="s">
        <v>95</v>
      </c>
      <c r="F33" s="511" t="s">
        <v>95</v>
      </c>
      <c r="G33" s="511" t="s">
        <v>95</v>
      </c>
      <c r="H33" s="511" t="s">
        <v>95</v>
      </c>
      <c r="I33" s="512" t="s">
        <v>84</v>
      </c>
      <c r="J33" s="477" t="s">
        <v>84</v>
      </c>
      <c r="K33" s="508" t="s">
        <v>94</v>
      </c>
      <c r="L33" s="509" t="s">
        <v>94</v>
      </c>
      <c r="M33" s="509" t="s">
        <v>94</v>
      </c>
      <c r="N33" s="509" t="s">
        <v>94</v>
      </c>
      <c r="O33" s="509" t="s">
        <v>94</v>
      </c>
      <c r="P33" s="512" t="s">
        <v>84</v>
      </c>
      <c r="Q33" s="514" t="s">
        <v>94</v>
      </c>
      <c r="R33" s="515" t="s">
        <v>94</v>
      </c>
      <c r="S33" s="509" t="s">
        <v>94</v>
      </c>
      <c r="T33" s="509" t="s">
        <v>94</v>
      </c>
      <c r="U33" s="509" t="s">
        <v>94</v>
      </c>
      <c r="V33" s="509" t="s">
        <v>94</v>
      </c>
      <c r="W33" s="512" t="s">
        <v>84</v>
      </c>
      <c r="X33" s="507" t="s">
        <v>94</v>
      </c>
      <c r="Y33" s="508" t="s">
        <v>94</v>
      </c>
      <c r="Z33" s="509" t="s">
        <v>94</v>
      </c>
      <c r="AA33" s="509" t="s">
        <v>94</v>
      </c>
      <c r="AB33" s="509" t="s">
        <v>94</v>
      </c>
      <c r="AC33" s="509" t="s">
        <v>94</v>
      </c>
      <c r="AD33" s="512" t="s">
        <v>84</v>
      </c>
      <c r="AE33" s="493" t="s">
        <v>84</v>
      </c>
      <c r="AF33" s="513" t="s">
        <v>95</v>
      </c>
      <c r="AG33" s="511" t="s">
        <v>95</v>
      </c>
      <c r="AH33" s="1053" t="s">
        <v>95</v>
      </c>
      <c r="AI33" s="1065" t="s">
        <v>95</v>
      </c>
      <c r="AJ33" s="137" t="s">
        <v>95</v>
      </c>
      <c r="AK33" s="137"/>
      <c r="AL33" s="137" t="s">
        <v>38</v>
      </c>
      <c r="AM33" s="138" t="s">
        <v>84</v>
      </c>
      <c r="AN33" s="137" t="s">
        <v>81</v>
      </c>
      <c r="AO33" s="137" t="s">
        <v>88</v>
      </c>
      <c r="AP33" s="137" t="s">
        <v>96</v>
      </c>
      <c r="AQ33" s="139" t="s">
        <v>97</v>
      </c>
    </row>
    <row r="34" spans="1:43" ht="18" customHeight="1">
      <c r="A34" s="1331"/>
      <c r="B34" s="46" t="s">
        <v>17</v>
      </c>
      <c r="C34" s="27" t="s">
        <v>16</v>
      </c>
      <c r="D34" s="21">
        <v>321524</v>
      </c>
      <c r="E34" s="441"/>
      <c r="F34" s="431"/>
      <c r="G34" s="431"/>
      <c r="H34" s="431"/>
      <c r="I34" s="431"/>
      <c r="J34" s="436"/>
      <c r="K34" s="435"/>
      <c r="L34" s="431"/>
      <c r="M34" s="431"/>
      <c r="N34" s="431"/>
      <c r="O34" s="431"/>
      <c r="P34" s="431"/>
      <c r="Q34" s="443"/>
      <c r="R34" s="441"/>
      <c r="S34" s="431"/>
      <c r="T34" s="431"/>
      <c r="U34" s="431"/>
      <c r="V34" s="431"/>
      <c r="W34" s="431"/>
      <c r="X34" s="436"/>
      <c r="Y34" s="435"/>
      <c r="Z34" s="431"/>
      <c r="AA34" s="431"/>
      <c r="AB34" s="431"/>
      <c r="AC34" s="431"/>
      <c r="AD34" s="431"/>
      <c r="AE34" s="443"/>
      <c r="AF34" s="441"/>
      <c r="AG34" s="431"/>
      <c r="AH34" s="443"/>
      <c r="AI34" s="1059"/>
      <c r="AJ34" s="89" cm="1">
        <f t="array" ref="AJ34">SUMPRODUCT(($E$33:$AH$33="HR")*(E34:AH34=""))+SUMPRODUCT((E34:AH34="HR")*1)</f>
        <v>7</v>
      </c>
      <c r="AK34" s="89"/>
      <c r="AL34" s="89" cm="1">
        <f t="array" ref="AL34">SUMPRODUCT(($E$33:$AH$33="N0")*(E34:AH34=""))+SUMPRODUCT((E34:AH34="N")*1)</f>
        <v>17</v>
      </c>
      <c r="AM34" s="88" cm="1">
        <f t="array" ref="AM34">SUMPRODUCT(($E$33:$AH$33="RD")*(E34:AH34=""))+SUMPRODUCT((E34:AH34="RD")*1)</f>
        <v>6</v>
      </c>
      <c r="AN34" s="89" cm="1">
        <f t="array" ref="AN34">SUMPRODUCT((F34:AH34="AL")*1)</f>
        <v>0</v>
      </c>
      <c r="AO34" s="89" cm="1">
        <f t="array" ref="AO34">SUMPRODUCT((F34:AH34="SH")*1)</f>
        <v>0</v>
      </c>
      <c r="AP34" s="89" cm="1">
        <f t="array" ref="AP34">SUMPRODUCT((E34:AH34="SL")*1)</f>
        <v>0</v>
      </c>
      <c r="AQ34" s="140" t="e">
        <f>#REF!-AJ34-AL34-AM34-AN34-AO34-AP34</f>
        <v>#REF!</v>
      </c>
    </row>
    <row r="35" spans="1:43" ht="18" customHeight="1">
      <c r="A35" s="1331"/>
      <c r="B35" s="48" t="s">
        <v>28</v>
      </c>
      <c r="C35" s="16" t="s">
        <v>16</v>
      </c>
      <c r="D35" s="22">
        <v>427616</v>
      </c>
      <c r="E35" s="416"/>
      <c r="F35" s="413"/>
      <c r="G35" s="413"/>
      <c r="H35" s="413"/>
      <c r="I35" s="413"/>
      <c r="J35" s="417"/>
      <c r="K35" s="421"/>
      <c r="L35" s="413"/>
      <c r="M35" s="413"/>
      <c r="N35" s="413"/>
      <c r="O35" s="413"/>
      <c r="P35" s="413"/>
      <c r="Q35" s="444"/>
      <c r="R35" s="416"/>
      <c r="S35" s="413"/>
      <c r="T35" s="413"/>
      <c r="U35" s="413"/>
      <c r="V35" s="413"/>
      <c r="W35" s="413"/>
      <c r="X35" s="417"/>
      <c r="Y35" s="421"/>
      <c r="Z35" s="413"/>
      <c r="AA35" s="413"/>
      <c r="AB35" s="413"/>
      <c r="AC35" s="413"/>
      <c r="AD35" s="413"/>
      <c r="AE35" s="444"/>
      <c r="AF35" s="416"/>
      <c r="AG35" s="413"/>
      <c r="AH35" s="444"/>
      <c r="AI35" s="1058"/>
      <c r="AJ35" s="89" cm="1">
        <f t="array" ref="AJ35">SUMPRODUCT(($E$33:$AH$33="HR")*(E35:AH35=""))+SUMPRODUCT((E35:AH35="HR")*1)</f>
        <v>7</v>
      </c>
      <c r="AK35" s="89"/>
      <c r="AL35" s="89" cm="1">
        <f t="array" ref="AL35">SUMPRODUCT(($E$33:$AH$33="N0")*(E35:AH35=""))+SUMPRODUCT((E35:AH35="N")*1)</f>
        <v>17</v>
      </c>
      <c r="AM35" s="88" cm="1">
        <f t="array" ref="AM35">SUMPRODUCT(($E$33:$AH$33="RD")*(E35:AH35=""))+SUMPRODUCT((E35:AH35="RD")*1)</f>
        <v>6</v>
      </c>
      <c r="AN35" s="89" cm="1">
        <f t="array" ref="AN35">SUMPRODUCT((F35:AH35="AL")*1)</f>
        <v>0</v>
      </c>
      <c r="AO35" s="89" cm="1">
        <f t="array" ref="AO35">SUMPRODUCT((F35:AH35="SH")*1)</f>
        <v>0</v>
      </c>
      <c r="AP35" s="89" cm="1">
        <f t="array" ref="AP35">SUMPRODUCT((E35:AH35="SL")*1)</f>
        <v>0</v>
      </c>
      <c r="AQ35" s="140" t="e">
        <f>#REF!-AJ35-AL35-AM35-AN35-AO35-AP35</f>
        <v>#REF!</v>
      </c>
    </row>
    <row r="36" spans="1:43" ht="18" customHeight="1">
      <c r="A36" s="1331"/>
      <c r="B36" s="50" t="s">
        <v>273</v>
      </c>
      <c r="C36" s="18" t="s">
        <v>27</v>
      </c>
      <c r="D36" s="51">
        <v>672075</v>
      </c>
      <c r="E36" s="416" t="s">
        <v>94</v>
      </c>
      <c r="F36" s="413" t="s">
        <v>94</v>
      </c>
      <c r="G36" s="413" t="s">
        <v>94</v>
      </c>
      <c r="H36" s="413" t="s">
        <v>94</v>
      </c>
      <c r="I36" s="413"/>
      <c r="J36" s="417"/>
      <c r="K36" s="421"/>
      <c r="L36" s="413"/>
      <c r="M36" s="413"/>
      <c r="N36" s="413"/>
      <c r="O36" s="413"/>
      <c r="P36" s="413"/>
      <c r="Q36" s="444"/>
      <c r="R36" s="416"/>
      <c r="S36" s="413"/>
      <c r="T36" s="413"/>
      <c r="U36" s="413"/>
      <c r="V36" s="413"/>
      <c r="W36" s="413"/>
      <c r="X36" s="417"/>
      <c r="Y36" s="421"/>
      <c r="Z36" s="413"/>
      <c r="AA36" s="413"/>
      <c r="AB36" s="413"/>
      <c r="AC36" s="413"/>
      <c r="AD36" s="413"/>
      <c r="AE36" s="444"/>
      <c r="AF36" s="416"/>
      <c r="AG36" s="413"/>
      <c r="AH36" s="444" t="s">
        <v>124</v>
      </c>
      <c r="AI36" s="1058" t="s">
        <v>124</v>
      </c>
      <c r="AJ36" s="89" cm="1">
        <f t="array" ref="AJ36">SUMPRODUCT(($E$33:$AH$33="HR")*(E36:AH36=""))+SUMPRODUCT((E36:AH36="HR")*1)</f>
        <v>2</v>
      </c>
      <c r="AK36" s="89"/>
      <c r="AL36" s="89" cm="1">
        <f t="array" ref="AL36">SUMPRODUCT(($E$33:$AH$33="N0")*(E36:AH36=""))+SUMPRODUCT((E36:AH36="N")*1)</f>
        <v>17</v>
      </c>
      <c r="AM36" s="88" cm="1">
        <f t="array" ref="AM36">SUMPRODUCT(($E$33:$AH$33="RD")*(E36:AH36=""))+SUMPRODUCT((E36:AH36="RD")*1)</f>
        <v>6</v>
      </c>
      <c r="AN36" s="89" cm="1">
        <f t="array" ref="AN36">SUMPRODUCT((F36:AH36="AL")*1)</f>
        <v>0</v>
      </c>
      <c r="AO36" s="89" cm="1">
        <f t="array" ref="AO36">SUMPRODUCT((F36:AH36="SH")*1)</f>
        <v>0</v>
      </c>
      <c r="AP36" s="89" cm="1">
        <f t="array" ref="AP36">SUMPRODUCT((E36:AH36="SL")*1)</f>
        <v>0</v>
      </c>
      <c r="AQ36" s="140" t="e">
        <f>#REF!-AJ36-AL36-AM36-AN36-AO36-AP36</f>
        <v>#REF!</v>
      </c>
    </row>
    <row r="37" spans="1:43" ht="18" customHeight="1">
      <c r="A37" s="1331"/>
      <c r="B37" s="47" t="s">
        <v>35</v>
      </c>
      <c r="C37" s="16" t="s">
        <v>27</v>
      </c>
      <c r="D37" s="22">
        <v>655180</v>
      </c>
      <c r="E37" s="416"/>
      <c r="F37" s="413"/>
      <c r="G37" s="413" t="s">
        <v>137</v>
      </c>
      <c r="H37" s="413"/>
      <c r="I37" s="413"/>
      <c r="J37" s="417"/>
      <c r="K37" s="421"/>
      <c r="L37" s="413"/>
      <c r="M37" s="413"/>
      <c r="N37" s="413"/>
      <c r="O37" s="413"/>
      <c r="P37" s="413"/>
      <c r="Q37" s="444"/>
      <c r="R37" s="416"/>
      <c r="S37" s="413"/>
      <c r="T37" s="413"/>
      <c r="U37" s="413"/>
      <c r="V37" s="413"/>
      <c r="W37" s="413"/>
      <c r="X37" s="417"/>
      <c r="Y37" s="421"/>
      <c r="Z37" s="413"/>
      <c r="AA37" s="413"/>
      <c r="AB37" s="413"/>
      <c r="AC37" s="413"/>
      <c r="AD37" s="413"/>
      <c r="AE37" s="444"/>
      <c r="AF37" s="416"/>
      <c r="AG37" s="413"/>
      <c r="AH37" s="444"/>
      <c r="AI37" s="1058"/>
      <c r="AJ37" s="89" cm="1">
        <f t="array" ref="AJ37">SUMPRODUCT(($E$33:$AH$33="HR")*(E37:AH37=""))+SUMPRODUCT((E37:AH37="HR")*1)</f>
        <v>6</v>
      </c>
      <c r="AK37" s="89"/>
      <c r="AL37" s="89" cm="1">
        <f t="array" ref="AL37">SUMPRODUCT(($E$33:$AH$33="N0")*(E37:AH37=""))+SUMPRODUCT((E37:AH37="N")*1)</f>
        <v>17</v>
      </c>
      <c r="AM37" s="88" cm="1">
        <f t="array" ref="AM37">SUMPRODUCT(($E$33:$AH$33="RD")*(E37:AH37=""))+SUMPRODUCT((E37:AH37="RD")*1)</f>
        <v>6</v>
      </c>
      <c r="AN37" s="89" cm="1">
        <f t="array" ref="AN37">SUMPRODUCT((F37:AH37="AL")*1)</f>
        <v>0</v>
      </c>
      <c r="AO37" s="89" cm="1">
        <f t="array" ref="AO37">SUMPRODUCT((F37:AH37="SH")*1)</f>
        <v>0</v>
      </c>
      <c r="AP37" s="89" cm="1">
        <f t="array" ref="AP37">SUMPRODUCT((E37:AH37="SL")*1)</f>
        <v>0</v>
      </c>
      <c r="AQ37" s="140" t="e">
        <f>#REF!-AJ37-AL37-AM37-AN37-AO37-AP37</f>
        <v>#REF!</v>
      </c>
    </row>
    <row r="38" spans="1:43" ht="18" customHeight="1">
      <c r="A38" s="1331"/>
      <c r="B38" s="97" t="s">
        <v>34</v>
      </c>
      <c r="C38" s="16" t="s">
        <v>27</v>
      </c>
      <c r="D38" s="22">
        <v>673277</v>
      </c>
      <c r="E38" s="416"/>
      <c r="F38" s="413"/>
      <c r="G38" s="413"/>
      <c r="H38" s="413"/>
      <c r="I38" s="413"/>
      <c r="J38" s="417"/>
      <c r="K38" s="421"/>
      <c r="L38" s="413"/>
      <c r="M38" s="413"/>
      <c r="N38" s="413"/>
      <c r="O38" s="413"/>
      <c r="P38" s="413"/>
      <c r="Q38" s="444"/>
      <c r="R38" s="416"/>
      <c r="S38" s="413"/>
      <c r="T38" s="413"/>
      <c r="U38" s="413"/>
      <c r="V38" s="413"/>
      <c r="W38" s="413"/>
      <c r="X38" s="417"/>
      <c r="Y38" s="421"/>
      <c r="Z38" s="413"/>
      <c r="AA38" s="413"/>
      <c r="AB38" s="413"/>
      <c r="AC38" s="413"/>
      <c r="AD38" s="413"/>
      <c r="AE38" s="444"/>
      <c r="AF38" s="416"/>
      <c r="AG38" s="413"/>
      <c r="AH38" s="444"/>
      <c r="AI38" s="1058"/>
      <c r="AJ38" s="89" cm="1">
        <f t="array" ref="AJ38">SUMPRODUCT(($E$33:$AH$33="HR")*(E38:AH38=""))+SUMPRODUCT((E38:AH38="HR")*1)</f>
        <v>7</v>
      </c>
      <c r="AK38" s="89"/>
      <c r="AL38" s="89" cm="1">
        <f t="array" ref="AL38">SUMPRODUCT(($E$33:$AH$33="N0")*(E38:AH38=""))+SUMPRODUCT((E38:AH38="N")*1)</f>
        <v>17</v>
      </c>
      <c r="AM38" s="88" cm="1">
        <f t="array" ref="AM38">SUMPRODUCT(($E$33:$AH$33="RD")*(E38:AH38=""))+SUMPRODUCT((E38:AH38="RD")*1)</f>
        <v>6</v>
      </c>
      <c r="AN38" s="89" cm="1">
        <f t="array" ref="AN38">SUMPRODUCT((F38:AH38="AL")*1)</f>
        <v>0</v>
      </c>
      <c r="AO38" s="89" cm="1">
        <f t="array" ref="AO38">SUMPRODUCT((F38:AH38="SH")*1)</f>
        <v>0</v>
      </c>
      <c r="AP38" s="89" cm="1">
        <f t="array" ref="AP38">SUMPRODUCT((E38:AH38="SL")*1)</f>
        <v>0</v>
      </c>
      <c r="AQ38" s="140" t="e">
        <f>#REF!-AJ38-AL38-AM38-AN38-AO38-AP38</f>
        <v>#REF!</v>
      </c>
    </row>
    <row r="39" spans="1:43" ht="18" customHeight="1">
      <c r="A39" s="1331"/>
      <c r="B39" s="150" t="s">
        <v>118</v>
      </c>
      <c r="C39" s="133" t="s">
        <v>27</v>
      </c>
      <c r="D39" s="108">
        <v>674432</v>
      </c>
      <c r="E39" s="416"/>
      <c r="F39" s="413"/>
      <c r="G39" s="413" t="s">
        <v>137</v>
      </c>
      <c r="H39" s="413"/>
      <c r="I39" s="413"/>
      <c r="J39" s="417"/>
      <c r="K39" s="421"/>
      <c r="L39" s="413"/>
      <c r="M39" s="413"/>
      <c r="N39" s="413"/>
      <c r="O39" s="413"/>
      <c r="P39" s="413"/>
      <c r="Q39" s="444"/>
      <c r="R39" s="416"/>
      <c r="S39" s="413"/>
      <c r="T39" s="413"/>
      <c r="U39" s="413"/>
      <c r="V39" s="413"/>
      <c r="W39" s="413"/>
      <c r="X39" s="417"/>
      <c r="Y39" s="421"/>
      <c r="Z39" s="413"/>
      <c r="AA39" s="413"/>
      <c r="AB39" s="413"/>
      <c r="AC39" s="413"/>
      <c r="AD39" s="413"/>
      <c r="AE39" s="444"/>
      <c r="AF39" s="416"/>
      <c r="AG39" s="413"/>
      <c r="AH39" s="444"/>
      <c r="AI39" s="1058"/>
      <c r="AJ39" s="89" cm="1">
        <f t="array" ref="AJ39">SUMPRODUCT(($E$33:$AH$33="HR")*(E39:AH39=""))+SUMPRODUCT((E39:AH39="HR")*1)</f>
        <v>6</v>
      </c>
      <c r="AK39" s="89"/>
      <c r="AL39" s="89" cm="1">
        <f t="array" ref="AL39">SUMPRODUCT(($E$33:$AH$33="N0")*(E39:AH39=""))+SUMPRODUCT((E39:AH39="N")*1)</f>
        <v>17</v>
      </c>
      <c r="AM39" s="88" cm="1">
        <f t="array" ref="AM39">SUMPRODUCT(($E$33:$AH$33="RD")*(E39:AH39=""))+SUMPRODUCT((E39:AH39="RD")*1)</f>
        <v>6</v>
      </c>
      <c r="AN39" s="89" cm="1">
        <f t="array" ref="AN39">SUMPRODUCT((F39:AH39="AL")*1)</f>
        <v>0</v>
      </c>
      <c r="AO39" s="89" cm="1">
        <f t="array" ref="AO39">SUMPRODUCT((F39:AH39="SH")*1)</f>
        <v>0</v>
      </c>
      <c r="AP39" s="89" cm="1">
        <f t="array" ref="AP39">SUMPRODUCT((E39:AH39="SL")*1)</f>
        <v>0</v>
      </c>
      <c r="AQ39" s="140" t="e">
        <f>#REF!-AJ39-AL39-AM39-AN39-AO39-AP39</f>
        <v>#REF!</v>
      </c>
    </row>
    <row r="40" spans="1:43" ht="18" customHeight="1">
      <c r="A40" s="1316" t="s">
        <v>119</v>
      </c>
      <c r="B40" s="1334" t="s">
        <v>110</v>
      </c>
      <c r="C40" s="1332"/>
      <c r="D40" s="1332"/>
      <c r="E40" s="515" t="s">
        <v>94</v>
      </c>
      <c r="F40" s="509" t="s">
        <v>94</v>
      </c>
      <c r="G40" s="509" t="s">
        <v>94</v>
      </c>
      <c r="H40" s="509" t="s">
        <v>94</v>
      </c>
      <c r="I40" s="512" t="s">
        <v>84</v>
      </c>
      <c r="J40" s="477" t="s">
        <v>84</v>
      </c>
      <c r="K40" s="510" t="s">
        <v>95</v>
      </c>
      <c r="L40" s="511" t="s">
        <v>95</v>
      </c>
      <c r="M40" s="511" t="s">
        <v>95</v>
      </c>
      <c r="N40" s="511" t="s">
        <v>95</v>
      </c>
      <c r="O40" s="511" t="s">
        <v>95</v>
      </c>
      <c r="P40" s="512" t="s">
        <v>84</v>
      </c>
      <c r="Q40" s="493" t="s">
        <v>84</v>
      </c>
      <c r="R40" s="515" t="s">
        <v>94</v>
      </c>
      <c r="S40" s="509" t="s">
        <v>94</v>
      </c>
      <c r="T40" s="509" t="s">
        <v>94</v>
      </c>
      <c r="U40" s="509" t="s">
        <v>94</v>
      </c>
      <c r="V40" s="509" t="s">
        <v>94</v>
      </c>
      <c r="W40" s="512" t="s">
        <v>84</v>
      </c>
      <c r="X40" s="507" t="s">
        <v>94</v>
      </c>
      <c r="Y40" s="508" t="s">
        <v>94</v>
      </c>
      <c r="Z40" s="509" t="s">
        <v>94</v>
      </c>
      <c r="AA40" s="509" t="s">
        <v>94</v>
      </c>
      <c r="AB40" s="509" t="s">
        <v>94</v>
      </c>
      <c r="AC40" s="509" t="s">
        <v>94</v>
      </c>
      <c r="AD40" s="512" t="s">
        <v>84</v>
      </c>
      <c r="AE40" s="514" t="s">
        <v>94</v>
      </c>
      <c r="AF40" s="515" t="s">
        <v>94</v>
      </c>
      <c r="AG40" s="509" t="s">
        <v>94</v>
      </c>
      <c r="AH40" s="514" t="s">
        <v>94</v>
      </c>
      <c r="AI40" s="1061" t="s">
        <v>94</v>
      </c>
      <c r="AJ40" s="137" t="s">
        <v>95</v>
      </c>
      <c r="AK40" s="137"/>
      <c r="AL40" s="137" t="s">
        <v>38</v>
      </c>
      <c r="AM40" s="138" t="s">
        <v>84</v>
      </c>
      <c r="AN40" s="137" t="s">
        <v>81</v>
      </c>
      <c r="AO40" s="137" t="s">
        <v>88</v>
      </c>
      <c r="AP40" s="137" t="s">
        <v>96</v>
      </c>
      <c r="AQ40" s="139" t="s">
        <v>97</v>
      </c>
    </row>
    <row r="41" spans="1:43" ht="18" customHeight="1">
      <c r="A41" s="1331"/>
      <c r="B41" s="44" t="s">
        <v>274</v>
      </c>
      <c r="C41" s="17" t="s">
        <v>16</v>
      </c>
      <c r="D41" s="21">
        <v>422380</v>
      </c>
      <c r="E41" s="441"/>
      <c r="F41" s="431"/>
      <c r="G41" s="431"/>
      <c r="H41" s="431"/>
      <c r="I41" s="431"/>
      <c r="J41" s="436"/>
      <c r="K41" s="441" t="s">
        <v>94</v>
      </c>
      <c r="L41" s="431" t="s">
        <v>94</v>
      </c>
      <c r="M41" s="431" t="s">
        <v>94</v>
      </c>
      <c r="N41" s="431" t="s">
        <v>94</v>
      </c>
      <c r="O41" s="431" t="s">
        <v>94</v>
      </c>
      <c r="P41" s="431"/>
      <c r="Q41" s="443"/>
      <c r="R41" s="441"/>
      <c r="S41" s="431"/>
      <c r="T41" s="431"/>
      <c r="U41" s="431"/>
      <c r="V41" s="431"/>
      <c r="W41" s="431"/>
      <c r="X41" s="436"/>
      <c r="Y41" s="435"/>
      <c r="Z41" s="431"/>
      <c r="AA41" s="431"/>
      <c r="AB41" s="431"/>
      <c r="AC41" s="431"/>
      <c r="AD41" s="431"/>
      <c r="AE41" s="443"/>
      <c r="AF41" s="441"/>
      <c r="AG41" s="431"/>
      <c r="AH41" s="443"/>
      <c r="AI41" s="1059"/>
      <c r="AJ41" s="89" cm="1">
        <f t="array" ref="AJ41">SUMPRODUCT(($E$40:$AH$40="HR")*(E41:AH41=""))+SUMPRODUCT((E41:AH41="HR")*1)</f>
        <v>0</v>
      </c>
      <c r="AK41" s="89"/>
      <c r="AL41" s="89" cm="1">
        <f t="array" ref="AL41">SUMPRODUCT(($E$40:$AH$40="N0")*(E41:AH41=""))+SUMPRODUCT((E41:AH41="N")*1)</f>
        <v>19</v>
      </c>
      <c r="AM41" s="88" cm="1">
        <f t="array" ref="AM41">SUMPRODUCT(($E$40:$AH$40="RD")*(E41:AH41=""))+SUMPRODUCT((E41:AH41="RD")*1)</f>
        <v>6</v>
      </c>
      <c r="AN41" s="89" cm="1">
        <f t="array" ref="AN41">SUMPRODUCT((F41:AH41="AL")*1)</f>
        <v>0</v>
      </c>
      <c r="AO41" s="89" cm="1">
        <f t="array" ref="AO41">SUMPRODUCT((F41:AH41="SH")*1)</f>
        <v>0</v>
      </c>
      <c r="AP41" s="89" cm="1">
        <f t="array" ref="AP41">SUMPRODUCT((E41:AH41="SL")*1)</f>
        <v>0</v>
      </c>
      <c r="AQ41" s="140" t="e">
        <f>#REF!-AJ41-AL41-AM41-AN41-AO41-AP41</f>
        <v>#REF!</v>
      </c>
    </row>
    <row r="42" spans="1:43" ht="18" customHeight="1">
      <c r="A42" s="1331"/>
      <c r="B42" s="45" t="s">
        <v>36</v>
      </c>
      <c r="C42" s="16" t="s">
        <v>16</v>
      </c>
      <c r="D42" s="22">
        <v>669557</v>
      </c>
      <c r="E42" s="416"/>
      <c r="F42" s="413"/>
      <c r="G42" s="413"/>
      <c r="H42" s="413"/>
      <c r="I42" s="413"/>
      <c r="J42" s="417"/>
      <c r="K42" s="416"/>
      <c r="L42" s="413"/>
      <c r="M42" s="413"/>
      <c r="N42" s="413"/>
      <c r="O42" s="413"/>
      <c r="P42" s="413"/>
      <c r="Q42" s="444"/>
      <c r="R42" s="416"/>
      <c r="S42" s="413"/>
      <c r="T42" s="413"/>
      <c r="U42" s="413"/>
      <c r="V42" s="413"/>
      <c r="W42" s="413"/>
      <c r="X42" s="417"/>
      <c r="Y42" s="421"/>
      <c r="Z42" s="413"/>
      <c r="AA42" s="413"/>
      <c r="AB42" s="413"/>
      <c r="AC42" s="413"/>
      <c r="AD42" s="413"/>
      <c r="AE42" s="444"/>
      <c r="AF42" s="416"/>
      <c r="AG42" s="413"/>
      <c r="AH42" s="444"/>
      <c r="AI42" s="1058"/>
      <c r="AJ42" s="89" cm="1">
        <f t="array" ref="AJ42">SUMPRODUCT(($E$40:$AH$40="HR")*(E42:AH42=""))+SUMPRODUCT((E42:AH42="HR")*1)</f>
        <v>5</v>
      </c>
      <c r="AK42" s="89"/>
      <c r="AL42" s="89" cm="1">
        <f t="array" ref="AL42">SUMPRODUCT(($E$40:$AH$40="N0")*(E42:AH42=""))+SUMPRODUCT((E42:AH42="N")*1)</f>
        <v>19</v>
      </c>
      <c r="AM42" s="88" cm="1">
        <f t="array" ref="AM42">SUMPRODUCT(($E$40:$AH$40="RD")*(E42:AH42=""))+SUMPRODUCT((E42:AH42="RD")*1)</f>
        <v>6</v>
      </c>
      <c r="AN42" s="89" cm="1">
        <f t="array" ref="AN42">SUMPRODUCT((F42:AH42="AL")*1)</f>
        <v>0</v>
      </c>
      <c r="AO42" s="89" cm="1">
        <f t="array" ref="AO42">SUMPRODUCT((F42:AH42="SH")*1)</f>
        <v>0</v>
      </c>
      <c r="AP42" s="89" cm="1">
        <f t="array" ref="AP42">SUMPRODUCT((E42:AH42="SL")*1)</f>
        <v>0</v>
      </c>
      <c r="AQ42" s="140" t="e">
        <f>#REF!-AJ42-AL42-AM42-AN42-AO42-AP42</f>
        <v>#REF!</v>
      </c>
    </row>
    <row r="43" spans="1:43" ht="18" customHeight="1">
      <c r="A43" s="1331"/>
      <c r="B43" s="45" t="s">
        <v>275</v>
      </c>
      <c r="C43" s="16" t="s">
        <v>16</v>
      </c>
      <c r="D43" s="22">
        <v>505935</v>
      </c>
      <c r="E43" s="416"/>
      <c r="F43" s="413"/>
      <c r="G43" s="413"/>
      <c r="H43" s="413"/>
      <c r="I43" s="413"/>
      <c r="J43" s="417"/>
      <c r="K43" s="416" t="s">
        <v>94</v>
      </c>
      <c r="L43" s="413" t="s">
        <v>94</v>
      </c>
      <c r="M43" s="413" t="s">
        <v>94</v>
      </c>
      <c r="N43" s="413" t="s">
        <v>94</v>
      </c>
      <c r="O43" s="413" t="s">
        <v>94</v>
      </c>
      <c r="P43" s="413"/>
      <c r="Q43" s="444"/>
      <c r="R43" s="416"/>
      <c r="S43" s="413"/>
      <c r="T43" s="413"/>
      <c r="U43" s="413"/>
      <c r="V43" s="413"/>
      <c r="W43" s="413"/>
      <c r="X43" s="417"/>
      <c r="Y43" s="421"/>
      <c r="Z43" s="413"/>
      <c r="AA43" s="413"/>
      <c r="AB43" s="413"/>
      <c r="AC43" s="413"/>
      <c r="AD43" s="413"/>
      <c r="AE43" s="444"/>
      <c r="AF43" s="416"/>
      <c r="AG43" s="413"/>
      <c r="AH43" s="444"/>
      <c r="AI43" s="1058"/>
      <c r="AJ43" s="89" cm="1">
        <f t="array" ref="AJ43">SUMPRODUCT(($E$40:$AH$40="HR")*(E43:AH43=""))+SUMPRODUCT((E43:AH43="HR")*1)</f>
        <v>0</v>
      </c>
      <c r="AK43" s="89"/>
      <c r="AL43" s="89" cm="1">
        <f t="array" ref="AL43">SUMPRODUCT(($E$40:$AH$40="N0")*(E43:AH43=""))+SUMPRODUCT((E43:AH43="N")*1)</f>
        <v>19</v>
      </c>
      <c r="AM43" s="88" cm="1">
        <f t="array" ref="AM43">SUMPRODUCT(($E$40:$AH$40="RD")*(E43:AH43=""))+SUMPRODUCT((E43:AH43="RD")*1)</f>
        <v>6</v>
      </c>
      <c r="AN43" s="89" cm="1">
        <f t="array" ref="AN43">SUMPRODUCT((F43:AH43="AL")*1)</f>
        <v>0</v>
      </c>
      <c r="AO43" s="89" cm="1">
        <f t="array" ref="AO43">SUMPRODUCT((F43:AH43="SH")*1)</f>
        <v>0</v>
      </c>
      <c r="AP43" s="89" cm="1">
        <f t="array" ref="AP43">SUMPRODUCT((E43:AH43="SL")*1)</f>
        <v>0</v>
      </c>
      <c r="AQ43" s="140" t="e">
        <f>#REF!-AJ43-AL43-AM43-AN43-AO43-AP43</f>
        <v>#REF!</v>
      </c>
    </row>
    <row r="44" spans="1:43" ht="18" customHeight="1">
      <c r="A44" s="1331"/>
      <c r="B44" s="45" t="s">
        <v>25</v>
      </c>
      <c r="C44" s="16" t="s">
        <v>27</v>
      </c>
      <c r="D44" s="22">
        <v>580058</v>
      </c>
      <c r="E44" s="416"/>
      <c r="F44" s="413"/>
      <c r="G44" s="413"/>
      <c r="H44" s="413"/>
      <c r="I44" s="413"/>
      <c r="J44" s="417"/>
      <c r="K44" s="421"/>
      <c r="L44" s="413"/>
      <c r="M44" s="413"/>
      <c r="N44" s="413"/>
      <c r="O44" s="413"/>
      <c r="P44" s="413"/>
      <c r="Q44" s="444"/>
      <c r="R44" s="416"/>
      <c r="S44" s="413"/>
      <c r="T44" s="413"/>
      <c r="U44" s="413"/>
      <c r="V44" s="413"/>
      <c r="W44" s="413"/>
      <c r="X44" s="417"/>
      <c r="Y44" s="421"/>
      <c r="Z44" s="413"/>
      <c r="AA44" s="413"/>
      <c r="AB44" s="413"/>
      <c r="AC44" s="413"/>
      <c r="AD44" s="413"/>
      <c r="AE44" s="444"/>
      <c r="AF44" s="416"/>
      <c r="AG44" s="413"/>
      <c r="AH44" s="444"/>
      <c r="AI44" s="1058"/>
      <c r="AJ44" s="89" cm="1">
        <f t="array" ref="AJ44">SUMPRODUCT(($E$40:$AH$40="HR")*(E44:AH44=""))+SUMPRODUCT((E44:AH44="HR")*1)</f>
        <v>5</v>
      </c>
      <c r="AK44" s="89"/>
      <c r="AL44" s="89" cm="1">
        <f t="array" ref="AL44">SUMPRODUCT(($E$40:$AH$40="N0")*(E44:AH44=""))+SUMPRODUCT((E44:AH44="N")*1)</f>
        <v>19</v>
      </c>
      <c r="AM44" s="88" cm="1">
        <f t="array" ref="AM44">SUMPRODUCT(($E$40:$AH$40="RD")*(E44:AH44=""))+SUMPRODUCT((E44:AH44="RD")*1)</f>
        <v>6</v>
      </c>
      <c r="AN44" s="89" cm="1">
        <f t="array" ref="AN44">SUMPRODUCT((F44:AH44="AL")*1)</f>
        <v>0</v>
      </c>
      <c r="AO44" s="89" cm="1">
        <f t="array" ref="AO44">SUMPRODUCT((F44:AH44="SH")*1)</f>
        <v>0</v>
      </c>
      <c r="AP44" s="89" cm="1">
        <f t="array" ref="AP44">SUMPRODUCT((E44:AH44="SL")*1)</f>
        <v>0</v>
      </c>
      <c r="AQ44" s="140" t="e">
        <f>#REF!-AJ44-AL44-AM44-AN44-AO44-AP44</f>
        <v>#REF!</v>
      </c>
    </row>
    <row r="45" spans="1:43" ht="18" customHeight="1">
      <c r="A45" s="1331"/>
      <c r="B45" s="45" t="s">
        <v>37</v>
      </c>
      <c r="C45" s="16" t="s">
        <v>27</v>
      </c>
      <c r="D45" s="22">
        <v>680417</v>
      </c>
      <c r="E45" s="416"/>
      <c r="F45" s="413"/>
      <c r="G45" s="413"/>
      <c r="H45" s="413"/>
      <c r="I45" s="413"/>
      <c r="J45" s="417"/>
      <c r="K45" s="421"/>
      <c r="L45" s="413"/>
      <c r="M45" s="413"/>
      <c r="N45" s="413"/>
      <c r="O45" s="413"/>
      <c r="P45" s="413"/>
      <c r="Q45" s="444"/>
      <c r="R45" s="416"/>
      <c r="S45" s="413"/>
      <c r="T45" s="413"/>
      <c r="U45" s="413"/>
      <c r="V45" s="413"/>
      <c r="W45" s="413"/>
      <c r="X45" s="417"/>
      <c r="Y45" s="421"/>
      <c r="Z45" s="413"/>
      <c r="AA45" s="413"/>
      <c r="AB45" s="413"/>
      <c r="AC45" s="413"/>
      <c r="AD45" s="413"/>
      <c r="AE45" s="444"/>
      <c r="AF45" s="416"/>
      <c r="AG45" s="413"/>
      <c r="AH45" s="444"/>
      <c r="AI45" s="1058"/>
      <c r="AJ45" s="89" cm="1">
        <f t="array" ref="AJ45">SUMPRODUCT(($E$40:$AH$40="HR")*(E45:AH45=""))+SUMPRODUCT((E45:AH45="HR")*1)</f>
        <v>5</v>
      </c>
      <c r="AK45" s="89"/>
      <c r="AL45" s="89" cm="1">
        <f t="array" ref="AL45">SUMPRODUCT(($E$40:$AH$40="N0")*(E45:AH45=""))+SUMPRODUCT((E45:AH45="N")*1)</f>
        <v>19</v>
      </c>
      <c r="AM45" s="88" cm="1">
        <f t="array" ref="AM45">SUMPRODUCT(($E$40:$AH$40="RD")*(E45:AH45=""))+SUMPRODUCT((E45:AH45="RD")*1)</f>
        <v>6</v>
      </c>
      <c r="AN45" s="89" cm="1">
        <f t="array" ref="AN45">SUMPRODUCT((F45:AH45="AL")*1)</f>
        <v>0</v>
      </c>
      <c r="AO45" s="89" cm="1">
        <f t="array" ref="AO45">SUMPRODUCT((F45:AH45="SH")*1)</f>
        <v>0</v>
      </c>
      <c r="AP45" s="89" cm="1">
        <f t="array" ref="AP45">SUMPRODUCT((E45:AH45="SL")*1)</f>
        <v>0</v>
      </c>
      <c r="AQ45" s="140" t="e">
        <f>#REF!-AJ45-AL45-AM45-AN45-AO45-AP45</f>
        <v>#REF!</v>
      </c>
    </row>
    <row r="46" spans="1:43" ht="18" customHeight="1">
      <c r="A46" s="1331"/>
      <c r="B46" s="120" t="s">
        <v>49</v>
      </c>
      <c r="C46" s="16" t="s">
        <v>27</v>
      </c>
      <c r="D46" s="22">
        <v>684119</v>
      </c>
      <c r="E46" s="416"/>
      <c r="F46" s="413"/>
      <c r="G46" s="413"/>
      <c r="H46" s="413"/>
      <c r="I46" s="413"/>
      <c r="J46" s="417"/>
      <c r="K46" s="421"/>
      <c r="L46" s="413"/>
      <c r="M46" s="413"/>
      <c r="N46" s="413"/>
      <c r="O46" s="413"/>
      <c r="P46" s="413"/>
      <c r="Q46" s="444"/>
      <c r="R46" s="416"/>
      <c r="S46" s="413"/>
      <c r="T46" s="413"/>
      <c r="U46" s="413"/>
      <c r="V46" s="413"/>
      <c r="W46" s="413"/>
      <c r="X46" s="417"/>
      <c r="Y46" s="421"/>
      <c r="Z46" s="413"/>
      <c r="AA46" s="413"/>
      <c r="AB46" s="413"/>
      <c r="AC46" s="413"/>
      <c r="AD46" s="413"/>
      <c r="AE46" s="444"/>
      <c r="AF46" s="416"/>
      <c r="AG46" s="413"/>
      <c r="AH46" s="444"/>
      <c r="AI46" s="1058"/>
      <c r="AJ46" s="89" cm="1">
        <f t="array" ref="AJ46">SUMPRODUCT(($E$40:$AH$40="HR")*(E46:AH46=""))+SUMPRODUCT((E46:AH46="HR")*1)</f>
        <v>5</v>
      </c>
      <c r="AK46" s="89"/>
      <c r="AL46" s="89" cm="1">
        <f t="array" ref="AL46">SUMPRODUCT(($E$40:$AH$40="N0")*(E46:AH46=""))+SUMPRODUCT((E46:AH46="N")*1)</f>
        <v>19</v>
      </c>
      <c r="AM46" s="88" cm="1">
        <f t="array" ref="AM46">SUMPRODUCT(($E$40:$AH$40="RD")*(E46:AH46=""))+SUMPRODUCT((E46:AH46="RD")*1)</f>
        <v>6</v>
      </c>
      <c r="AN46" s="89" cm="1">
        <f t="array" ref="AN46">SUMPRODUCT((F46:AH46="AL")*1)</f>
        <v>0</v>
      </c>
      <c r="AO46" s="89" cm="1">
        <f t="array" ref="AO46">SUMPRODUCT((F46:AH46="SH")*1)</f>
        <v>0</v>
      </c>
      <c r="AP46" s="89" cm="1">
        <f t="array" ref="AP46">SUMPRODUCT((E46:AH46="SL")*1)</f>
        <v>0</v>
      </c>
      <c r="AQ46" s="140" t="e">
        <f>#REF!-AJ46-AL46-AM46-AN46-AO46-AP46</f>
        <v>#REF!</v>
      </c>
    </row>
    <row r="47" spans="1:43" ht="18" customHeight="1">
      <c r="A47" s="1333"/>
      <c r="B47" s="117" t="s">
        <v>57</v>
      </c>
      <c r="C47" s="104" t="s">
        <v>27</v>
      </c>
      <c r="D47" s="105">
        <v>676140</v>
      </c>
      <c r="E47" s="521"/>
      <c r="F47" s="523"/>
      <c r="G47" s="523"/>
      <c r="H47" s="523"/>
      <c r="I47" s="523"/>
      <c r="J47" s="522"/>
      <c r="K47" s="524"/>
      <c r="L47" s="523"/>
      <c r="M47" s="523"/>
      <c r="N47" s="523"/>
      <c r="O47" s="523"/>
      <c r="P47" s="523"/>
      <c r="Q47" s="525"/>
      <c r="R47" s="521"/>
      <c r="S47" s="523"/>
      <c r="T47" s="523"/>
      <c r="U47" s="523"/>
      <c r="V47" s="523"/>
      <c r="W47" s="523"/>
      <c r="X47" s="522"/>
      <c r="Y47" s="524"/>
      <c r="Z47" s="523"/>
      <c r="AA47" s="523"/>
      <c r="AB47" s="523"/>
      <c r="AC47" s="523"/>
      <c r="AD47" s="523"/>
      <c r="AE47" s="525"/>
      <c r="AF47" s="521"/>
      <c r="AG47" s="523"/>
      <c r="AH47" s="525"/>
      <c r="AI47" s="1063"/>
      <c r="AJ47" s="89" cm="1">
        <f t="array" ref="AJ47">SUMPRODUCT(($E$40:$AH$40="HR")*(E47:AH47=""))+SUMPRODUCT((E47:AH47="HR")*1)</f>
        <v>5</v>
      </c>
      <c r="AK47" s="89"/>
      <c r="AL47" s="89" cm="1">
        <f t="array" ref="AL47">SUMPRODUCT(($E$40:$AH$40="N0")*(E47:AH47=""))+SUMPRODUCT((E47:AH47="N")*1)</f>
        <v>19</v>
      </c>
      <c r="AM47" s="88" cm="1">
        <f t="array" ref="AM47">SUMPRODUCT(($E$40:$AH$40="RD")*(E47:AH47=""))+SUMPRODUCT((E47:AH47="RD")*1)</f>
        <v>6</v>
      </c>
      <c r="AN47" s="89" cm="1">
        <f t="array" ref="AN47">SUMPRODUCT((F47:AH47="AL")*1)</f>
        <v>0</v>
      </c>
      <c r="AO47" s="89" cm="1">
        <f t="array" ref="AO47">SUMPRODUCT((F47:AH47="SH")*1)</f>
        <v>0</v>
      </c>
      <c r="AP47" s="89" cm="1">
        <f t="array" ref="AP47">SUMPRODUCT((E47:AH47="SL")*1)</f>
        <v>0</v>
      </c>
      <c r="AQ47" s="140" t="e">
        <f>#REF!-AJ47-AL47-AM47-AN47-AO47-AP47</f>
        <v>#REF!</v>
      </c>
    </row>
    <row r="48" spans="1:43" ht="18" customHeight="1">
      <c r="A48" s="1320" t="s">
        <v>125</v>
      </c>
      <c r="B48" s="1334" t="s">
        <v>93</v>
      </c>
      <c r="C48" s="1332"/>
      <c r="D48" s="1332"/>
      <c r="E48" s="468" t="s">
        <v>87</v>
      </c>
      <c r="F48" s="469" t="s">
        <v>87</v>
      </c>
      <c r="G48" s="469" t="s">
        <v>87</v>
      </c>
      <c r="H48" s="469" t="s">
        <v>87</v>
      </c>
      <c r="I48" s="512" t="s">
        <v>84</v>
      </c>
      <c r="J48" s="477" t="s">
        <v>84</v>
      </c>
      <c r="K48" s="508" t="s">
        <v>87</v>
      </c>
      <c r="L48" s="509" t="s">
        <v>87</v>
      </c>
      <c r="M48" s="509" t="s">
        <v>87</v>
      </c>
      <c r="N48" s="509" t="s">
        <v>87</v>
      </c>
      <c r="O48" s="509" t="s">
        <v>87</v>
      </c>
      <c r="P48" s="512" t="s">
        <v>84</v>
      </c>
      <c r="Q48" s="493" t="s">
        <v>84</v>
      </c>
      <c r="R48" s="515" t="s">
        <v>87</v>
      </c>
      <c r="S48" s="509" t="s">
        <v>87</v>
      </c>
      <c r="T48" s="509" t="s">
        <v>87</v>
      </c>
      <c r="U48" s="509" t="s">
        <v>87</v>
      </c>
      <c r="V48" s="509" t="s">
        <v>87</v>
      </c>
      <c r="W48" s="512" t="s">
        <v>84</v>
      </c>
      <c r="X48" s="477" t="s">
        <v>84</v>
      </c>
      <c r="Y48" s="508" t="s">
        <v>87</v>
      </c>
      <c r="Z48" s="509" t="s">
        <v>87</v>
      </c>
      <c r="AA48" s="509" t="s">
        <v>87</v>
      </c>
      <c r="AB48" s="509" t="s">
        <v>87</v>
      </c>
      <c r="AC48" s="509" t="s">
        <v>87</v>
      </c>
      <c r="AD48" s="512" t="s">
        <v>84</v>
      </c>
      <c r="AE48" s="493" t="s">
        <v>84</v>
      </c>
      <c r="AF48" s="468" t="s">
        <v>87</v>
      </c>
      <c r="AG48" s="469" t="s">
        <v>87</v>
      </c>
      <c r="AH48" s="471" t="s">
        <v>87</v>
      </c>
      <c r="AI48" s="1060" t="s">
        <v>87</v>
      </c>
    </row>
    <row r="49" spans="1:42" ht="18" customHeight="1">
      <c r="A49" s="1416"/>
      <c r="B49" s="126" t="s">
        <v>43</v>
      </c>
      <c r="C49" s="122" t="s">
        <v>45</v>
      </c>
      <c r="D49" s="158">
        <v>555851</v>
      </c>
      <c r="E49" s="466"/>
      <c r="F49" s="469"/>
      <c r="G49" s="469"/>
      <c r="H49" s="469"/>
      <c r="I49" s="469"/>
      <c r="J49" s="467"/>
      <c r="K49" s="470"/>
      <c r="L49" s="469"/>
      <c r="M49" s="469"/>
      <c r="N49" s="469"/>
      <c r="O49" s="469"/>
      <c r="P49" s="469"/>
      <c r="Q49" s="471"/>
      <c r="R49" s="468"/>
      <c r="S49" s="469"/>
      <c r="T49" s="469"/>
      <c r="U49" s="469"/>
      <c r="V49" s="469"/>
      <c r="W49" s="469"/>
      <c r="X49" s="467"/>
      <c r="Y49" s="470"/>
      <c r="Z49" s="469"/>
      <c r="AA49" s="469"/>
      <c r="AB49" s="469"/>
      <c r="AC49" s="469"/>
      <c r="AD49" s="469"/>
      <c r="AE49" s="471"/>
      <c r="AF49" s="468"/>
      <c r="AG49" s="469"/>
      <c r="AH49" s="471"/>
      <c r="AI49" s="1060"/>
    </row>
    <row r="50" spans="1:42" ht="17"/>
    <row r="51" spans="1:42" ht="18" customHeight="1">
      <c r="D51" s="124" t="s">
        <v>123</v>
      </c>
      <c r="E51" s="123"/>
      <c r="F51" s="123" t="s">
        <v>392</v>
      </c>
      <c r="G51" s="123"/>
      <c r="H51" s="123"/>
      <c r="I51" s="123"/>
      <c r="J51" s="123"/>
      <c r="K51" s="123"/>
      <c r="L51" s="123"/>
      <c r="M51" s="123"/>
      <c r="N51" s="209"/>
      <c r="O51" s="209"/>
      <c r="U51" s="124" t="s">
        <v>135</v>
      </c>
      <c r="V51" s="123"/>
      <c r="W51" s="123" t="s">
        <v>407</v>
      </c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35"/>
    </row>
    <row r="52" spans="1:42" ht="18" customHeight="1"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</row>
    <row r="53" spans="1:42" ht="18" customHeight="1">
      <c r="D53" s="124" t="s">
        <v>137</v>
      </c>
      <c r="E53" s="123"/>
      <c r="F53" s="1106" t="s">
        <v>356</v>
      </c>
      <c r="G53" s="123"/>
      <c r="H53" s="123"/>
      <c r="I53" s="123"/>
      <c r="J53" s="123"/>
      <c r="K53" s="123"/>
      <c r="L53" s="123"/>
      <c r="M53" s="123"/>
      <c r="U53" s="124" t="s">
        <v>124</v>
      </c>
      <c r="V53" s="123"/>
      <c r="W53" s="123" t="s">
        <v>401</v>
      </c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</row>
    <row r="54" spans="1:42" ht="18" customHeight="1"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</row>
    <row r="55" spans="1:42" ht="18" customHeight="1">
      <c r="D55" s="124" t="s">
        <v>107</v>
      </c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U55" s="124" t="s">
        <v>140</v>
      </c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</row>
    <row r="56" spans="1:42" ht="18" customHeight="1"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</row>
    <row r="57" spans="1:42" ht="18" customHeight="1">
      <c r="D57" s="124" t="s">
        <v>108</v>
      </c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U57" s="124" t="s">
        <v>103</v>
      </c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45"/>
    </row>
    <row r="58" spans="1:42" ht="18" customHeight="1"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</row>
    <row r="59" spans="1:42" ht="18" customHeight="1">
      <c r="D59" s="124" t="s">
        <v>105</v>
      </c>
      <c r="F59" s="123"/>
      <c r="U59" s="124" t="s">
        <v>145</v>
      </c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</row>
    <row r="60" spans="1:42" ht="18" customHeight="1"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</row>
    <row r="61" spans="1:42" ht="18" customHeight="1">
      <c r="A61" s="123"/>
      <c r="B61" s="123"/>
      <c r="C61" s="123"/>
      <c r="D61" s="124" t="s">
        <v>122</v>
      </c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4" t="s">
        <v>115</v>
      </c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</row>
    <row r="62" spans="1:42" ht="18" customHeight="1" thickBot="1"/>
    <row r="63" spans="1:42" ht="18" customHeight="1" thickBot="1">
      <c r="D63" s="124" t="s">
        <v>149</v>
      </c>
      <c r="F63" s="123"/>
    </row>
    <row r="65" spans="4:35" ht="17"/>
    <row r="66" spans="4:35" ht="17">
      <c r="D66" s="141" t="s">
        <v>150</v>
      </c>
      <c r="E66" s="62" t="s">
        <v>94</v>
      </c>
      <c r="F66" s="60" t="s">
        <v>94</v>
      </c>
      <c r="G66" s="60" t="s">
        <v>94</v>
      </c>
      <c r="H66" s="60" t="s">
        <v>94</v>
      </c>
      <c r="I66" s="60" t="s">
        <v>94</v>
      </c>
      <c r="J66" s="73" t="s">
        <v>84</v>
      </c>
      <c r="K66" s="61" t="s">
        <v>94</v>
      </c>
      <c r="L66" s="62" t="s">
        <v>94</v>
      </c>
      <c r="M66" s="60" t="s">
        <v>94</v>
      </c>
      <c r="N66" s="60" t="s">
        <v>94</v>
      </c>
      <c r="O66" s="60" t="s">
        <v>94</v>
      </c>
      <c r="P66" s="60" t="s">
        <v>94</v>
      </c>
      <c r="Q66" s="63" t="s">
        <v>84</v>
      </c>
      <c r="R66" s="64" t="s">
        <v>84</v>
      </c>
      <c r="S66" s="129" t="s">
        <v>95</v>
      </c>
      <c r="T66" s="129" t="s">
        <v>95</v>
      </c>
      <c r="U66" s="129" t="s">
        <v>95</v>
      </c>
      <c r="V66" s="129" t="s">
        <v>95</v>
      </c>
      <c r="W66" s="129" t="s">
        <v>95</v>
      </c>
      <c r="X66" s="68" t="s">
        <v>84</v>
      </c>
      <c r="Y66" s="59" t="s">
        <v>84</v>
      </c>
      <c r="Z66" s="62" t="s">
        <v>94</v>
      </c>
      <c r="AA66" s="60" t="s">
        <v>94</v>
      </c>
      <c r="AB66" s="60" t="s">
        <v>94</v>
      </c>
      <c r="AC66" s="60" t="s">
        <v>94</v>
      </c>
      <c r="AD66" s="60" t="s">
        <v>94</v>
      </c>
      <c r="AE66" s="63" t="s">
        <v>84</v>
      </c>
      <c r="AF66" s="60" t="s">
        <v>94</v>
      </c>
      <c r="AG66" s="60" t="s">
        <v>94</v>
      </c>
      <c r="AH66" s="74"/>
      <c r="AI66" s="456"/>
    </row>
    <row r="67" spans="4:35" ht="17">
      <c r="D67" s="142" t="s">
        <v>151</v>
      </c>
      <c r="E67" s="311">
        <f>COUNTBLANK(E19:E24)</f>
        <v>6</v>
      </c>
      <c r="F67" s="311">
        <f t="shared" ref="F67:AG67" si="0">COUNTBLANK(F19:F24)</f>
        <v>6</v>
      </c>
      <c r="G67" s="311">
        <f t="shared" si="0"/>
        <v>6</v>
      </c>
      <c r="H67" s="311">
        <f t="shared" si="0"/>
        <v>6</v>
      </c>
      <c r="I67" s="311">
        <f t="shared" si="0"/>
        <v>6</v>
      </c>
      <c r="J67" s="311">
        <f t="shared" si="0"/>
        <v>6</v>
      </c>
      <c r="K67" s="311">
        <f t="shared" si="0"/>
        <v>6</v>
      </c>
      <c r="L67" s="311">
        <f t="shared" si="0"/>
        <v>6</v>
      </c>
      <c r="M67" s="311">
        <f t="shared" si="0"/>
        <v>6</v>
      </c>
      <c r="N67" s="311">
        <f t="shared" si="0"/>
        <v>6</v>
      </c>
      <c r="O67" s="311">
        <f t="shared" si="0"/>
        <v>6</v>
      </c>
      <c r="P67" s="311">
        <f t="shared" si="0"/>
        <v>6</v>
      </c>
      <c r="Q67" s="311">
        <f t="shared" si="0"/>
        <v>6</v>
      </c>
      <c r="R67" s="311">
        <f t="shared" si="0"/>
        <v>6</v>
      </c>
      <c r="S67" s="311">
        <f t="shared" si="0"/>
        <v>6</v>
      </c>
      <c r="T67" s="311">
        <f t="shared" si="0"/>
        <v>5</v>
      </c>
      <c r="U67" s="311">
        <f t="shared" si="0"/>
        <v>5</v>
      </c>
      <c r="V67" s="311">
        <f t="shared" si="0"/>
        <v>6</v>
      </c>
      <c r="W67" s="311">
        <f t="shared" si="0"/>
        <v>6</v>
      </c>
      <c r="X67" s="311">
        <f t="shared" si="0"/>
        <v>6</v>
      </c>
      <c r="Y67" s="311">
        <f t="shared" si="0"/>
        <v>6</v>
      </c>
      <c r="Z67" s="311">
        <f t="shared" si="0"/>
        <v>6</v>
      </c>
      <c r="AA67" s="311">
        <f t="shared" si="0"/>
        <v>6</v>
      </c>
      <c r="AB67" s="311">
        <f t="shared" si="0"/>
        <v>5</v>
      </c>
      <c r="AC67" s="311">
        <f t="shared" si="0"/>
        <v>6</v>
      </c>
      <c r="AD67" s="311">
        <f t="shared" si="0"/>
        <v>6</v>
      </c>
      <c r="AE67" s="311">
        <f t="shared" si="0"/>
        <v>6</v>
      </c>
      <c r="AF67" s="311">
        <f t="shared" si="0"/>
        <v>6</v>
      </c>
      <c r="AG67" s="311">
        <f t="shared" si="0"/>
        <v>6</v>
      </c>
      <c r="AH67" s="311"/>
      <c r="AI67" s="31"/>
    </row>
    <row r="68" spans="4:35" ht="17">
      <c r="D68" s="143" t="s">
        <v>150</v>
      </c>
      <c r="E68" s="128" t="s">
        <v>94</v>
      </c>
      <c r="F68" s="70" t="s">
        <v>94</v>
      </c>
      <c r="G68" s="70" t="s">
        <v>94</v>
      </c>
      <c r="H68" s="70" t="s">
        <v>94</v>
      </c>
      <c r="I68" s="70" t="s">
        <v>94</v>
      </c>
      <c r="J68" s="71" t="s">
        <v>84</v>
      </c>
      <c r="K68" s="69" t="s">
        <v>94</v>
      </c>
      <c r="L68" s="77" t="s">
        <v>94</v>
      </c>
      <c r="M68" s="70" t="s">
        <v>94</v>
      </c>
      <c r="N68" s="70" t="s">
        <v>94</v>
      </c>
      <c r="O68" s="70" t="s">
        <v>94</v>
      </c>
      <c r="P68" s="70" t="s">
        <v>94</v>
      </c>
      <c r="Q68" s="68" t="s">
        <v>84</v>
      </c>
      <c r="R68" s="69" t="s">
        <v>94</v>
      </c>
      <c r="S68" s="77" t="s">
        <v>94</v>
      </c>
      <c r="T68" s="70" t="s">
        <v>94</v>
      </c>
      <c r="U68" s="70" t="s">
        <v>94</v>
      </c>
      <c r="V68" s="70" t="s">
        <v>94</v>
      </c>
      <c r="W68" s="70" t="s">
        <v>94</v>
      </c>
      <c r="X68" s="76" t="s">
        <v>84</v>
      </c>
      <c r="Y68" s="59" t="s">
        <v>84</v>
      </c>
      <c r="Z68" s="129" t="s">
        <v>95</v>
      </c>
      <c r="AA68" s="129" t="s">
        <v>95</v>
      </c>
      <c r="AB68" s="129" t="s">
        <v>95</v>
      </c>
      <c r="AC68" s="129" t="s">
        <v>95</v>
      </c>
      <c r="AD68" s="129" t="s">
        <v>95</v>
      </c>
      <c r="AE68" s="68" t="s">
        <v>84</v>
      </c>
      <c r="AF68" s="129" t="s">
        <v>95</v>
      </c>
      <c r="AG68" s="129" t="s">
        <v>95</v>
      </c>
      <c r="AH68" s="129"/>
      <c r="AI68" s="457"/>
    </row>
    <row r="69" spans="4:35" ht="17">
      <c r="D69" s="142" t="s">
        <v>152</v>
      </c>
      <c r="E69" s="311">
        <f>COUNTBLANK(E26:E32)</f>
        <v>7</v>
      </c>
      <c r="F69" s="311">
        <f t="shared" ref="F69:AG69" si="1">COUNTBLANK(F26:F32)</f>
        <v>7</v>
      </c>
      <c r="G69" s="311">
        <f t="shared" si="1"/>
        <v>7</v>
      </c>
      <c r="H69" s="311">
        <f t="shared" si="1"/>
        <v>7</v>
      </c>
      <c r="I69" s="311">
        <f t="shared" si="1"/>
        <v>7</v>
      </c>
      <c r="J69" s="311">
        <f t="shared" si="1"/>
        <v>7</v>
      </c>
      <c r="K69" s="311">
        <f t="shared" si="1"/>
        <v>7</v>
      </c>
      <c r="L69" s="311">
        <f t="shared" si="1"/>
        <v>7</v>
      </c>
      <c r="M69" s="311">
        <f t="shared" si="1"/>
        <v>7</v>
      </c>
      <c r="N69" s="311">
        <f t="shared" si="1"/>
        <v>7</v>
      </c>
      <c r="O69" s="311">
        <f t="shared" si="1"/>
        <v>7</v>
      </c>
      <c r="P69" s="311">
        <f t="shared" si="1"/>
        <v>7</v>
      </c>
      <c r="Q69" s="311">
        <f t="shared" si="1"/>
        <v>7</v>
      </c>
      <c r="R69" s="311">
        <f t="shared" si="1"/>
        <v>7</v>
      </c>
      <c r="S69" s="311">
        <f t="shared" si="1"/>
        <v>7</v>
      </c>
      <c r="T69" s="311">
        <f t="shared" si="1"/>
        <v>7</v>
      </c>
      <c r="U69" s="311">
        <f t="shared" si="1"/>
        <v>7</v>
      </c>
      <c r="V69" s="311">
        <f t="shared" si="1"/>
        <v>7</v>
      </c>
      <c r="W69" s="311">
        <f t="shared" si="1"/>
        <v>7</v>
      </c>
      <c r="X69" s="311">
        <f t="shared" si="1"/>
        <v>7</v>
      </c>
      <c r="Y69" s="311">
        <f t="shared" si="1"/>
        <v>6</v>
      </c>
      <c r="Z69" s="311">
        <f t="shared" si="1"/>
        <v>6</v>
      </c>
      <c r="AA69" s="311">
        <f t="shared" si="1"/>
        <v>5</v>
      </c>
      <c r="AB69" s="311">
        <f t="shared" si="1"/>
        <v>6</v>
      </c>
      <c r="AC69" s="311">
        <f t="shared" si="1"/>
        <v>6</v>
      </c>
      <c r="AD69" s="311">
        <f t="shared" si="1"/>
        <v>7</v>
      </c>
      <c r="AE69" s="311">
        <f t="shared" si="1"/>
        <v>7</v>
      </c>
      <c r="AF69" s="311">
        <f t="shared" si="1"/>
        <v>7</v>
      </c>
      <c r="AG69" s="311">
        <f t="shared" si="1"/>
        <v>7</v>
      </c>
      <c r="AH69" s="311"/>
      <c r="AI69" s="31"/>
    </row>
    <row r="70" spans="4:35" ht="17">
      <c r="D70" s="143" t="s">
        <v>150</v>
      </c>
      <c r="E70" s="129" t="s">
        <v>95</v>
      </c>
      <c r="F70" s="129" t="s">
        <v>95</v>
      </c>
      <c r="G70" s="129" t="s">
        <v>95</v>
      </c>
      <c r="H70" s="129" t="s">
        <v>95</v>
      </c>
      <c r="I70" s="129" t="s">
        <v>95</v>
      </c>
      <c r="J70" s="76" t="s">
        <v>84</v>
      </c>
      <c r="K70" s="59" t="s">
        <v>84</v>
      </c>
      <c r="L70" s="128" t="s">
        <v>94</v>
      </c>
      <c r="M70" s="70" t="s">
        <v>94</v>
      </c>
      <c r="N70" s="70" t="s">
        <v>94</v>
      </c>
      <c r="O70" s="70" t="s">
        <v>94</v>
      </c>
      <c r="P70" s="70" t="s">
        <v>94</v>
      </c>
      <c r="Q70" s="71" t="s">
        <v>84</v>
      </c>
      <c r="R70" s="69" t="s">
        <v>94</v>
      </c>
      <c r="S70" s="77" t="s">
        <v>94</v>
      </c>
      <c r="T70" s="70" t="s">
        <v>94</v>
      </c>
      <c r="U70" s="70" t="s">
        <v>94</v>
      </c>
      <c r="V70" s="70" t="s">
        <v>94</v>
      </c>
      <c r="W70" s="70" t="s">
        <v>94</v>
      </c>
      <c r="X70" s="76" t="s">
        <v>84</v>
      </c>
      <c r="Y70" s="69" t="s">
        <v>94</v>
      </c>
      <c r="Z70" s="77" t="s">
        <v>94</v>
      </c>
      <c r="AA70" s="70" t="s">
        <v>94</v>
      </c>
      <c r="AB70" s="70" t="s">
        <v>94</v>
      </c>
      <c r="AC70" s="70" t="s">
        <v>94</v>
      </c>
      <c r="AD70" s="70" t="s">
        <v>94</v>
      </c>
      <c r="AE70" s="76" t="s">
        <v>84</v>
      </c>
      <c r="AF70" s="70" t="s">
        <v>94</v>
      </c>
      <c r="AG70" s="70" t="s">
        <v>94</v>
      </c>
      <c r="AH70" s="77"/>
      <c r="AI70" s="455"/>
    </row>
    <row r="71" spans="4:35" ht="17">
      <c r="D71" s="142" t="s">
        <v>117</v>
      </c>
      <c r="E71" s="311">
        <f t="shared" ref="E71:AG71" si="2">COUNTBLANK(E34:E39)</f>
        <v>5</v>
      </c>
      <c r="F71" s="311">
        <f t="shared" si="2"/>
        <v>5</v>
      </c>
      <c r="G71" s="311">
        <f t="shared" si="2"/>
        <v>3</v>
      </c>
      <c r="H71" s="311">
        <f t="shared" si="2"/>
        <v>5</v>
      </c>
      <c r="I71" s="311">
        <f t="shared" si="2"/>
        <v>6</v>
      </c>
      <c r="J71" s="311">
        <f t="shared" si="2"/>
        <v>6</v>
      </c>
      <c r="K71" s="311">
        <f t="shared" si="2"/>
        <v>6</v>
      </c>
      <c r="L71" s="311">
        <f t="shared" si="2"/>
        <v>6</v>
      </c>
      <c r="M71" s="311">
        <f t="shared" si="2"/>
        <v>6</v>
      </c>
      <c r="N71" s="311">
        <f t="shared" si="2"/>
        <v>6</v>
      </c>
      <c r="O71" s="311">
        <f t="shared" si="2"/>
        <v>6</v>
      </c>
      <c r="P71" s="311">
        <f t="shared" si="2"/>
        <v>6</v>
      </c>
      <c r="Q71" s="311">
        <f t="shared" si="2"/>
        <v>6</v>
      </c>
      <c r="R71" s="311">
        <f t="shared" si="2"/>
        <v>6</v>
      </c>
      <c r="S71" s="311">
        <f t="shared" si="2"/>
        <v>6</v>
      </c>
      <c r="T71" s="311">
        <f t="shared" si="2"/>
        <v>6</v>
      </c>
      <c r="U71" s="311">
        <f t="shared" si="2"/>
        <v>6</v>
      </c>
      <c r="V71" s="311">
        <f t="shared" si="2"/>
        <v>6</v>
      </c>
      <c r="W71" s="311">
        <f t="shared" si="2"/>
        <v>6</v>
      </c>
      <c r="X71" s="311">
        <f t="shared" si="2"/>
        <v>6</v>
      </c>
      <c r="Y71" s="311">
        <f t="shared" si="2"/>
        <v>6</v>
      </c>
      <c r="Z71" s="311">
        <f t="shared" si="2"/>
        <v>6</v>
      </c>
      <c r="AA71" s="311">
        <f t="shared" si="2"/>
        <v>6</v>
      </c>
      <c r="AB71" s="311">
        <f t="shared" si="2"/>
        <v>6</v>
      </c>
      <c r="AC71" s="311">
        <f t="shared" si="2"/>
        <v>6</v>
      </c>
      <c r="AD71" s="311">
        <f t="shared" si="2"/>
        <v>6</v>
      </c>
      <c r="AE71" s="311">
        <f t="shared" si="2"/>
        <v>6</v>
      </c>
      <c r="AF71" s="311">
        <f t="shared" si="2"/>
        <v>6</v>
      </c>
      <c r="AG71" s="311">
        <f t="shared" si="2"/>
        <v>6</v>
      </c>
      <c r="AH71" s="311"/>
      <c r="AI71" s="31"/>
    </row>
    <row r="72" spans="4:35" ht="17">
      <c r="D72" s="144" t="s">
        <v>150</v>
      </c>
      <c r="E72" s="109" t="s">
        <v>94</v>
      </c>
      <c r="F72" s="110" t="s">
        <v>84</v>
      </c>
      <c r="G72" s="59" t="s">
        <v>84</v>
      </c>
      <c r="H72" s="129" t="s">
        <v>95</v>
      </c>
      <c r="I72" s="129" t="s">
        <v>95</v>
      </c>
      <c r="J72" s="129" t="s">
        <v>95</v>
      </c>
      <c r="K72" s="129" t="s">
        <v>95</v>
      </c>
      <c r="L72" s="129" t="s">
        <v>95</v>
      </c>
      <c r="M72" s="76" t="s">
        <v>84</v>
      </c>
      <c r="N72" s="59" t="s">
        <v>84</v>
      </c>
      <c r="O72" s="128" t="s">
        <v>94</v>
      </c>
      <c r="P72" s="70" t="s">
        <v>94</v>
      </c>
      <c r="Q72" s="70" t="s">
        <v>94</v>
      </c>
      <c r="R72" s="70" t="s">
        <v>94</v>
      </c>
      <c r="S72" s="70" t="s">
        <v>94</v>
      </c>
      <c r="T72" s="71" t="s">
        <v>84</v>
      </c>
      <c r="U72" s="69" t="s">
        <v>94</v>
      </c>
      <c r="V72" s="77" t="s">
        <v>94</v>
      </c>
      <c r="W72" s="70" t="s">
        <v>94</v>
      </c>
      <c r="X72" s="70" t="s">
        <v>94</v>
      </c>
      <c r="Y72" s="70" t="s">
        <v>94</v>
      </c>
      <c r="Z72" s="70" t="s">
        <v>94</v>
      </c>
      <c r="AA72" s="76" t="s">
        <v>84</v>
      </c>
      <c r="AB72" s="69" t="s">
        <v>94</v>
      </c>
      <c r="AC72" s="77" t="s">
        <v>94</v>
      </c>
      <c r="AD72" s="70" t="s">
        <v>94</v>
      </c>
      <c r="AE72" s="69" t="s">
        <v>94</v>
      </c>
      <c r="AF72" s="77" t="s">
        <v>94</v>
      </c>
      <c r="AG72" s="70" t="s">
        <v>94</v>
      </c>
      <c r="AH72" s="66"/>
      <c r="AI72" s="455"/>
    </row>
    <row r="73" spans="4:35" ht="17">
      <c r="D73" s="142" t="s">
        <v>119</v>
      </c>
      <c r="E73" s="311">
        <f>COUNTBLANK(E41:E47)</f>
        <v>7</v>
      </c>
      <c r="F73" s="311">
        <f t="shared" ref="F73:AG73" si="3">COUNTBLANK(F41:F47)</f>
        <v>7</v>
      </c>
      <c r="G73" s="311">
        <f t="shared" si="3"/>
        <v>7</v>
      </c>
      <c r="H73" s="311">
        <f t="shared" si="3"/>
        <v>7</v>
      </c>
      <c r="I73" s="311">
        <f t="shared" si="3"/>
        <v>7</v>
      </c>
      <c r="J73" s="311">
        <f t="shared" si="3"/>
        <v>7</v>
      </c>
      <c r="K73" s="311">
        <f t="shared" si="3"/>
        <v>5</v>
      </c>
      <c r="L73" s="311">
        <f t="shared" si="3"/>
        <v>5</v>
      </c>
      <c r="M73" s="311">
        <f t="shared" si="3"/>
        <v>5</v>
      </c>
      <c r="N73" s="311">
        <f t="shared" si="3"/>
        <v>5</v>
      </c>
      <c r="O73" s="311">
        <f t="shared" si="3"/>
        <v>5</v>
      </c>
      <c r="P73" s="311">
        <f t="shared" si="3"/>
        <v>7</v>
      </c>
      <c r="Q73" s="311">
        <f t="shared" si="3"/>
        <v>7</v>
      </c>
      <c r="R73" s="311">
        <f t="shared" si="3"/>
        <v>7</v>
      </c>
      <c r="S73" s="311">
        <f t="shared" si="3"/>
        <v>7</v>
      </c>
      <c r="T73" s="311">
        <f t="shared" si="3"/>
        <v>7</v>
      </c>
      <c r="U73" s="311">
        <f t="shared" si="3"/>
        <v>7</v>
      </c>
      <c r="V73" s="311">
        <f t="shared" si="3"/>
        <v>7</v>
      </c>
      <c r="W73" s="311">
        <f t="shared" si="3"/>
        <v>7</v>
      </c>
      <c r="X73" s="311">
        <f t="shared" si="3"/>
        <v>7</v>
      </c>
      <c r="Y73" s="311">
        <f t="shared" si="3"/>
        <v>7</v>
      </c>
      <c r="Z73" s="311">
        <f t="shared" si="3"/>
        <v>7</v>
      </c>
      <c r="AA73" s="311">
        <f t="shared" si="3"/>
        <v>7</v>
      </c>
      <c r="AB73" s="311">
        <f t="shared" si="3"/>
        <v>7</v>
      </c>
      <c r="AC73" s="311">
        <f t="shared" si="3"/>
        <v>7</v>
      </c>
      <c r="AD73" s="311">
        <f t="shared" si="3"/>
        <v>7</v>
      </c>
      <c r="AE73" s="311">
        <f t="shared" si="3"/>
        <v>7</v>
      </c>
      <c r="AF73" s="311">
        <f t="shared" si="3"/>
        <v>7</v>
      </c>
      <c r="AG73" s="311">
        <f t="shared" si="3"/>
        <v>7</v>
      </c>
      <c r="AH73" s="311"/>
      <c r="AI73" s="31"/>
    </row>
  </sheetData>
  <mergeCells count="25">
    <mergeCell ref="A48:A49"/>
    <mergeCell ref="B48:D48"/>
    <mergeCell ref="K4:Q4"/>
    <mergeCell ref="R4:X4"/>
    <mergeCell ref="Y4:AE4"/>
    <mergeCell ref="E4:J4"/>
    <mergeCell ref="A25:A32"/>
    <mergeCell ref="B25:D25"/>
    <mergeCell ref="A33:A39"/>
    <mergeCell ref="B33:D33"/>
    <mergeCell ref="A40:A47"/>
    <mergeCell ref="B40:D40"/>
    <mergeCell ref="A14:A15"/>
    <mergeCell ref="B14:D14"/>
    <mergeCell ref="A16:A17"/>
    <mergeCell ref="B16:D16"/>
    <mergeCell ref="A18:A24"/>
    <mergeCell ref="B18:D18"/>
    <mergeCell ref="E2:AH2"/>
    <mergeCell ref="E3:AH3"/>
    <mergeCell ref="A8:A9"/>
    <mergeCell ref="A10:A11"/>
    <mergeCell ref="A12:A13"/>
    <mergeCell ref="B12:D12"/>
    <mergeCell ref="AF4:AH4"/>
  </mergeCells>
  <conditionalFormatting sqref="B8">
    <cfRule type="colorScale" priority="78">
      <colorScale>
        <cfvo type="min"/>
        <cfvo type="max"/>
        <color rgb="FFFF7128"/>
        <color rgb="FFFFEF9C"/>
      </colorScale>
    </cfRule>
  </conditionalFormatting>
  <conditionalFormatting sqref="B9">
    <cfRule type="colorScale" priority="16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4" stopIfTrue="1" id="{AC92F32E-6248-4D59-9FAE-50796B9F3C33}">
            <xm:f>'OHLR DUAT'!$F$3&gt;=2</xm:f>
            <x14:dxf>
              <fill>
                <patternFill>
                  <bgColor theme="0"/>
                </patternFill>
              </fill>
            </x14:dxf>
          </x14:cfRule>
          <x14:cfRule type="expression" priority="75" stopIfTrue="1" id="{4626A038-6690-4C00-909C-42EA0CA8CC19}">
            <xm:f>'OHLR DUAT'!$I$3&gt;=1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6" stopIfTrue="1" id="{B25071A1-476F-4DB5-9B3F-0840ECB2343A}">
            <xm:f>'OHLR DUAT'!$F$3&lt;=1</xm:f>
            <x14:dxf>
              <fill>
                <patternFill>
                  <bgColor rgb="FFFF00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34" stopIfTrue="1" id="{D55B369F-27DE-4DC1-9A17-6D6B7541F104}">
            <xm:f>'OHLR DUAT'!$F$25&gt;=2</xm:f>
            <x14:dxf>
              <fill>
                <patternFill>
                  <bgColor theme="0"/>
                </patternFill>
              </fill>
            </x14:dxf>
          </x14:cfRule>
          <x14:cfRule type="expression" priority="35" stopIfTrue="1" id="{894B70C7-6820-433E-AEEC-FF473E2B57B9}">
            <xm:f>'OHLR DUAT'!$F$25&gt;=1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stopIfTrue="1" id="{7A058B0B-9D5F-44B7-B7EE-00A671B87FD2}">
            <xm:f>'OHLR DUAT'!$F$25&lt;1</xm:f>
            <x14:dxf>
              <fill>
                <patternFill>
                  <bgColor rgb="FFFF000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13" stopIfTrue="1" id="{D46B44E0-EF58-4075-ABA6-3ECAE2AB80C5}">
            <xm:f>'OHLR DUAT'!$F$14&gt;=2</xm:f>
            <x14:dxf>
              <fill>
                <patternFill>
                  <bgColor theme="0"/>
                </patternFill>
              </fill>
            </x14:dxf>
          </x14:cfRule>
          <x14:cfRule type="expression" priority="14" stopIfTrue="1" id="{7BF8C7D5-4C8E-45BD-9B2C-A54204C89FF4}">
            <xm:f>'OHLR DUAT'!$F$14&gt;=1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5" stopIfTrue="1" id="{15EFFCB3-A8A6-4763-A737-E4B6EAC0990D}">
            <xm:f>'OHLR DUAT'!$F$14&lt;=1</xm:f>
            <x14:dxf>
              <fill>
                <patternFill>
                  <bgColor rgb="FFFF000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10" stopIfTrue="1" id="{FEDC724B-EE8A-4483-9484-FEF4786DB47B}">
            <xm:f>'OHLR DUAT'!$F$17&lt;=1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11" stopIfTrue="1" id="{6D6A650B-A985-4352-B60C-855A359BA863}">
            <xm:f>'OHLR DUAT'!$F$17&gt;=1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12" stopIfTrue="1" id="{490BC483-1CDF-4CE4-97E4-F054C7ED0374}">
            <xm:f>'OHLR DUAT'!$F$17&gt;=2</xm:f>
            <x14:dxf>
              <fill>
                <patternFill>
                  <bgColor theme="0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52" stopIfTrue="1" id="{F393E88D-4F92-43E1-A30D-084970D0E412}">
            <xm:f>'OHLR DUAT'!$F$5&gt;=2</xm:f>
            <x14:dxf>
              <fill>
                <patternFill>
                  <bgColor theme="0"/>
                </patternFill>
              </fill>
            </x14:dxf>
          </x14:cfRule>
          <x14:cfRule type="expression" priority="53" stopIfTrue="1" id="{48EB7BB0-4E25-4FC3-8E58-D371BB6325E0}">
            <xm:f>'OHLR DUAT'!$I$5&gt;=1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4" stopIfTrue="1" id="{CC66AAFE-891C-4036-B72C-5C2A76BF7102}">
            <xm:f>'OHLR DUAT'!$F$5&lt;=1</xm:f>
            <x14:dxf>
              <fill>
                <patternFill>
                  <bgColor rgb="FFFF0000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83" stopIfTrue="1" id="{A266ACD4-4689-4F9C-B197-C602E4A017E7}">
            <xm:f>'OHLR DUAT'!#REF!&gt;=2</xm:f>
            <x14:dxf>
              <fill>
                <patternFill>
                  <bgColor theme="0"/>
                </patternFill>
              </fill>
            </x14:dxf>
          </x14:cfRule>
          <x14:cfRule type="expression" priority="84" stopIfTrue="1" id="{515BA49B-9942-41A7-8697-33410DBBC803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5" stopIfTrue="1" id="{097F67E0-4A14-4792-809C-4F9E1EEB0C1F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m:sqref>B20:B23</xm:sqref>
        </x14:conditionalFormatting>
        <x14:conditionalFormatting xmlns:xm="http://schemas.microsoft.com/office/excel/2006/main">
          <x14:cfRule type="expression" priority="23" stopIfTrue="1" id="{F9EB5012-0072-411F-B09C-329B300056D3}">
            <xm:f>'OHLR DUAT'!$F$18&gt;2</xm:f>
            <x14:dxf/>
          </x14:cfRule>
          <x14:cfRule type="expression" priority="24" stopIfTrue="1" id="{7DE9284A-0439-4558-8B11-8074A46DAC0B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25" stopIfTrue="1" id="{74653EE0-503D-40CA-8607-2A6117D5FC31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6" id="{95A1FCC2-EAC9-49C4-8529-7AE8994F40B2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7" id="{FC22DCD6-22FA-4BC5-A2F2-76352ECA78FE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28" id="{14C3603A-039B-4F4D-99DE-F2087D871450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80" stopIfTrue="1" id="{FA3B7D51-D1A6-4ACE-812E-1FDC046E1D14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1" stopIfTrue="1" id="{3B5075F2-FCCE-4AD7-94F9-205EC12F98F0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stopIfTrue="1" id="{28B1C085-3EB0-4A5D-ABFF-10E641C139D5}">
            <xm:f>'OHLR DUAT'!#REF!&gt;=2</xm:f>
            <x14:dxf/>
          </x14:cfRule>
          <xm:sqref>B22:B23</xm:sqref>
        </x14:conditionalFormatting>
        <x14:conditionalFormatting xmlns:xm="http://schemas.microsoft.com/office/excel/2006/main">
          <x14:cfRule type="expression" priority="40" id="{C6F43FA5-A2FD-4F9F-BF48-2051DD454BAA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1" id="{07D541AE-49E1-4B5F-81E5-D97289DD9FC2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2" id="{75120486-71EE-47B3-AA1D-99126A60BF60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7" stopIfTrue="1" id="{591348E0-DCA8-4B49-AEF3-6DDDBBB43CA7}">
            <xm:f>'OHLR DUAT'!$I$4&gt;=1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8" stopIfTrue="1" id="{321A2A6C-677C-4AE3-956B-096E59C2BE7D}">
            <xm:f>'OHLR DUAT'!$F$4&lt;=1</xm:f>
            <x14:dxf>
              <fill>
                <patternFill>
                  <bgColor rgb="FFFF0000"/>
                </patternFill>
              </fill>
            </x14:dxf>
          </x14:cfRule>
          <xm:sqref>B26 B35</xm:sqref>
        </x14:conditionalFormatting>
        <x14:conditionalFormatting xmlns:xm="http://schemas.microsoft.com/office/excel/2006/main">
          <x14:cfRule type="expression" priority="59" id="{BAD4A929-A5B0-4310-A527-15930D122064}">
            <xm:f>'OHLR DUAT'!$F$9&gt;=2</xm:f>
            <x14:dxf>
              <fill>
                <patternFill>
                  <bgColor theme="0"/>
                </patternFill>
              </fill>
            </x14:dxf>
          </x14:cfRule>
          <x14:cfRule type="expression" priority="60" id="{76232EAC-DAA2-44EE-BAF6-F1044287B5F9}">
            <xm:f>'OHLR DUAT'!$I$9&gt;=1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1" id="{CD5DE94A-D606-4420-900B-2A9D08FE3E7E}">
            <xm:f>'OHLR DUAT'!$F$9&lt;=1</xm:f>
            <x14:dxf>
              <fill>
                <patternFill>
                  <bgColor rgb="FFFF0000"/>
                </patternFill>
              </fill>
            </x14:dxf>
          </x14:cfRule>
          <xm:sqref>B27:B28</xm:sqref>
        </x14:conditionalFormatting>
        <x14:conditionalFormatting xmlns:xm="http://schemas.microsoft.com/office/excel/2006/main">
          <x14:cfRule type="expression" priority="43" id="{2DFEBFB2-8047-4782-8D08-3FC2899D3B03}">
            <xm:f>'OHLR DUAT'!$F$20&gt;2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44" id="{9113B997-BD77-4159-916F-F11925C4BD46}">
            <xm:f>'OHLR DUAT'!$F$20&lt;1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45" id="{0E7427F2-23E4-4EC7-9E3A-6A24299B6A05}">
            <xm:f>'OHLR DUAT'!$F$20&gt;1</xm:f>
            <x14:dxf>
              <fill>
                <patternFill>
                  <bgColor rgb="FFFFFF00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1" id="{DBA472C7-EBD7-49A0-B3A2-CC355F64DF2F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2" id="{C6B1C596-220D-4E4B-8E74-F0AA6241E2B1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AC86F1B6-673C-4753-9674-7DBA87666C31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B29:B31</xm:sqref>
        </x14:conditionalFormatting>
        <x14:conditionalFormatting xmlns:xm="http://schemas.microsoft.com/office/excel/2006/main">
          <x14:cfRule type="expression" priority="65" stopIfTrue="1" id="{2603B0FE-21A1-4A2E-A029-F3063B47FFFA}">
            <xm:f>'OHLR DUAT'!$F$6&gt;=2</xm:f>
            <x14:dxf>
              <fill>
                <patternFill>
                  <bgColor theme="0"/>
                </patternFill>
              </fill>
            </x14:dxf>
          </x14:cfRule>
          <x14:cfRule type="expression" priority="66" stopIfTrue="1" id="{9A1532F7-1576-47C1-8280-3AAC9A009CA6}">
            <xm:f>'OHLR DUAT'!$I$6&gt;=1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7" stopIfTrue="1" id="{2AA29E3C-C20D-4D11-A1FF-C9A652DD9F0F}">
            <xm:f>'OHLR DUAT'!$F$6&lt;=1</xm:f>
            <x14:dxf>
              <fill>
                <patternFill>
                  <bgColor rgb="FFFF0000"/>
                </patternFill>
              </fill>
            </x14:dxf>
          </x14:cfRule>
          <xm:sqref>B34:B35</xm:sqref>
        </x14:conditionalFormatting>
        <x14:conditionalFormatting xmlns:xm="http://schemas.microsoft.com/office/excel/2006/main">
          <x14:cfRule type="expression" priority="56" stopIfTrue="1" id="{141EB00A-4ECF-4092-AD72-EF5200C3C560}">
            <xm:f>'OHLR DUAT'!$F$4&gt;=2</xm:f>
            <x14:dxf>
              <fill>
                <patternFill>
                  <bgColor theme="0"/>
                </patternFill>
              </fill>
            </x14:dxf>
          </x14:cfRule>
          <xm:sqref>B35 B26</xm:sqref>
        </x14:conditionalFormatting>
        <x14:conditionalFormatting xmlns:xm="http://schemas.microsoft.com/office/excel/2006/main">
          <x14:cfRule type="expression" priority="49" stopIfTrue="1" id="{B6FB28CC-ABF5-4056-AA10-5665AE7F5A4B}">
            <xm:f>'OHLR DUAT'!$F$10&lt;=1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50" stopIfTrue="1" id="{86AC1F57-7E90-4997-AA35-D2C75FDD2CD3}">
            <xm:f>'OHLR DUAT'!$F$10&gt;=1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51" stopIfTrue="1" id="{4C5557BF-C3B9-4639-8388-AB06F4A141EE}">
            <xm:f>'OHLR DUAT'!$F$10&gt;=2</xm:f>
            <x14:dxf/>
          </x14:cfRule>
          <xm:sqref>B35</xm:sqref>
        </x14:conditionalFormatting>
        <x14:conditionalFormatting xmlns:xm="http://schemas.microsoft.com/office/excel/2006/main">
          <x14:cfRule type="expression" priority="46" stopIfTrue="1" id="{2A8C52A9-55DF-4934-9D79-42D218CECF4E}">
            <xm:f>'OHLR DUAT'!$F$19&lt;=1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47" stopIfTrue="1" id="{7B552BD7-014E-44BE-9F77-446B36485CA7}">
            <xm:f>'OHLR DUAT'!$F$19&gt;=1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48" stopIfTrue="1" id="{8AB66510-4679-46D7-BA9E-C88BF2C1D2DB}">
            <xm:f>'OHLR DUAT'!$F$19&gt;=2</xm:f>
            <x14:dxf/>
          </x14:cfRule>
          <xm:sqref>B36</xm:sqref>
        </x14:conditionalFormatting>
        <x14:conditionalFormatting xmlns:xm="http://schemas.microsoft.com/office/excel/2006/main">
          <x14:cfRule type="expression" priority="37" stopIfTrue="1" id="{3CE88839-9B79-4D01-B782-B2F2AC7AB010}">
            <xm:f>'OHLR DUAT'!$F$23&lt;=1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38" stopIfTrue="1" id="{26653596-CC04-4EBA-A79A-73ED45FC039F}">
            <xm:f>'OHLR DUAT'!$F$23&gt;=1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39" stopIfTrue="1" id="{AF66A6B2-53A7-42D8-81B9-4E64CF75C350}">
            <xm:f>'OHLR DUAT'!$F$23&gt;=2</xm:f>
            <x14:dxf/>
          </x14:cfRule>
          <xm:sqref>B37</xm:sqref>
        </x14:conditionalFormatting>
        <x14:conditionalFormatting xmlns:xm="http://schemas.microsoft.com/office/excel/2006/main">
          <x14:cfRule type="expression" priority="7" id="{B8C53006-A06B-4D38-9C8C-38BEEDF2FA53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8" id="{CF1A3109-6DD2-419D-AFDB-2CB933A59BF2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9" id="{C5D8A351-E86C-417A-97EC-764C9E71DDE8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B38:B39</xm:sqref>
        </x14:conditionalFormatting>
        <x14:conditionalFormatting xmlns:xm="http://schemas.microsoft.com/office/excel/2006/main">
          <x14:cfRule type="expression" priority="62" stopIfTrue="1" id="{1229F1C3-172B-4A8A-B3C1-CCEEF786ADAC}">
            <xm:f>'OHLR DUAT'!$F$8&gt;=2</xm:f>
            <x14:dxf>
              <fill>
                <patternFill>
                  <bgColor theme="0"/>
                </patternFill>
              </fill>
            </x14:dxf>
          </x14:cfRule>
          <x14:cfRule type="expression" priority="63" stopIfTrue="1" id="{B480C475-2812-411E-9E39-70723A002C11}">
            <xm:f>'OHLR DUAT'!$I$8&gt;=1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64" stopIfTrue="1" id="{06AB135D-0F8F-41BF-9F76-602FB3B58F9A}">
            <xm:f>'OHLR DUAT'!$F$8&lt;=1</xm:f>
            <x14:dxf>
              <fill>
                <patternFill>
                  <bgColor rgb="FFFF0000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71" stopIfTrue="1" id="{591603E1-DD40-44A8-B4DB-338320AA1BFC}">
            <xm:f>'OHLR DUAT'!$F$15&gt;=2</xm:f>
            <x14:dxf>
              <fill>
                <patternFill>
                  <bgColor theme="0"/>
                </patternFill>
              </fill>
            </x14:dxf>
          </x14:cfRule>
          <x14:cfRule type="expression" priority="72" stopIfTrue="1" id="{F809CA28-57A3-4E74-AE78-F49BE5DA85D3}">
            <xm:f>'OHLR DUAT'!$F$15&gt;=1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73" stopIfTrue="1" id="{0113D3A9-2D63-4970-9272-B2784FD7387F}">
            <xm:f>'OHLR DUAT'!$F$15&lt;=1</xm:f>
            <x14:dxf>
              <fill>
                <patternFill>
                  <bgColor rgb="FFFF0000"/>
                </patternFill>
              </fill>
            </x14:dxf>
          </x14:cfRule>
          <xm:sqref>B42:B45 B47</xm:sqref>
        </x14:conditionalFormatting>
        <x14:conditionalFormatting xmlns:xm="http://schemas.microsoft.com/office/excel/2006/main">
          <x14:cfRule type="expression" priority="31" stopIfTrue="1" id="{4086349A-403A-48DA-AA47-A660B79DDC4D}">
            <xm:f>'OHLR DUAT'!$F$13&gt;=2</xm:f>
            <x14:dxf>
              <font>
                <b val="0"/>
                <i val="0"/>
              </font>
            </x14:dxf>
          </x14:cfRule>
          <x14:cfRule type="expression" priority="32" stopIfTrue="1" id="{A66574C3-6BDA-4A15-A2C5-7724B8361DFE}">
            <xm:f>'OHLR DUAT'!$F$13&gt;=1</xm:f>
            <x14:dxf>
              <font>
                <strike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expression" priority="33" stopIfTrue="1" id="{B3098360-FCBB-4912-AEEC-FB5A1D67EE94}">
            <xm:f>'OHLR DUAT'!$F$13&lt;=1</xm:f>
            <x14:dxf>
              <fill>
                <patternFill>
                  <bgColor rgb="FFFF0000"/>
                </patternFill>
              </fill>
            </x14:dxf>
          </x14:cfRule>
          <xm:sqref>B43:B45 B47</xm:sqref>
        </x14:conditionalFormatting>
        <x14:conditionalFormatting xmlns:xm="http://schemas.microsoft.com/office/excel/2006/main">
          <x14:cfRule type="expression" priority="30" stopIfTrue="1" id="{6DC67D10-D90D-4354-8C70-13F017141ADB}">
            <xm:f>'OHLR DUAT'!$F$18&gt;1</xm:f>
            <x14:dxf>
              <fill>
                <patternFill>
                  <bgColor rgb="FFFFFF00"/>
                </patternFill>
              </fill>
            </x14:dxf>
          </x14:cfRule>
          <x14:cfRule type="expression" priority="55" stopIfTrue="1" id="{C16E3AEB-1EF3-40F2-9A65-91DDD99C8BB1}">
            <xm:f>'OHLR DUAT'!$F$18&lt;1</xm:f>
            <x14:dxf>
              <fill>
                <patternFill>
                  <bgColor rgb="FFFF0000"/>
                </patternFill>
              </fill>
            </x14:dxf>
          </x14:cfRule>
          <xm:sqref>B44:B45 B47</xm:sqref>
        </x14:conditionalFormatting>
        <x14:conditionalFormatting xmlns:xm="http://schemas.microsoft.com/office/excel/2006/main">
          <x14:cfRule type="expression" priority="87" stopIfTrue="1" id="{31A697B5-9380-4FDF-8882-8DC60A6FC692}">
            <xm:f>'OHLR DUAT'!#REF!&lt;=1</xm:f>
            <x14:dxf>
              <fill>
                <patternFill>
                  <bgColor rgb="FFFF0000"/>
                </patternFill>
              </fill>
            </x14:dxf>
          </x14:cfRule>
          <x14:cfRule type="expression" priority="88" stopIfTrue="1" id="{F5E7F7CE-938A-4EE8-99FF-771A64E6EF63}">
            <xm:f>'OHLR DUAT'!#REF!&gt;=1</xm:f>
            <x14:dxf>
              <fill>
                <patternFill>
                  <bgColor rgb="FFFFFF00"/>
                </patternFill>
              </fill>
            </x14:dxf>
          </x14:cfRule>
          <x14:cfRule type="expression" priority="89" stopIfTrue="1" id="{96EAA880-2069-40DA-A38E-EA54D981FECB}">
            <xm:f>'OHLR DUAT'!#REF!&gt;=2</xm:f>
            <x14:dxf/>
          </x14:cfRule>
          <xm:sqref>B45 B47</xm:sqref>
        </x14:conditionalFormatting>
        <x14:conditionalFormatting xmlns:xm="http://schemas.microsoft.com/office/excel/2006/main">
          <x14:cfRule type="expression" priority="29" stopIfTrue="1" id="{BDA1BA2F-18AC-4114-8228-A6B7188E1C45}">
            <xm:f>'OHLR DUAT'!$F$18&gt;2</xm:f>
            <x14:dxf/>
          </x14:cfRule>
          <xm:sqref>B47 B44:B45</xm:sqref>
        </x14:conditionalFormatting>
        <x14:conditionalFormatting xmlns:xm="http://schemas.microsoft.com/office/excel/2006/main">
          <x14:cfRule type="expression" priority="17" id="{C5253E61-2AA9-465D-AA61-17C621122E4E}">
            <xm:f>'OHLR DUAT'!$F$21&gt;2</xm:f>
            <x14:dxf>
              <fill>
                <patternFill patternType="none">
                  <bgColor auto="1"/>
                </patternFill>
              </fill>
            </x14:dxf>
          </x14:cfRule>
          <x14:cfRule type="expression" priority="18" id="{00596347-EDC1-4195-9721-307C54890501}">
            <xm:f>'OHLR DUAT'!$F$21&lt;1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BC2AE6E6-0229-4695-AF0D-BB442C13F192}">
            <xm:f>'OHLR DUAT'!$F$21&gt;1</xm:f>
            <x14:dxf>
              <fill>
                <patternFill>
                  <bgColor rgb="FFFFFF00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845" id="{164FF535-B96F-4858-92E3-EE1C278030E1}">
            <xm:f>VLOOKUP(#REF!,'OHLR DUAT'!$B$4:$E$15,4,FALSE)</xm:f>
            <x14:dxf/>
          </x14:cfRule>
          <xm:sqref>C10</xm:sqref>
        </x14:conditionalFormatting>
        <x14:conditionalFormatting xmlns:xm="http://schemas.microsoft.com/office/excel/2006/main">
          <x14:cfRule type="expression" priority="86" id="{35DE1CE5-C93B-4F54-B61F-2A1E6F5655D8}">
            <xm:f>VLOOKUP(B15,'OHLR DUAT'!$B$4:$E$15,4,FALSE)</xm:f>
            <x14:dxf/>
          </x14:cfRule>
          <xm:sqref>C11</xm:sqref>
        </x14:conditionalFormatting>
        <x14:conditionalFormatting xmlns:xm="http://schemas.microsoft.com/office/excel/2006/main">
          <x14:cfRule type="expression" priority="79" id="{1340C066-E8F6-48CD-9806-4B8C109269D6}">
            <xm:f>VLOOKUP(#REF!,'OHLR DUAT'!$B$4:$E$15,4,FALSE)</xm:f>
            <x14:dxf/>
          </x14:cfRule>
          <xm:sqref>E8:AI9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OHLR DUAT</vt:lpstr>
      <vt:lpstr>Roster Legends</vt:lpstr>
      <vt:lpstr>Jan 2026</vt:lpstr>
      <vt:lpstr>Feb 2026</vt:lpstr>
      <vt:lpstr>Mar 2026</vt:lpstr>
      <vt:lpstr>Apr 2026</vt:lpstr>
      <vt:lpstr>May 2026</vt:lpstr>
      <vt:lpstr>Jun 2026</vt:lpstr>
      <vt:lpstr>July 2026</vt:lpstr>
      <vt:lpstr>August 2026</vt:lpstr>
      <vt:lpstr>September 2026</vt:lpstr>
      <vt:lpstr>October 2026</vt:lpstr>
      <vt:lpstr>November 2026</vt:lpstr>
      <vt:lpstr>December 2026</vt:lpstr>
      <vt:lpstr>'Jan 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 KC Kwan Chiu (林群超)</dc:creator>
  <cp:keywords/>
  <dc:description/>
  <cp:lastModifiedBy>CHU David Siu Kan (朱兆勤)</cp:lastModifiedBy>
  <cp:revision/>
  <dcterms:created xsi:type="dcterms:W3CDTF">2012-11-21T03:04:37Z</dcterms:created>
  <dcterms:modified xsi:type="dcterms:W3CDTF">2026-08-20T09:35:48Z</dcterms:modified>
  <cp:category/>
  <cp:contentStatus/>
</cp:coreProperties>
</file>